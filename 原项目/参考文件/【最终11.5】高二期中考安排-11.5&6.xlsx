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1925" tabRatio="685" activeTab="2"/>
  </bookViews>
  <sheets>
    <sheet name="巡视" sheetId="28" r:id="rId1"/>
    <sheet name="铃声安排" sheetId="54" r:id="rId2"/>
    <sheet name="监考安排" sheetId="48" r:id="rId3"/>
    <sheet name="监考安排（旧）" sheetId="61" state="hidden" r:id="rId4"/>
    <sheet name="比对" sheetId="62" state="hidden" r:id="rId5"/>
    <sheet name="考务会议签到表（打印）" sheetId="58" r:id="rId6"/>
    <sheet name="监考员签到表（打印）" sheetId="57" r:id="rId7"/>
    <sheet name="学生编排结果" sheetId="50" state="hidden" r:id="rId8"/>
    <sheet name="班级（打印）" sheetId="51" r:id="rId9"/>
    <sheet name="考场（打印）" sheetId="52" r:id="rId10"/>
    <sheet name="试卷袋标签（打印）-1" sheetId="55" r:id="rId11"/>
    <sheet name="试卷袋标签（打印）-2" sheetId="60" r:id="rId12"/>
    <sheet name="桌角纸（打印）" sheetId="56" r:id="rId13"/>
    <sheet name="请假" sheetId="53" r:id="rId14"/>
    <sheet name="Sheet1" sheetId="63" state="hidden" r:id="rId15"/>
  </sheets>
  <externalReferences>
    <externalReference r:id="rId16"/>
  </externalReferences>
  <definedNames>
    <definedName name="_xlnm._FilterDatabase" localSheetId="2" hidden="1">监考安排!$Q$1:$AA$53</definedName>
    <definedName name="_xlnm._FilterDatabase" localSheetId="3" hidden="1">'监考安排（旧）'!$Q$2:$AI$53</definedName>
    <definedName name="_xlnm._FilterDatabase" localSheetId="4" hidden="1">比对!$Q$2:$AI$53</definedName>
    <definedName name="_xlnm._FilterDatabase" localSheetId="8" hidden="1">'班级（打印）'!$A$1:$J$836</definedName>
    <definedName name="_xlnm._FilterDatabase" localSheetId="9" hidden="1">'考场（打印）'!$A$2:$J$840</definedName>
    <definedName name="_xlnm.Print_Area" localSheetId="2">监考安排!$A$1:$O$24</definedName>
    <definedName name="_xlnm.Print_Area" localSheetId="8">'班级（打印）'!$A$1:$J$835</definedName>
    <definedName name="_xlnm.Print_Titles" localSheetId="8">'班级（打印）'!$1:$2</definedName>
    <definedName name="_xlnm.Print_Titles" localSheetId="9">'考场（打印）'!$1:$2</definedName>
    <definedName name="_xlnm.Print_Area" localSheetId="9">'考场（打印）'!$A$1:$J$839</definedName>
    <definedName name="_xlnm.Print_Area" localSheetId="12">'桌角纸（打印）'!$A:$F</definedName>
    <definedName name="_xlnm.Print_Area" localSheetId="6">'监考员签到表（打印）'!$A$1:$AD$23</definedName>
    <definedName name="_xlnm.Print_Titles" localSheetId="5">'考务会议签到表（打印）'!$2:$2</definedName>
    <definedName name="_xlnm.Print_Area" localSheetId="5">'考务会议签到表（打印）'!$A$1:$D$29</definedName>
    <definedName name="_xlnm.Print_Area" localSheetId="3">'监考安排（旧）'!$A$1:$O$24</definedName>
    <definedName name="_xlnm.Print_Area" localSheetId="4">比对!$A$1:$O$24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<sst xmlns="http://schemas.openxmlformats.org/spreadsheetml/2006/main" count="24165" uniqueCount="2795">
  <si>
    <t>2025-2026学年高二第一学期期中考</t>
  </si>
  <si>
    <t>一、组织管理</t>
  </si>
  <si>
    <t>主考：</t>
  </si>
  <si>
    <t>杨兵</t>
  </si>
  <si>
    <t>副主考：</t>
  </si>
  <si>
    <t>李宗蔚</t>
  </si>
  <si>
    <t>巡视：</t>
  </si>
  <si>
    <t>黄华</t>
  </si>
  <si>
    <t>考务</t>
  </si>
  <si>
    <t>收发卷</t>
  </si>
  <si>
    <t>李丹凝、蓝昊荣、黄丹娴、肖洋</t>
  </si>
  <si>
    <t>铃声</t>
  </si>
  <si>
    <t>陈映儿</t>
  </si>
  <si>
    <t>考务室：三楼报告厅1 
考务培训时间：11月4日（周二）下午15：45 地点：三楼报告厅1</t>
  </si>
  <si>
    <t>二、监考要求</t>
  </si>
  <si>
    <t>1、考务室地点：三楼报告厅1                                                                                                          2、签到领试卷时间：提前30分钟签到。
3、收、发试卷要求：按指令要求收发卷、答题卡、草稿纸。考试结束，按高考要求收齐答题卡、在答题卡袋面写实考人数，缺考的不用收。
4、监考员要求：规范、严格，如需离开考场超过15分钟必须向主考报备。
5、学生要求：1、中途不能上洗手间。（确实身体不舒服的，报巡考员，由巡考带去）
                         2、不能提前交卷。</t>
  </si>
  <si>
    <t>三、考场板书</t>
  </si>
  <si>
    <t>考试科目：**
考试时间：**到**
试卷页数：**
答题卡页数：**</t>
  </si>
  <si>
    <t>11月5日（周三）</t>
  </si>
  <si>
    <t>11月6日（周四）</t>
  </si>
  <si>
    <r>
      <rPr>
        <sz val="12"/>
        <color theme="1"/>
        <rFont val="宋体"/>
        <charset val="134"/>
      </rPr>
      <t>7:20分响铃（上</t>
    </r>
    <r>
      <rPr>
        <sz val="12"/>
        <color rgb="FFBF0000"/>
        <rFont val="宋体"/>
        <charset val="134"/>
      </rPr>
      <t>自习铃声</t>
    </r>
    <r>
      <rPr>
        <sz val="12"/>
        <color theme="1"/>
        <rFont val="宋体"/>
        <charset val="134"/>
      </rPr>
      <t>。跟平时一致，有预备铃跟正铃）</t>
    </r>
  </si>
  <si>
    <r>
      <rPr>
        <sz val="12"/>
        <color theme="1"/>
        <rFont val="宋体"/>
        <charset val="134"/>
      </rPr>
      <t>7:30分响铃（下</t>
    </r>
    <r>
      <rPr>
        <sz val="12"/>
        <color rgb="FFBF0000"/>
        <rFont val="宋体"/>
        <charset val="134"/>
      </rPr>
      <t>自习铃声</t>
    </r>
    <r>
      <rPr>
        <sz val="12"/>
        <color theme="1"/>
        <rFont val="宋体"/>
        <charset val="134"/>
      </rPr>
      <t>）</t>
    </r>
  </si>
  <si>
    <t>时间</t>
  </si>
  <si>
    <t>指令</t>
  </si>
  <si>
    <t>语文考试</t>
  </si>
  <si>
    <t>4选2考试</t>
  </si>
  <si>
    <t>响铃（学生要到座位就坐完毕）</t>
  </si>
  <si>
    <t>响铃（发答题卡草稿纸）</t>
  </si>
  <si>
    <t>响铃（启封试卷袋，整理试卷）</t>
  </si>
  <si>
    <t>响铃（发试卷）</t>
  </si>
  <si>
    <t>响铃（考试开始，开始作答）</t>
  </si>
  <si>
    <t>响铃（离考试结束还有15分钟）</t>
  </si>
  <si>
    <t>响铃（考试结束）</t>
  </si>
  <si>
    <t>物理/历史考试</t>
  </si>
  <si>
    <t>自习</t>
  </si>
  <si>
    <t>上课铃</t>
  </si>
  <si>
    <t>下课铃</t>
  </si>
  <si>
    <t>数学考试</t>
  </si>
  <si>
    <t>英语考试</t>
  </si>
  <si>
    <t>政治学考</t>
  </si>
  <si>
    <t>物理学考</t>
  </si>
  <si>
    <t>试室</t>
  </si>
  <si>
    <t>人数</t>
  </si>
  <si>
    <t>语文</t>
  </si>
  <si>
    <t>物理/历史</t>
  </si>
  <si>
    <t>数学</t>
  </si>
  <si>
    <t>4选2</t>
  </si>
  <si>
    <t>英语</t>
  </si>
  <si>
    <t>8:00-10:30                   语文</t>
  </si>
  <si>
    <t>11:00-12:15                   物理/历史</t>
  </si>
  <si>
    <t>14:30-16:30                   数学</t>
  </si>
  <si>
    <t>17:00-18:00                   政治学考</t>
  </si>
  <si>
    <t>8:00-10:45                       
4选2</t>
  </si>
  <si>
    <t>11:15-12:15                       自习</t>
  </si>
  <si>
    <t>14:30-16:30                       英语</t>
  </si>
  <si>
    <t>17:00-18:00                       物理学考</t>
  </si>
  <si>
    <t>姓名</t>
  </si>
  <si>
    <t>段数</t>
  </si>
  <si>
    <t>时长</t>
  </si>
  <si>
    <t>8:00-10:30</t>
  </si>
  <si>
    <t>11:00-12:15</t>
  </si>
  <si>
    <t>14:30-16:30</t>
  </si>
  <si>
    <t>17:00-18:00</t>
  </si>
  <si>
    <t>8:00-10:45</t>
  </si>
  <si>
    <t>11:15-12:15</t>
  </si>
  <si>
    <t>物理</t>
  </si>
  <si>
    <t>历史</t>
  </si>
  <si>
    <t>化学</t>
  </si>
  <si>
    <t>生物</t>
  </si>
  <si>
    <t>地理</t>
  </si>
  <si>
    <t>政治</t>
  </si>
  <si>
    <t>语文20考场</t>
  </si>
  <si>
    <t>20*45</t>
  </si>
  <si>
    <t>高二1班</t>
  </si>
  <si>
    <t>蒋思明</t>
  </si>
  <si>
    <t>吕雪容</t>
  </si>
  <si>
    <t>杨眉</t>
  </si>
  <si>
    <t>张馨予</t>
  </si>
  <si>
    <t>郑婉慧</t>
  </si>
  <si>
    <t>黄朝阳</t>
  </si>
  <si>
    <t>陈美苑</t>
  </si>
  <si>
    <t>张莉萍</t>
  </si>
  <si>
    <t>陈晓迪</t>
  </si>
  <si>
    <t>马嘉骏</t>
  </si>
  <si>
    <t>林蕴瑜</t>
  </si>
  <si>
    <t>数学20考场</t>
  </si>
  <si>
    <t>高二2班</t>
  </si>
  <si>
    <t>王倩</t>
  </si>
  <si>
    <t>李昕雨</t>
  </si>
  <si>
    <t>王玉发</t>
  </si>
  <si>
    <t>王菲飞</t>
  </si>
  <si>
    <t>余晓娜</t>
  </si>
  <si>
    <t>李智芳</t>
  </si>
  <si>
    <t>明珊珊</t>
  </si>
  <si>
    <t>英语20考场</t>
  </si>
  <si>
    <t>高二3班</t>
  </si>
  <si>
    <t>张光礼</t>
  </si>
  <si>
    <t>王昕</t>
  </si>
  <si>
    <t>李嘉燕</t>
  </si>
  <si>
    <t>刘小洪</t>
  </si>
  <si>
    <t>蒋红</t>
  </si>
  <si>
    <t>谢晨阳</t>
  </si>
  <si>
    <t>物理15考场</t>
  </si>
  <si>
    <t>15*45</t>
  </si>
  <si>
    <t>高二4班</t>
  </si>
  <si>
    <t>王海劲</t>
  </si>
  <si>
    <t>钟日明</t>
  </si>
  <si>
    <t>梁洁楹</t>
  </si>
  <si>
    <t>历史5考场</t>
  </si>
  <si>
    <t>5*45</t>
  </si>
  <si>
    <t>高二5班</t>
  </si>
  <si>
    <t>李镇国</t>
  </si>
  <si>
    <t>钟三明</t>
  </si>
  <si>
    <t>张玉静</t>
  </si>
  <si>
    <t>彭海影</t>
  </si>
  <si>
    <t>孙静</t>
  </si>
  <si>
    <t>化学16考场</t>
  </si>
  <si>
    <t>16*45</t>
  </si>
  <si>
    <t>高二6班</t>
  </si>
  <si>
    <t>范南莺</t>
  </si>
  <si>
    <t>许业琳</t>
  </si>
  <si>
    <t>生物12考场</t>
  </si>
  <si>
    <t>12*45</t>
  </si>
  <si>
    <t>高二7班</t>
  </si>
  <si>
    <t>周罗洁</t>
  </si>
  <si>
    <t>贺育林</t>
  </si>
  <si>
    <t>黄楚琪</t>
  </si>
  <si>
    <t>赵香甜</t>
  </si>
  <si>
    <t>侯文娟</t>
  </si>
  <si>
    <t>刘艳</t>
  </si>
  <si>
    <t>地理8考场</t>
  </si>
  <si>
    <t>8*45</t>
  </si>
  <si>
    <t>高二8班</t>
  </si>
  <si>
    <t>段蕴瑶</t>
  </si>
  <si>
    <t>张妮</t>
  </si>
  <si>
    <t>政治7考场</t>
  </si>
  <si>
    <t>7*45</t>
  </si>
  <si>
    <t>高二9班</t>
  </si>
  <si>
    <t>陈坚</t>
  </si>
  <si>
    <t>刘良桂</t>
  </si>
  <si>
    <t>王帅</t>
  </si>
  <si>
    <t>高二10班</t>
  </si>
  <si>
    <t>曹芳</t>
  </si>
  <si>
    <t>蒋虹</t>
  </si>
  <si>
    <t>物理学考20考场</t>
  </si>
  <si>
    <t>高二11班</t>
  </si>
  <si>
    <t>政治学考20考场</t>
  </si>
  <si>
    <t>高二12班</t>
  </si>
  <si>
    <t>高二13班</t>
  </si>
  <si>
    <t>高二14班</t>
  </si>
  <si>
    <t>张芷欣</t>
  </si>
  <si>
    <t>高二15班</t>
  </si>
  <si>
    <t>高二16班</t>
  </si>
  <si>
    <t>公共课室3</t>
  </si>
  <si>
    <t>公共课室4</t>
  </si>
  <si>
    <t>公共课室5</t>
  </si>
  <si>
    <t>37 (1-37)</t>
  </si>
  <si>
    <t>34(1-33、37)</t>
  </si>
  <si>
    <t>8 (29-36)</t>
  </si>
  <si>
    <t>19 (1-17、34-35)</t>
  </si>
  <si>
    <t>13 (18-28、36-37)</t>
  </si>
  <si>
    <t>公共课室6</t>
  </si>
  <si>
    <t>25 (1-25)</t>
  </si>
  <si>
    <t>1 (25)</t>
  </si>
  <si>
    <t>9 (16-24)</t>
  </si>
  <si>
    <t>18 (1-15、22-24)</t>
  </si>
  <si>
    <t>22 (1-21、25)</t>
  </si>
  <si>
    <t>考务室：三楼报告厅1  提前30分钟到考务室签到</t>
  </si>
  <si>
    <t>总计</t>
  </si>
  <si>
    <t>4选2考试顺序</t>
  </si>
  <si>
    <t>第一段</t>
  </si>
  <si>
    <t>第二段</t>
  </si>
  <si>
    <t>1-11班</t>
  </si>
  <si>
    <t>12-13班</t>
  </si>
  <si>
    <t>14班</t>
  </si>
  <si>
    <t>罗雯雯</t>
  </si>
  <si>
    <t>请假</t>
  </si>
  <si>
    <t>15-公共4</t>
  </si>
  <si>
    <t>公5</t>
  </si>
  <si>
    <t>化学（1-33、37）
生物（34-36）</t>
  </si>
  <si>
    <t>地理（1-17、34-35）
政治（18-28、36-37）
生物（29-33）</t>
  </si>
  <si>
    <t>公6</t>
  </si>
  <si>
    <t>地理（1-15）
生物（16-24）
化学（25）</t>
  </si>
  <si>
    <t>政治（1-21）
地理（22-24）
政治（25）</t>
  </si>
  <si>
    <t>36 (1-36)</t>
  </si>
  <si>
    <t>33 (1-33)</t>
  </si>
  <si>
    <t>12 (18-28、36)</t>
  </si>
  <si>
    <t>化学（1-33）
生物（34-36）</t>
  </si>
  <si>
    <t>地理（1-17、34-35）
政治（18-28、36）
生物（29-33）</t>
  </si>
  <si>
    <t>签到</t>
  </si>
  <si>
    <t>考号</t>
  </si>
  <si>
    <t>性别</t>
  </si>
  <si>
    <t>选科</t>
  </si>
  <si>
    <t>班级</t>
  </si>
  <si>
    <t>学号</t>
  </si>
  <si>
    <t>考场号</t>
  </si>
  <si>
    <t>考场</t>
  </si>
  <si>
    <t>座位号</t>
  </si>
  <si>
    <t>考场选科组合</t>
  </si>
  <si>
    <t>首选</t>
  </si>
  <si>
    <t>选科1</t>
  </si>
  <si>
    <t>选科2</t>
  </si>
  <si>
    <t>243800701</t>
  </si>
  <si>
    <t>王思尹</t>
  </si>
  <si>
    <t>女</t>
  </si>
  <si>
    <t>物化生</t>
  </si>
  <si>
    <t>001</t>
  </si>
  <si>
    <t>01</t>
  </si>
  <si>
    <t>243800302</t>
  </si>
  <si>
    <t>王梓涵</t>
  </si>
  <si>
    <t>02</t>
  </si>
  <si>
    <t>243800851</t>
  </si>
  <si>
    <t>戴子洋</t>
  </si>
  <si>
    <t>男</t>
  </si>
  <si>
    <t>03</t>
  </si>
  <si>
    <t>243800518</t>
  </si>
  <si>
    <t>李怡菲</t>
  </si>
  <si>
    <t>04</t>
  </si>
  <si>
    <t>243800532</t>
  </si>
  <si>
    <t>陈芷琪</t>
  </si>
  <si>
    <t>05</t>
  </si>
  <si>
    <t>243800817</t>
  </si>
  <si>
    <t>吴欣华</t>
  </si>
  <si>
    <t>06</t>
  </si>
  <si>
    <t>243800406</t>
  </si>
  <si>
    <t>吕弦泽</t>
  </si>
  <si>
    <t>07</t>
  </si>
  <si>
    <t>243800526</t>
  </si>
  <si>
    <t>张子涵</t>
  </si>
  <si>
    <t>08</t>
  </si>
  <si>
    <t>243800408</t>
  </si>
  <si>
    <t>庄灿铭</t>
  </si>
  <si>
    <t>09</t>
  </si>
  <si>
    <t>243800916</t>
  </si>
  <si>
    <t>李玄熙</t>
  </si>
  <si>
    <t>10</t>
  </si>
  <si>
    <t>243800849</t>
  </si>
  <si>
    <t>赖欣彤</t>
  </si>
  <si>
    <t>11</t>
  </si>
  <si>
    <t>243800136</t>
  </si>
  <si>
    <t>侯铨睿</t>
  </si>
  <si>
    <t>12</t>
  </si>
  <si>
    <t>243800512</t>
  </si>
  <si>
    <t>刘骐睿</t>
  </si>
  <si>
    <t>13</t>
  </si>
  <si>
    <t>243800115</t>
  </si>
  <si>
    <t>李梓睿</t>
  </si>
  <si>
    <t>14</t>
  </si>
  <si>
    <t>243800827</t>
  </si>
  <si>
    <t>周游</t>
  </si>
  <si>
    <t>15</t>
  </si>
  <si>
    <t>243800242</t>
  </si>
  <si>
    <t>黄浚颖</t>
  </si>
  <si>
    <t>16</t>
  </si>
  <si>
    <t>243800642</t>
  </si>
  <si>
    <t>曾晴</t>
  </si>
  <si>
    <t>17</t>
  </si>
  <si>
    <t>243800525</t>
  </si>
  <si>
    <t>何慕琳</t>
  </si>
  <si>
    <t>18</t>
  </si>
  <si>
    <t>243800404</t>
  </si>
  <si>
    <t>叶芷纤</t>
  </si>
  <si>
    <t>19</t>
  </si>
  <si>
    <t>243800848</t>
  </si>
  <si>
    <t>曾子欣</t>
  </si>
  <si>
    <t>20</t>
  </si>
  <si>
    <t>243800731</t>
  </si>
  <si>
    <t>邰子俊</t>
  </si>
  <si>
    <t>21</t>
  </si>
  <si>
    <t>243800305</t>
  </si>
  <si>
    <t>王祺乐</t>
  </si>
  <si>
    <t>22</t>
  </si>
  <si>
    <t>243800212</t>
  </si>
  <si>
    <t>苏子量</t>
  </si>
  <si>
    <t>23</t>
  </si>
  <si>
    <t>243800531</t>
  </si>
  <si>
    <t>陆梓淇</t>
  </si>
  <si>
    <t>24</t>
  </si>
  <si>
    <t>243800223</t>
  </si>
  <si>
    <t>张玮</t>
  </si>
  <si>
    <t>25</t>
  </si>
  <si>
    <t>243800635</t>
  </si>
  <si>
    <t>黄祺韬</t>
  </si>
  <si>
    <t>26</t>
  </si>
  <si>
    <t>243800449</t>
  </si>
  <si>
    <t>谭颖楠</t>
  </si>
  <si>
    <t>27</t>
  </si>
  <si>
    <t>243800628</t>
  </si>
  <si>
    <t>赵羽涵</t>
  </si>
  <si>
    <t>28</t>
  </si>
  <si>
    <t>243800944</t>
  </si>
  <si>
    <t>梁文睿</t>
  </si>
  <si>
    <t>29</t>
  </si>
  <si>
    <t>243800610</t>
  </si>
  <si>
    <t>苏俊钊</t>
  </si>
  <si>
    <t>30</t>
  </si>
  <si>
    <t>243800211</t>
  </si>
  <si>
    <t>孙海文</t>
  </si>
  <si>
    <t>31</t>
  </si>
  <si>
    <t>243800414</t>
  </si>
  <si>
    <t>关灼峣</t>
  </si>
  <si>
    <t>32</t>
  </si>
  <si>
    <t>243800337</t>
  </si>
  <si>
    <t>郑杰中</t>
  </si>
  <si>
    <t>33</t>
  </si>
  <si>
    <t>243800953</t>
  </si>
  <si>
    <t>潘恩杰</t>
  </si>
  <si>
    <t>34</t>
  </si>
  <si>
    <t>243800917</t>
  </si>
  <si>
    <t>李卓谦</t>
  </si>
  <si>
    <t>35</t>
  </si>
  <si>
    <t>243800439</t>
  </si>
  <si>
    <t>秦浩轩</t>
  </si>
  <si>
    <t>36</t>
  </si>
  <si>
    <t>243800839</t>
  </si>
  <si>
    <t>黄羽晴</t>
  </si>
  <si>
    <t>37</t>
  </si>
  <si>
    <t>243800445</t>
  </si>
  <si>
    <t>梁哲楠</t>
  </si>
  <si>
    <t>38</t>
  </si>
  <si>
    <t>243800807</t>
  </si>
  <si>
    <t>刘昱成</t>
  </si>
  <si>
    <t>39</t>
  </si>
  <si>
    <t>243800410</t>
  </si>
  <si>
    <t>刘俊龙</t>
  </si>
  <si>
    <t>40</t>
  </si>
  <si>
    <t>243800322</t>
  </si>
  <si>
    <t>沈子谦</t>
  </si>
  <si>
    <t>41</t>
  </si>
  <si>
    <t>243800111</t>
  </si>
  <si>
    <t>孙奥奇</t>
  </si>
  <si>
    <t>42</t>
  </si>
  <si>
    <t>243800515</t>
  </si>
  <si>
    <t>许可桐</t>
  </si>
  <si>
    <t>002</t>
  </si>
  <si>
    <t>243800203</t>
  </si>
  <si>
    <t>左承希</t>
  </si>
  <si>
    <t>243800643</t>
  </si>
  <si>
    <t>温润鹏</t>
  </si>
  <si>
    <t>243800740</t>
  </si>
  <si>
    <t>黄芾生</t>
  </si>
  <si>
    <t>243800648</t>
  </si>
  <si>
    <t>翟品杰</t>
  </si>
  <si>
    <t>243800818</t>
  </si>
  <si>
    <t>吴莫宸</t>
  </si>
  <si>
    <t>243800338</t>
  </si>
  <si>
    <t>赵建淳</t>
  </si>
  <si>
    <t>243800925</t>
  </si>
  <si>
    <t>沈许诺</t>
  </si>
  <si>
    <t>243800736</t>
  </si>
  <si>
    <t>周文隽</t>
  </si>
  <si>
    <t>243800204</t>
  </si>
  <si>
    <t>邝炜皓</t>
  </si>
  <si>
    <t>243800742</t>
  </si>
  <si>
    <t>黄梓遥</t>
  </si>
  <si>
    <t>243800751</t>
  </si>
  <si>
    <t>潘映彤</t>
  </si>
  <si>
    <t>243800139</t>
  </si>
  <si>
    <t>黄玉颖</t>
  </si>
  <si>
    <t>243800830</t>
  </si>
  <si>
    <t>饶韵盈</t>
  </si>
  <si>
    <t>243800237</t>
  </si>
  <si>
    <t>原梦</t>
  </si>
  <si>
    <t>243800436</t>
  </si>
  <si>
    <t>施蕾</t>
  </si>
  <si>
    <t>243800231</t>
  </si>
  <si>
    <t>卓锦川</t>
  </si>
  <si>
    <t>243800804</t>
  </si>
  <si>
    <t>田俊涛</t>
  </si>
  <si>
    <t>243800905</t>
  </si>
  <si>
    <t>刘芸何</t>
  </si>
  <si>
    <t>243800220</t>
  </si>
  <si>
    <t>杨俊基</t>
  </si>
  <si>
    <t>243800930</t>
  </si>
  <si>
    <t>陈嘉昊</t>
  </si>
  <si>
    <t>243800825</t>
  </si>
  <si>
    <t>林哲信</t>
  </si>
  <si>
    <t>243800433</t>
  </si>
  <si>
    <t>周承淳</t>
  </si>
  <si>
    <t>243800601</t>
  </si>
  <si>
    <t>于佳琳</t>
  </si>
  <si>
    <t>243800243</t>
  </si>
  <si>
    <t>梁炜皓</t>
  </si>
  <si>
    <t>243800824</t>
  </si>
  <si>
    <t>陈宇轩</t>
  </si>
  <si>
    <t>243800741</t>
  </si>
  <si>
    <t>黄泽峰</t>
  </si>
  <si>
    <t>243800420</t>
  </si>
  <si>
    <t>何清锐</t>
  </si>
  <si>
    <t>243800108</t>
  </si>
  <si>
    <t>刘笑羽</t>
  </si>
  <si>
    <t>243800603</t>
  </si>
  <si>
    <t>马歆喆</t>
  </si>
  <si>
    <t>243800705</t>
  </si>
  <si>
    <t>叶芷宁</t>
  </si>
  <si>
    <t>243800619</t>
  </si>
  <si>
    <t>邹志祥</t>
  </si>
  <si>
    <t>243800718</t>
  </si>
  <si>
    <t>何奕萱</t>
  </si>
  <si>
    <t>243800419</t>
  </si>
  <si>
    <t>何健明</t>
  </si>
  <si>
    <t>243800349</t>
  </si>
  <si>
    <t>谢祺煊</t>
  </si>
  <si>
    <t>243800140</t>
  </si>
  <si>
    <t>黄丽蓓</t>
  </si>
  <si>
    <t>243800401</t>
  </si>
  <si>
    <t>尹康</t>
  </si>
  <si>
    <t>243800228</t>
  </si>
  <si>
    <t>陈语秋</t>
  </si>
  <si>
    <t>243800148</t>
  </si>
  <si>
    <t>廖丽华</t>
  </si>
  <si>
    <t>243800329</t>
  </si>
  <si>
    <t>陈思婷</t>
  </si>
  <si>
    <t>243800842</t>
  </si>
  <si>
    <t>黄涛</t>
  </si>
  <si>
    <t>243800235</t>
  </si>
  <si>
    <t>柯孝仲</t>
  </si>
  <si>
    <t>243800609</t>
  </si>
  <si>
    <t>严实</t>
  </si>
  <si>
    <t>003</t>
  </si>
  <si>
    <t>243800516</t>
  </si>
  <si>
    <t>李明杭</t>
  </si>
  <si>
    <t>243800523</t>
  </si>
  <si>
    <t>何芷慧</t>
  </si>
  <si>
    <t>243800330</t>
  </si>
  <si>
    <t>陈烨</t>
  </si>
  <si>
    <t>243800850</t>
  </si>
  <si>
    <t>缪未雨</t>
  </si>
  <si>
    <t>243800303</t>
  </si>
  <si>
    <t>王梓晴</t>
  </si>
  <si>
    <t>243800806</t>
  </si>
  <si>
    <t>伊泽</t>
  </si>
  <si>
    <t>243800748</t>
  </si>
  <si>
    <t>甄浩霖</t>
  </si>
  <si>
    <t>243800644</t>
  </si>
  <si>
    <t>谢浩轩</t>
  </si>
  <si>
    <t>243800422</t>
  </si>
  <si>
    <t>宋钏羽</t>
  </si>
  <si>
    <t>243800611</t>
  </si>
  <si>
    <t>杨心悦</t>
  </si>
  <si>
    <t>243800623</t>
  </si>
  <si>
    <t>陈雅诗</t>
  </si>
  <si>
    <t>243800217</t>
  </si>
  <si>
    <t>李润</t>
  </si>
  <si>
    <t>243800844</t>
  </si>
  <si>
    <t>彭欣仪</t>
  </si>
  <si>
    <t>243800409</t>
  </si>
  <si>
    <t>刘欣怡</t>
  </si>
  <si>
    <t>243800429</t>
  </si>
  <si>
    <t>陈蕙甜</t>
  </si>
  <si>
    <t>243800230</t>
  </si>
  <si>
    <t>欧梓希</t>
  </si>
  <si>
    <t>243800524</t>
  </si>
  <si>
    <t>何思睿</t>
  </si>
  <si>
    <t>243800427</t>
  </si>
  <si>
    <t>陈招宝</t>
  </si>
  <si>
    <t>243800250</t>
  </si>
  <si>
    <t>潘林俊</t>
  </si>
  <si>
    <t>243800124</t>
  </si>
  <si>
    <t>陈幸茹</t>
  </si>
  <si>
    <t>243800332</t>
  </si>
  <si>
    <t>陈毅松</t>
  </si>
  <si>
    <t>243800213</t>
  </si>
  <si>
    <t>杜锦洲</t>
  </si>
  <si>
    <t>243800949</t>
  </si>
  <si>
    <t>简颖瑶</t>
  </si>
  <si>
    <t>243800138</t>
  </si>
  <si>
    <t>高坤明</t>
  </si>
  <si>
    <t>243800145</t>
  </si>
  <si>
    <t>梁承稀</t>
  </si>
  <si>
    <t>243800945</t>
  </si>
  <si>
    <t>梁育嘉</t>
  </si>
  <si>
    <t>243800201</t>
  </si>
  <si>
    <t>牛丙茏</t>
  </si>
  <si>
    <t>243800504</t>
  </si>
  <si>
    <t>邓高照</t>
  </si>
  <si>
    <t>243800932</t>
  </si>
  <si>
    <t>陈薇雅</t>
  </si>
  <si>
    <t>243800605</t>
  </si>
  <si>
    <t>刘绍宏</t>
  </si>
  <si>
    <t>243800826</t>
  </si>
  <si>
    <t>卓子谦</t>
  </si>
  <si>
    <t>243800608</t>
  </si>
  <si>
    <t>孙嘉俊</t>
  </si>
  <si>
    <t>243800612</t>
  </si>
  <si>
    <t>杨钧淼</t>
  </si>
  <si>
    <t>243800210</t>
  </si>
  <si>
    <t>许俊丞</t>
  </si>
  <si>
    <t>243800828</t>
  </si>
  <si>
    <t>郑少杰</t>
  </si>
  <si>
    <t>243800306</t>
  </si>
  <si>
    <t>孔维科</t>
  </si>
  <si>
    <t>243800629</t>
  </si>
  <si>
    <t>莫紫陌</t>
  </si>
  <si>
    <t>243800547</t>
  </si>
  <si>
    <t>曾楚诚</t>
  </si>
  <si>
    <t>243800853</t>
  </si>
  <si>
    <t>肖松月</t>
  </si>
  <si>
    <t>243800834</t>
  </si>
  <si>
    <t>凌佳仪</t>
  </si>
  <si>
    <t>243800950</t>
  </si>
  <si>
    <t>廖思玥</t>
  </si>
  <si>
    <t>243800207</t>
  </si>
  <si>
    <t>伦熙然</t>
  </si>
  <si>
    <t>004</t>
  </si>
  <si>
    <t>243800616</t>
  </si>
  <si>
    <t>何亦泊</t>
  </si>
  <si>
    <t>243800940</t>
  </si>
  <si>
    <t>耿振南</t>
  </si>
  <si>
    <t>243800933</t>
  </si>
  <si>
    <t>金泰宇</t>
  </si>
  <si>
    <t>243800151</t>
  </si>
  <si>
    <t>颜为荣</t>
  </si>
  <si>
    <t>243800624</t>
  </si>
  <si>
    <t>陈嘉欣</t>
  </si>
  <si>
    <t>243800744</t>
  </si>
  <si>
    <t>梁司颖</t>
  </si>
  <si>
    <t>243800114</t>
  </si>
  <si>
    <t>李建锋</t>
  </si>
  <si>
    <t>243800735</t>
  </si>
  <si>
    <t>林鹏翀</t>
  </si>
  <si>
    <t>243800633</t>
  </si>
  <si>
    <t>黄宝萱</t>
  </si>
  <si>
    <t>243800724</t>
  </si>
  <si>
    <t>张浩杰</t>
  </si>
  <si>
    <t>243800506</t>
  </si>
  <si>
    <t>石钰婷</t>
  </si>
  <si>
    <t>243800505</t>
  </si>
  <si>
    <t>邓璞</t>
  </si>
  <si>
    <t>243800507</t>
  </si>
  <si>
    <t>卢炜杰</t>
  </si>
  <si>
    <t>243800218</t>
  </si>
  <si>
    <t>李铭谦</t>
  </si>
  <si>
    <t>243800448</t>
  </si>
  <si>
    <t>谢嘉浩</t>
  </si>
  <si>
    <t>243800339</t>
  </si>
  <si>
    <t>胡洋</t>
  </si>
  <si>
    <t>243800745</t>
  </si>
  <si>
    <t>梁泳怡</t>
  </si>
  <si>
    <t>243800927</t>
  </si>
  <si>
    <t>陈芷茵</t>
  </si>
  <si>
    <t>243800954</t>
  </si>
  <si>
    <t>陈励</t>
  </si>
  <si>
    <t>243800123</t>
  </si>
  <si>
    <t>张睿涵</t>
  </si>
  <si>
    <t>243800729</t>
  </si>
  <si>
    <t>陈雨林</t>
  </si>
  <si>
    <t>243800543</t>
  </si>
  <si>
    <t>黄兰芷</t>
  </si>
  <si>
    <t>243800835</t>
  </si>
  <si>
    <t>陶百川</t>
  </si>
  <si>
    <t>243800553</t>
  </si>
  <si>
    <t>李伟尧</t>
  </si>
  <si>
    <t>243800514</t>
  </si>
  <si>
    <t>关仟翎</t>
  </si>
  <si>
    <t>243800852</t>
  </si>
  <si>
    <t>戴安冉</t>
  </si>
  <si>
    <t>243800528</t>
  </si>
  <si>
    <t>张雅文</t>
  </si>
  <si>
    <t>243800720</t>
  </si>
  <si>
    <t>余珉轩</t>
  </si>
  <si>
    <t>243800311</t>
  </si>
  <si>
    <t>刘梓睿</t>
  </si>
  <si>
    <t>243800843</t>
  </si>
  <si>
    <t>梁芷晗</t>
  </si>
  <si>
    <t>243800814</t>
  </si>
  <si>
    <t>李宇轩</t>
  </si>
  <si>
    <t>243800430</t>
  </si>
  <si>
    <t>林广骏</t>
  </si>
  <si>
    <t>243800734</t>
  </si>
  <si>
    <t>林榆翔</t>
  </si>
  <si>
    <t>243800836</t>
  </si>
  <si>
    <t>黄一逍</t>
  </si>
  <si>
    <t>243800819</t>
  </si>
  <si>
    <t>吴梓尧</t>
  </si>
  <si>
    <t>243800440</t>
  </si>
  <si>
    <t>郭奕钧</t>
  </si>
  <si>
    <t>243800130</t>
  </si>
  <si>
    <t>陈毅衡</t>
  </si>
  <si>
    <t>243800841</t>
  </si>
  <si>
    <t>黄凌怡</t>
  </si>
  <si>
    <t>243800309</t>
  </si>
  <si>
    <t>刘启锋</t>
  </si>
  <si>
    <t>243800919</t>
  </si>
  <si>
    <t>李鸿玉</t>
  </si>
  <si>
    <t>243800334</t>
  </si>
  <si>
    <t>林子欣</t>
  </si>
  <si>
    <t>243800310</t>
  </si>
  <si>
    <t>刘炜鹏</t>
  </si>
  <si>
    <t>005</t>
  </si>
  <si>
    <t>243800723</t>
  </si>
  <si>
    <t>张思博</t>
  </si>
  <si>
    <t>243800120</t>
  </si>
  <si>
    <t>张羿晨</t>
  </si>
  <si>
    <t>243800345</t>
  </si>
  <si>
    <t>蒋若庆</t>
  </si>
  <si>
    <t>243800442</t>
  </si>
  <si>
    <t>黄一洋</t>
  </si>
  <si>
    <t>243800746</t>
  </si>
  <si>
    <t>曾烨轩</t>
  </si>
  <si>
    <t>243800810</t>
  </si>
  <si>
    <t>纪可楠</t>
  </si>
  <si>
    <t>243800447</t>
  </si>
  <si>
    <t>温宇霆</t>
  </si>
  <si>
    <t>243800552</t>
  </si>
  <si>
    <t>李汶儒</t>
  </si>
  <si>
    <t>243800149</t>
  </si>
  <si>
    <t>谭景轩</t>
  </si>
  <si>
    <t>243800437</t>
  </si>
  <si>
    <t>洪铎睿</t>
  </si>
  <si>
    <t>243800533</t>
  </si>
  <si>
    <t>陈彦杉</t>
  </si>
  <si>
    <t>243800821</t>
  </si>
  <si>
    <t>张信</t>
  </si>
  <si>
    <t>243800513</t>
  </si>
  <si>
    <t>刘耀榛</t>
  </si>
  <si>
    <t>243800901</t>
  </si>
  <si>
    <t>王子豪</t>
  </si>
  <si>
    <t>243800522</t>
  </si>
  <si>
    <t>杨子东</t>
  </si>
  <si>
    <t>243800903</t>
  </si>
  <si>
    <t>朱家立</t>
  </si>
  <si>
    <t>243800234</t>
  </si>
  <si>
    <t>柯吉锴</t>
  </si>
  <si>
    <t>243800347</t>
  </si>
  <si>
    <t>惠润德</t>
  </si>
  <si>
    <t>243800539</t>
  </si>
  <si>
    <t>聂仲谋</t>
  </si>
  <si>
    <t>243800606</t>
  </si>
  <si>
    <t>刘键泉</t>
  </si>
  <si>
    <t>243800811</t>
  </si>
  <si>
    <t>麦珺婷</t>
  </si>
  <si>
    <t>243800501</t>
  </si>
  <si>
    <t>王以涵</t>
  </si>
  <si>
    <t>243800732</t>
  </si>
  <si>
    <t>林丹欣</t>
  </si>
  <si>
    <t>243800946</t>
  </si>
  <si>
    <t>梁绮桐</t>
  </si>
  <si>
    <t>243800106</t>
  </si>
  <si>
    <t>刘芷晴</t>
  </si>
  <si>
    <t>243800252</t>
  </si>
  <si>
    <t>魏铭圳</t>
  </si>
  <si>
    <t>243800906</t>
  </si>
  <si>
    <t>刘沐颖</t>
  </si>
  <si>
    <t>243800929</t>
  </si>
  <si>
    <t>陈金洪</t>
  </si>
  <si>
    <t>243800412</t>
  </si>
  <si>
    <t>刘祚广</t>
  </si>
  <si>
    <t>243800709</t>
  </si>
  <si>
    <t>刘铠逸</t>
  </si>
  <si>
    <t>243800451</t>
  </si>
  <si>
    <t>潘凯欣</t>
  </si>
  <si>
    <t>243800649</t>
  </si>
  <si>
    <t>黎彦彤</t>
  </si>
  <si>
    <t>243800307</t>
  </si>
  <si>
    <t>邓盛渊</t>
  </si>
  <si>
    <t>243800219</t>
  </si>
  <si>
    <t>杨俊希</t>
  </si>
  <si>
    <t>243800743</t>
  </si>
  <si>
    <t>盛泽瑞</t>
  </si>
  <si>
    <t>243800421</t>
  </si>
  <si>
    <t>何镓越</t>
  </si>
  <si>
    <t>243800249</t>
  </si>
  <si>
    <t>廖梓瑜</t>
  </si>
  <si>
    <t>243800915</t>
  </si>
  <si>
    <t>李文轩</t>
  </si>
  <si>
    <t>243800536</t>
  </si>
  <si>
    <t>周芊妤</t>
  </si>
  <si>
    <t>243800435</t>
  </si>
  <si>
    <t>胡嘉豪</t>
  </si>
  <si>
    <t>243800634</t>
  </si>
  <si>
    <t>黄俊哲</t>
  </si>
  <si>
    <t>243800232</t>
  </si>
  <si>
    <t>赵相成</t>
  </si>
  <si>
    <t>006</t>
  </si>
  <si>
    <t>243800418</t>
  </si>
  <si>
    <t>吴家煌</t>
  </si>
  <si>
    <t>243800702</t>
  </si>
  <si>
    <t>王展辉</t>
  </si>
  <si>
    <t>243800622</t>
  </si>
  <si>
    <t>陈博仁</t>
  </si>
  <si>
    <t>243800920</t>
  </si>
  <si>
    <t>李淳</t>
  </si>
  <si>
    <t>243800613</t>
  </si>
  <si>
    <t>吴凌菲</t>
  </si>
  <si>
    <t>243800641</t>
  </si>
  <si>
    <t>曾昊</t>
  </si>
  <si>
    <t>243800541</t>
  </si>
  <si>
    <t>高依子</t>
  </si>
  <si>
    <t>243800342</t>
  </si>
  <si>
    <t>梁善皓</t>
  </si>
  <si>
    <t>243800122</t>
  </si>
  <si>
    <t>张睿宸</t>
  </si>
  <si>
    <t>243800312</t>
  </si>
  <si>
    <t>汤姊瑶</t>
  </si>
  <si>
    <t>243800340</t>
  </si>
  <si>
    <t>郭宇洋</t>
  </si>
  <si>
    <t>243800615</t>
  </si>
  <si>
    <t>岑泽嘉</t>
  </si>
  <si>
    <t>243800549</t>
  </si>
  <si>
    <t>蔡铭</t>
  </si>
  <si>
    <t>243800922</t>
  </si>
  <si>
    <t>余卓桐</t>
  </si>
  <si>
    <t>243800805</t>
  </si>
  <si>
    <t>白鹤鸣</t>
  </si>
  <si>
    <t>243800823</t>
  </si>
  <si>
    <t>张煜杰</t>
  </si>
  <si>
    <t>243800239</t>
  </si>
  <si>
    <t>徐心媛</t>
  </si>
  <si>
    <t>243800715</t>
  </si>
  <si>
    <t>杜紫煊</t>
  </si>
  <si>
    <t>243800912</t>
  </si>
  <si>
    <t>劳启轩</t>
  </si>
  <si>
    <t>243800802</t>
  </si>
  <si>
    <t>毛有栋</t>
  </si>
  <si>
    <t>243800803</t>
  </si>
  <si>
    <t>叶伟桐</t>
  </si>
  <si>
    <t>243800119</t>
  </si>
  <si>
    <t>张仟合</t>
  </si>
  <si>
    <t>243800809</t>
  </si>
  <si>
    <t>江雨珩</t>
  </si>
  <si>
    <t>243800707</t>
  </si>
  <si>
    <t>朱雅诗</t>
  </si>
  <si>
    <t>243800444</t>
  </si>
  <si>
    <t>黄荣浩</t>
  </si>
  <si>
    <t>243800631</t>
  </si>
  <si>
    <t>高世桥</t>
  </si>
  <si>
    <t>243800104</t>
  </si>
  <si>
    <t>朱钧杰</t>
  </si>
  <si>
    <t>243800129</t>
  </si>
  <si>
    <t>陈智颖</t>
  </si>
  <si>
    <t>243800240</t>
  </si>
  <si>
    <t>凌子尧</t>
  </si>
  <si>
    <t>243800625</t>
  </si>
  <si>
    <t>罗诗韵</t>
  </si>
  <si>
    <t>243800840</t>
  </si>
  <si>
    <t>黄信</t>
  </si>
  <si>
    <t>243800931</t>
  </si>
  <si>
    <t>陈薇朵</t>
  </si>
  <si>
    <t>243800508</t>
  </si>
  <si>
    <t>白晞业</t>
  </si>
  <si>
    <t>243800630</t>
  </si>
  <si>
    <t>徐德力</t>
  </si>
  <si>
    <t>243800815</t>
  </si>
  <si>
    <t>李睿霖</t>
  </si>
  <si>
    <t>243800323</t>
  </si>
  <si>
    <t>243800202</t>
  </si>
  <si>
    <t>文哲浩</t>
  </si>
  <si>
    <t>243800150</t>
  </si>
  <si>
    <t>黎显立</t>
  </si>
  <si>
    <t>243800116</t>
  </si>
  <si>
    <t>杨钦辰</t>
  </si>
  <si>
    <t>243800424</t>
  </si>
  <si>
    <t>张弛</t>
  </si>
  <si>
    <t>243800833</t>
  </si>
  <si>
    <t>徐一沣</t>
  </si>
  <si>
    <t>243800704</t>
  </si>
  <si>
    <t>卢政昕</t>
  </si>
  <si>
    <t>007</t>
  </si>
  <si>
    <t>243800353</t>
  </si>
  <si>
    <t>江宇宸</t>
  </si>
  <si>
    <t>243800301</t>
  </si>
  <si>
    <t>王凌宇</t>
  </si>
  <si>
    <t>243800215</t>
  </si>
  <si>
    <t>李昕妍</t>
  </si>
  <si>
    <t>243800126</t>
  </si>
  <si>
    <t>陈泓佚</t>
  </si>
  <si>
    <t>243800236</t>
  </si>
  <si>
    <t>钟程</t>
  </si>
  <si>
    <t>243800952</t>
  </si>
  <si>
    <t>谭嘉宁</t>
  </si>
  <si>
    <t>243800509</t>
  </si>
  <si>
    <t>朱永基</t>
  </si>
  <si>
    <t>243800226</t>
  </si>
  <si>
    <t>陈思宇</t>
  </si>
  <si>
    <t>243800304</t>
  </si>
  <si>
    <t>王雅茜</t>
  </si>
  <si>
    <t>243800847</t>
  </si>
  <si>
    <t>覃钰珊</t>
  </si>
  <si>
    <t>243800808</t>
  </si>
  <si>
    <t>江宇康</t>
  </si>
  <si>
    <t>243800752</t>
  </si>
  <si>
    <t>潘滢莹</t>
  </si>
  <si>
    <t>243800416</t>
  </si>
  <si>
    <t>汤姊萱</t>
  </si>
  <si>
    <t>243800716</t>
  </si>
  <si>
    <t>李沛航</t>
  </si>
  <si>
    <t>243800538</t>
  </si>
  <si>
    <t>饶俊宇</t>
  </si>
  <si>
    <t>243800813</t>
  </si>
  <si>
    <t>李子炫</t>
  </si>
  <si>
    <t>243800713</t>
  </si>
  <si>
    <t>孙铭辰</t>
  </si>
  <si>
    <t>243800636</t>
  </si>
  <si>
    <t>黄筠</t>
  </si>
  <si>
    <t>243800205</t>
  </si>
  <si>
    <t>邝慧怡</t>
  </si>
  <si>
    <t>243800431</t>
  </si>
  <si>
    <t>林琪敏</t>
  </si>
  <si>
    <t>243800726</t>
  </si>
  <si>
    <t>张熠童</t>
  </si>
  <si>
    <t>243800638</t>
  </si>
  <si>
    <t>符铭泽</t>
  </si>
  <si>
    <t>243800614</t>
  </si>
  <si>
    <t>吴锐敏</t>
  </si>
  <si>
    <t>243800208</t>
  </si>
  <si>
    <t>刘杰钒</t>
  </si>
  <si>
    <t>243800314</t>
  </si>
  <si>
    <t>李佳晔</t>
  </si>
  <si>
    <t>243800937</t>
  </si>
  <si>
    <t>柳俊熙</t>
  </si>
  <si>
    <t>243800921</t>
  </si>
  <si>
    <t>杨子琦</t>
  </si>
  <si>
    <t>243800315</t>
  </si>
  <si>
    <t>李柏翘</t>
  </si>
  <si>
    <t>243800432</t>
  </si>
  <si>
    <t>林靖熙</t>
  </si>
  <si>
    <t>243800911</t>
  </si>
  <si>
    <t>许愿</t>
  </si>
  <si>
    <t>243800348</t>
  </si>
  <si>
    <t>曾文瀚</t>
  </si>
  <si>
    <t>243800113</t>
  </si>
  <si>
    <t>李炬成</t>
  </si>
  <si>
    <t>243800739</t>
  </si>
  <si>
    <t>袁家敬</t>
  </si>
  <si>
    <t>243800721</t>
  </si>
  <si>
    <t>余嘉玥</t>
  </si>
  <si>
    <t>243800951</t>
  </si>
  <si>
    <t>谭烨淇</t>
  </si>
  <si>
    <t>243800913</t>
  </si>
  <si>
    <t>苏景豪</t>
  </si>
  <si>
    <t>243800117</t>
  </si>
  <si>
    <t>杨栩瑜</t>
  </si>
  <si>
    <t>243800832</t>
  </si>
  <si>
    <t>骆正耀</t>
  </si>
  <si>
    <t>243800221</t>
  </si>
  <si>
    <t>吴宇轩</t>
  </si>
  <si>
    <t>243800121</t>
  </si>
  <si>
    <t>张舒淋</t>
  </si>
  <si>
    <t>243800902</t>
  </si>
  <si>
    <t>田宏宇</t>
  </si>
  <si>
    <t>243800535</t>
  </si>
  <si>
    <t>林嘉豪</t>
  </si>
  <si>
    <t>008</t>
  </si>
  <si>
    <t>243800222</t>
  </si>
  <si>
    <t>余梓恒</t>
  </si>
  <si>
    <t>243800134</t>
  </si>
  <si>
    <t>罗玉蕙</t>
  </si>
  <si>
    <t>243800943</t>
  </si>
  <si>
    <t>黄家奇</t>
  </si>
  <si>
    <t>243800747</t>
  </si>
  <si>
    <t>谢承熹</t>
  </si>
  <si>
    <t>243800450</t>
  </si>
  <si>
    <t>潘苑杰</t>
  </si>
  <si>
    <t>243800908</t>
  </si>
  <si>
    <t>刘宸阳</t>
  </si>
  <si>
    <t>243800316</t>
  </si>
  <si>
    <t>杨梓乔</t>
  </si>
  <si>
    <t>243800247</t>
  </si>
  <si>
    <t>谢立言</t>
  </si>
  <si>
    <t>243800710</t>
  </si>
  <si>
    <t>刘灏宇</t>
  </si>
  <si>
    <t>243800335</t>
  </si>
  <si>
    <t>林瑞</t>
  </si>
  <si>
    <t>243800714</t>
  </si>
  <si>
    <t>杜昊翰</t>
  </si>
  <si>
    <t>243800102</t>
  </si>
  <si>
    <t>王煜安</t>
  </si>
  <si>
    <t>243800749</t>
  </si>
  <si>
    <t>廖健淇</t>
  </si>
  <si>
    <t>243800650</t>
  </si>
  <si>
    <t>潘卓然</t>
  </si>
  <si>
    <t>243800534</t>
  </si>
  <si>
    <t>陈家豪</t>
  </si>
  <si>
    <t>243800511</t>
  </si>
  <si>
    <t>刘亲杨</t>
  </si>
  <si>
    <t>243800604</t>
  </si>
  <si>
    <t>邓楚骞</t>
  </si>
  <si>
    <t>243800639</t>
  </si>
  <si>
    <t>梁智楷</t>
  </si>
  <si>
    <t>243800109</t>
  </si>
  <si>
    <t>刘铭泓</t>
  </si>
  <si>
    <t>243800128</t>
  </si>
  <si>
    <t>陈恺涵</t>
  </si>
  <si>
    <t>243800341</t>
  </si>
  <si>
    <t>龚哲</t>
  </si>
  <si>
    <t>243800647</t>
  </si>
  <si>
    <t>谭星君</t>
  </si>
  <si>
    <t>243800423</t>
  </si>
  <si>
    <t>张华强</t>
  </si>
  <si>
    <t>243800248</t>
  </si>
  <si>
    <t>蔡宜恒</t>
  </si>
  <si>
    <t>243800607</t>
  </si>
  <si>
    <t>闭仪浩</t>
  </si>
  <si>
    <t>243800411</t>
  </si>
  <si>
    <t>刘奕铭</t>
  </si>
  <si>
    <t>243800346</t>
  </si>
  <si>
    <t>韩嘉怡</t>
  </si>
  <si>
    <t>243800101</t>
  </si>
  <si>
    <t>马悦程</t>
  </si>
  <si>
    <t>243800942</t>
  </si>
  <si>
    <t>黄泽琛</t>
  </si>
  <si>
    <t>243800520</t>
  </si>
  <si>
    <t>李涵宇</t>
  </si>
  <si>
    <t>243800503</t>
  </si>
  <si>
    <t>王嘉莹</t>
  </si>
  <si>
    <t>243800637</t>
  </si>
  <si>
    <t>萧颖儿</t>
  </si>
  <si>
    <t>243800351</t>
  </si>
  <si>
    <t>雷家俊</t>
  </si>
  <si>
    <t>243800251</t>
  </si>
  <si>
    <t>戴斯</t>
  </si>
  <si>
    <t>243800233</t>
  </si>
  <si>
    <t>胡楚轩</t>
  </si>
  <si>
    <t>243800620</t>
  </si>
  <si>
    <t>陆长锋</t>
  </si>
  <si>
    <t>243800719</t>
  </si>
  <si>
    <t>何铠健</t>
  </si>
  <si>
    <t>243800645</t>
  </si>
  <si>
    <t>廖晨曦</t>
  </si>
  <si>
    <t>243800137</t>
  </si>
  <si>
    <t>袁润</t>
  </si>
  <si>
    <t>243800146</t>
  </si>
  <si>
    <t>梁楚仕</t>
  </si>
  <si>
    <t>243800948</t>
  </si>
  <si>
    <t>蓝欣妍</t>
  </si>
  <si>
    <t>243800926</t>
  </si>
  <si>
    <t>张梓洛</t>
  </si>
  <si>
    <t>009</t>
  </si>
  <si>
    <t>243800443</t>
  </si>
  <si>
    <t>黄伟杰</t>
  </si>
  <si>
    <t>243800241</t>
  </si>
  <si>
    <t>郭焕彬</t>
  </si>
  <si>
    <t>243800725</t>
  </si>
  <si>
    <t>张淑仪</t>
  </si>
  <si>
    <t>243800308</t>
  </si>
  <si>
    <t>刘灿森</t>
  </si>
  <si>
    <t>243800938</t>
  </si>
  <si>
    <t>侯林涛</t>
  </si>
  <si>
    <t>243800652</t>
  </si>
  <si>
    <t>魏涵琪</t>
  </si>
  <si>
    <t>243800617</t>
  </si>
  <si>
    <t>何雨泽</t>
  </si>
  <si>
    <t>243800327</t>
  </si>
  <si>
    <t>陈凯旭</t>
  </si>
  <si>
    <t>243800344</t>
  </si>
  <si>
    <t>彭宇彬</t>
  </si>
  <si>
    <t>243800546</t>
  </si>
  <si>
    <t>曾彭</t>
  </si>
  <si>
    <t>243800144</t>
  </si>
  <si>
    <t>龚冠丞</t>
  </si>
  <si>
    <t>243800413</t>
  </si>
  <si>
    <t>齐传栋</t>
  </si>
  <si>
    <t>243800244</t>
  </si>
  <si>
    <t>梁振宇</t>
  </si>
  <si>
    <t>243800147</t>
  </si>
  <si>
    <t>梁楚贤</t>
  </si>
  <si>
    <t>243800206</t>
  </si>
  <si>
    <t>吕展航</t>
  </si>
  <si>
    <t>243800914</t>
  </si>
  <si>
    <t>杜宇希</t>
  </si>
  <si>
    <t>243800939</t>
  </si>
  <si>
    <t>姚南舟</t>
  </si>
  <si>
    <t>243800403</t>
  </si>
  <si>
    <t>卢滢滢</t>
  </si>
  <si>
    <t>243800107</t>
  </si>
  <si>
    <t>刘思毅</t>
  </si>
  <si>
    <t>243800238</t>
  </si>
  <si>
    <t>原滢滢</t>
  </si>
  <si>
    <t>243800544</t>
  </si>
  <si>
    <t>梁皓斌</t>
  </si>
  <si>
    <t>243800118</t>
  </si>
  <si>
    <t>余向霖</t>
  </si>
  <si>
    <t>243800105</t>
  </si>
  <si>
    <t>刘羽淇</t>
  </si>
  <si>
    <t>243800313</t>
  </si>
  <si>
    <t>李奇昌</t>
  </si>
  <si>
    <t>243800727</t>
  </si>
  <si>
    <t>陈志豪</t>
  </si>
  <si>
    <t>243800216</t>
  </si>
  <si>
    <t>李思薇</t>
  </si>
  <si>
    <t>243800318</t>
  </si>
  <si>
    <t>肖菁</t>
  </si>
  <si>
    <t>243800227</t>
  </si>
  <si>
    <t>陈俊曈</t>
  </si>
  <si>
    <t>243800918</t>
  </si>
  <si>
    <t>李致远</t>
  </si>
  <si>
    <t>243800627</t>
  </si>
  <si>
    <t>官欣李</t>
  </si>
  <si>
    <t>243800320</t>
  </si>
  <si>
    <t>吴智毅</t>
  </si>
  <si>
    <t>243800141</t>
  </si>
  <si>
    <t>黄柏鸿</t>
  </si>
  <si>
    <t>243800738</t>
  </si>
  <si>
    <t>拜元蓉</t>
  </si>
  <si>
    <t>243800434</t>
  </si>
  <si>
    <t>郑睿鑫</t>
  </si>
  <si>
    <t>243800407</t>
  </si>
  <si>
    <t>伍丰泽</t>
  </si>
  <si>
    <t>243800224</t>
  </si>
  <si>
    <t>陈雨彤</t>
  </si>
  <si>
    <t>243800319</t>
  </si>
  <si>
    <t>吴贤皓</t>
  </si>
  <si>
    <t>243800143</t>
  </si>
  <si>
    <t>黄睿</t>
  </si>
  <si>
    <t>243800820</t>
  </si>
  <si>
    <t>何润芝</t>
  </si>
  <si>
    <t>243800537</t>
  </si>
  <si>
    <t>胡鹤严</t>
  </si>
  <si>
    <t>243800621</t>
  </si>
  <si>
    <t>陆政</t>
  </si>
  <si>
    <t>243800426</t>
  </si>
  <si>
    <t>陈沛臻</t>
  </si>
  <si>
    <t>010</t>
  </si>
  <si>
    <t>243800246</t>
  </si>
  <si>
    <t>梁馨尹</t>
  </si>
  <si>
    <t>243800822</t>
  </si>
  <si>
    <t>张锐锋</t>
  </si>
  <si>
    <t>243800452</t>
  </si>
  <si>
    <t>潘俊宇</t>
  </si>
  <si>
    <t>243800214</t>
  </si>
  <si>
    <t>李玉彬</t>
  </si>
  <si>
    <t>243800135</t>
  </si>
  <si>
    <t>胡梓晋</t>
  </si>
  <si>
    <t>243800152</t>
  </si>
  <si>
    <t>潘盈睿</t>
  </si>
  <si>
    <t>243800846</t>
  </si>
  <si>
    <t>董琪</t>
  </si>
  <si>
    <t>243800350</t>
  </si>
  <si>
    <t>谢煜扬</t>
  </si>
  <si>
    <t>243800352</t>
  </si>
  <si>
    <t>熊珞颐</t>
  </si>
  <si>
    <t>243800703</t>
  </si>
  <si>
    <t>韦泳诗</t>
  </si>
  <si>
    <t>243800428</t>
  </si>
  <si>
    <t>陈铭</t>
  </si>
  <si>
    <t>243800326</t>
  </si>
  <si>
    <t>张梓荣</t>
  </si>
  <si>
    <t>243800706</t>
  </si>
  <si>
    <t>吕顺捷</t>
  </si>
  <si>
    <t>243800750</t>
  </si>
  <si>
    <t>黎天旭</t>
  </si>
  <si>
    <t>243800831</t>
  </si>
  <si>
    <t>姚智博</t>
  </si>
  <si>
    <t>243800936</t>
  </si>
  <si>
    <t>胡凯翔</t>
  </si>
  <si>
    <t>243801256</t>
  </si>
  <si>
    <t>陈泽博</t>
  </si>
  <si>
    <t>243800935</t>
  </si>
  <si>
    <t>郑玥</t>
  </si>
  <si>
    <t>243800646</t>
  </si>
  <si>
    <t>廖穗恺</t>
  </si>
  <si>
    <t>243800540</t>
  </si>
  <si>
    <t>徐春景</t>
  </si>
  <si>
    <t>243800333</t>
  </si>
  <si>
    <t>陈薇琳</t>
  </si>
  <si>
    <t>243800816</t>
  </si>
  <si>
    <t>吴羽轩</t>
  </si>
  <si>
    <t>243800838</t>
  </si>
  <si>
    <t>黄子馨</t>
  </si>
  <si>
    <t>243800708</t>
  </si>
  <si>
    <t>刘田宇</t>
  </si>
  <si>
    <t>243800125</t>
  </si>
  <si>
    <t>陈佳焕</t>
  </si>
  <si>
    <t>243800551</t>
  </si>
  <si>
    <t>戴淋榆</t>
  </si>
  <si>
    <t>243800142</t>
  </si>
  <si>
    <t>黄紫珊</t>
  </si>
  <si>
    <t>243800402</t>
  </si>
  <si>
    <t>甘梓轩</t>
  </si>
  <si>
    <t>243800133</t>
  </si>
  <si>
    <t>林钦涛</t>
  </si>
  <si>
    <t>243800321</t>
  </si>
  <si>
    <t>何铭恩</t>
  </si>
  <si>
    <t>243800519</t>
  </si>
  <si>
    <t>李洛铖</t>
  </si>
  <si>
    <t>243800722</t>
  </si>
  <si>
    <t>张芸悦</t>
  </si>
  <si>
    <t>243800415</t>
  </si>
  <si>
    <t>江奕霖</t>
  </si>
  <si>
    <t>243800854</t>
  </si>
  <si>
    <t>林诗铟</t>
  </si>
  <si>
    <t>243800331</t>
  </si>
  <si>
    <t>陈海蕴</t>
  </si>
  <si>
    <t>243800112</t>
  </si>
  <si>
    <t>李国邦</t>
  </si>
  <si>
    <t>243800730</t>
  </si>
  <si>
    <t>陈昊敏</t>
  </si>
  <si>
    <t>243800711</t>
  </si>
  <si>
    <t>江雨桐</t>
  </si>
  <si>
    <t>243800517</t>
  </si>
  <si>
    <t>李佳洛</t>
  </si>
  <si>
    <t>243800712</t>
  </si>
  <si>
    <t>孙跃铭</t>
  </si>
  <si>
    <t>243800904</t>
  </si>
  <si>
    <t>庄嘉仪</t>
  </si>
  <si>
    <t>243800417</t>
  </si>
  <si>
    <t>李啟官</t>
  </si>
  <si>
    <t>011</t>
  </si>
  <si>
    <t>243800521</t>
  </si>
  <si>
    <t>李智博</t>
  </si>
  <si>
    <t>243800837</t>
  </si>
  <si>
    <t>黄久锋</t>
  </si>
  <si>
    <t>243800602</t>
  </si>
  <si>
    <t>马聆迪</t>
  </si>
  <si>
    <t>243800527</t>
  </si>
  <si>
    <t>张肃萱</t>
  </si>
  <si>
    <t>243800343</t>
  </si>
  <si>
    <t>彭文俊</t>
  </si>
  <si>
    <t>243800910</t>
  </si>
  <si>
    <t>江嘉棋</t>
  </si>
  <si>
    <t>243800728</t>
  </si>
  <si>
    <t>陈轩粲</t>
  </si>
  <si>
    <t>243800618</t>
  </si>
  <si>
    <t>何荣烯</t>
  </si>
  <si>
    <t>243800550</t>
  </si>
  <si>
    <t>翟宇轩</t>
  </si>
  <si>
    <t>243800245</t>
  </si>
  <si>
    <t>梁晟玮</t>
  </si>
  <si>
    <t>243800907</t>
  </si>
  <si>
    <t>刘俞麟</t>
  </si>
  <si>
    <t>243800717</t>
  </si>
  <si>
    <t>李杰睿</t>
  </si>
  <si>
    <t>243800626</t>
  </si>
  <si>
    <t>罗皓予</t>
  </si>
  <si>
    <t>243800542</t>
  </si>
  <si>
    <t>黄元昊</t>
  </si>
  <si>
    <t>243800317</t>
  </si>
  <si>
    <t>杨程智</t>
  </si>
  <si>
    <t>243800103</t>
  </si>
  <si>
    <t>邓俊毅</t>
  </si>
  <si>
    <t>243800229</t>
  </si>
  <si>
    <t>邵奕婷</t>
  </si>
  <si>
    <t>243800545</t>
  </si>
  <si>
    <t>彭旭晖</t>
  </si>
  <si>
    <t>243800529</t>
  </si>
  <si>
    <t>张慕涵</t>
  </si>
  <si>
    <t>243800438</t>
  </si>
  <si>
    <t>洪紫涵</t>
  </si>
  <si>
    <t>243800131</t>
  </si>
  <si>
    <t>陈懿俊</t>
  </si>
  <si>
    <t>243800336</t>
  </si>
  <si>
    <t>罗培睿</t>
  </si>
  <si>
    <t>243800502</t>
  </si>
  <si>
    <t>王涵</t>
  </si>
  <si>
    <t>243800441</t>
  </si>
  <si>
    <t>郭梓柔</t>
  </si>
  <si>
    <t>243800640</t>
  </si>
  <si>
    <t>梁皓文</t>
  </si>
  <si>
    <t>243800225</t>
  </si>
  <si>
    <t>陈珈仪</t>
  </si>
  <si>
    <t>243800324</t>
  </si>
  <si>
    <t>张艺</t>
  </si>
  <si>
    <t>243800928</t>
  </si>
  <si>
    <t>陈昊言</t>
  </si>
  <si>
    <t>243800737</t>
  </si>
  <si>
    <t>项泉棠</t>
  </si>
  <si>
    <t>243800934</t>
  </si>
  <si>
    <t>周钰晟</t>
  </si>
  <si>
    <t>243800325</t>
  </si>
  <si>
    <t>张哲涵</t>
  </si>
  <si>
    <t>243800812</t>
  </si>
  <si>
    <t>严华华</t>
  </si>
  <si>
    <t>243800924</t>
  </si>
  <si>
    <t>沈书桐</t>
  </si>
  <si>
    <t>243800733</t>
  </si>
  <si>
    <t>林佳琳</t>
  </si>
  <si>
    <t>243800548</t>
  </si>
  <si>
    <t>谢子阳</t>
  </si>
  <si>
    <t>243800651</t>
  </si>
  <si>
    <t>戴子健</t>
  </si>
  <si>
    <t>243800632</t>
  </si>
  <si>
    <t>黄文琦</t>
  </si>
  <si>
    <t>243800209</t>
  </si>
  <si>
    <t>刘奕</t>
  </si>
  <si>
    <t>243800446</t>
  </si>
  <si>
    <t>曾家俊</t>
  </si>
  <si>
    <t>243800845</t>
  </si>
  <si>
    <t>彭家保</t>
  </si>
  <si>
    <t>243800941</t>
  </si>
  <si>
    <t>高商祺</t>
  </si>
  <si>
    <t>243801113</t>
  </si>
  <si>
    <t>刘雅然</t>
  </si>
  <si>
    <t>物化地</t>
  </si>
  <si>
    <t>012</t>
  </si>
  <si>
    <t>243801047</t>
  </si>
  <si>
    <t>蔡嘉琪</t>
  </si>
  <si>
    <t>243801111</t>
  </si>
  <si>
    <t>伍睿熙</t>
  </si>
  <si>
    <t>243801039</t>
  </si>
  <si>
    <t>梁芷滢</t>
  </si>
  <si>
    <t>243801016</t>
  </si>
  <si>
    <t>李童</t>
  </si>
  <si>
    <t>243801023</t>
  </si>
  <si>
    <t>张圣锐</t>
  </si>
  <si>
    <t>243801020</t>
  </si>
  <si>
    <t>何雨熹</t>
  </si>
  <si>
    <t>243801137</t>
  </si>
  <si>
    <t>黄承朗</t>
  </si>
  <si>
    <t>243801117</t>
  </si>
  <si>
    <t>243801006</t>
  </si>
  <si>
    <t>叶晓璟</t>
  </si>
  <si>
    <t>243801134</t>
  </si>
  <si>
    <t>罗琳</t>
  </si>
  <si>
    <t>243801136</t>
  </si>
  <si>
    <t>徐梓恩</t>
  </si>
  <si>
    <t>243801129</t>
  </si>
  <si>
    <t>陈晞</t>
  </si>
  <si>
    <t>243801028</t>
  </si>
  <si>
    <t>林希睿</t>
  </si>
  <si>
    <t>243801146</t>
  </si>
  <si>
    <t>曾少鸿</t>
  </si>
  <si>
    <t>243801125</t>
  </si>
  <si>
    <t>陈子承</t>
  </si>
  <si>
    <t>243801147</t>
  </si>
  <si>
    <t>谢卓睿</t>
  </si>
  <si>
    <t>243801048</t>
  </si>
  <si>
    <t>樊贝贝</t>
  </si>
  <si>
    <t>243801027</t>
  </si>
  <si>
    <t>陈铭圣</t>
  </si>
  <si>
    <t>243801004</t>
  </si>
  <si>
    <t>方其鸿</t>
  </si>
  <si>
    <t>243801052</t>
  </si>
  <si>
    <t>黄炜杰</t>
  </si>
  <si>
    <t>243801152</t>
  </si>
  <si>
    <t>韦雨芊</t>
  </si>
  <si>
    <t>243801145</t>
  </si>
  <si>
    <t>葛语涵</t>
  </si>
  <si>
    <t>243801046</t>
  </si>
  <si>
    <t>詹文韬</t>
  </si>
  <si>
    <t>243801135</t>
  </si>
  <si>
    <t>郑硕祥</t>
  </si>
  <si>
    <t>243801009</t>
  </si>
  <si>
    <t>叶梓航</t>
  </si>
  <si>
    <t>243801110</t>
  </si>
  <si>
    <t>伍梓浩</t>
  </si>
  <si>
    <t>243801122</t>
  </si>
  <si>
    <t>余治成</t>
  </si>
  <si>
    <t>243801036</t>
  </si>
  <si>
    <t>郭文熙</t>
  </si>
  <si>
    <t>243801019</t>
  </si>
  <si>
    <t>吴晓彤</t>
  </si>
  <si>
    <t>243801131</t>
  </si>
  <si>
    <t>林润</t>
  </si>
  <si>
    <t>243801133</t>
  </si>
  <si>
    <t>尚程宽</t>
  </si>
  <si>
    <t>243801106</t>
  </si>
  <si>
    <t>卢梓淏</t>
  </si>
  <si>
    <t>243801149</t>
  </si>
  <si>
    <t>蔡鑫源</t>
  </si>
  <si>
    <t>243801037</t>
  </si>
  <si>
    <t>黄卓</t>
  </si>
  <si>
    <t>243801120</t>
  </si>
  <si>
    <t>杨悦</t>
  </si>
  <si>
    <t>243801153</t>
  </si>
  <si>
    <t>胡艺蓝</t>
  </si>
  <si>
    <t>243801138</t>
  </si>
  <si>
    <t>黄崇艺</t>
  </si>
  <si>
    <t>243801118</t>
  </si>
  <si>
    <t>杨罗城</t>
  </si>
  <si>
    <t>243801051</t>
  </si>
  <si>
    <t>吴嘉轩</t>
  </si>
  <si>
    <t>243801026</t>
  </si>
  <si>
    <t>陈羿嘉</t>
  </si>
  <si>
    <t>243801011</t>
  </si>
  <si>
    <t>庄子轩</t>
  </si>
  <si>
    <t>243801049</t>
  </si>
  <si>
    <t>潘宇鹏</t>
  </si>
  <si>
    <t>013</t>
  </si>
  <si>
    <t>243801042</t>
  </si>
  <si>
    <t>曾子健</t>
  </si>
  <si>
    <t>243801008</t>
  </si>
  <si>
    <t>叶家信</t>
  </si>
  <si>
    <t>243801105</t>
  </si>
  <si>
    <t>卢健钊</t>
  </si>
  <si>
    <t>243801018</t>
  </si>
  <si>
    <t>杨沛霖</t>
  </si>
  <si>
    <t>243801115</t>
  </si>
  <si>
    <t>苏楠</t>
  </si>
  <si>
    <t>243801050</t>
  </si>
  <si>
    <t>谭景浩</t>
  </si>
  <si>
    <t>243801024</t>
  </si>
  <si>
    <t>陈伟邦</t>
  </si>
  <si>
    <t>243801007</t>
  </si>
  <si>
    <t>叶润炜</t>
  </si>
  <si>
    <t>243801015</t>
  </si>
  <si>
    <t>李宸熠</t>
  </si>
  <si>
    <t>243801033</t>
  </si>
  <si>
    <t>胡睿珊</t>
  </si>
  <si>
    <t>243801025</t>
  </si>
  <si>
    <t>陈俊宇</t>
  </si>
  <si>
    <t>243801001</t>
  </si>
  <si>
    <t>王亦轩</t>
  </si>
  <si>
    <t>243801127</t>
  </si>
  <si>
    <t>陈启豪</t>
  </si>
  <si>
    <t>243801128</t>
  </si>
  <si>
    <t>陈梓豪</t>
  </si>
  <si>
    <t>243801031</t>
  </si>
  <si>
    <t>周夏菡</t>
  </si>
  <si>
    <t>243801034</t>
  </si>
  <si>
    <t>洪舜</t>
  </si>
  <si>
    <t>243801013</t>
  </si>
  <si>
    <t>李习瑞</t>
  </si>
  <si>
    <t>243801043</t>
  </si>
  <si>
    <t>曾至晟</t>
  </si>
  <si>
    <t>243801130</t>
  </si>
  <si>
    <t>林冠行</t>
  </si>
  <si>
    <t>243801148</t>
  </si>
  <si>
    <t>谢梓煜</t>
  </si>
  <si>
    <t>243801143</t>
  </si>
  <si>
    <t>梁斯乔</t>
  </si>
  <si>
    <t>243801012</t>
  </si>
  <si>
    <t>许智轩</t>
  </si>
  <si>
    <t>243801144</t>
  </si>
  <si>
    <t>彭逸豪</t>
  </si>
  <si>
    <t>243801045</t>
  </si>
  <si>
    <t>简肇言</t>
  </si>
  <si>
    <t>243801014</t>
  </si>
  <si>
    <t>李玥琋</t>
  </si>
  <si>
    <t>243801151</t>
  </si>
  <si>
    <t>魏楚涵</t>
  </si>
  <si>
    <t>243801005</t>
  </si>
  <si>
    <t>龙思颐</t>
  </si>
  <si>
    <t>243801017</t>
  </si>
  <si>
    <t>李霈钧</t>
  </si>
  <si>
    <t>243801040</t>
  </si>
  <si>
    <t>梁桐葳</t>
  </si>
  <si>
    <t>243801021</t>
  </si>
  <si>
    <t>谷沛轩</t>
  </si>
  <si>
    <t>243801108</t>
  </si>
  <si>
    <t>朱珂钰</t>
  </si>
  <si>
    <t>243801038</t>
  </si>
  <si>
    <t>黄家墨</t>
  </si>
  <si>
    <t>243801123</t>
  </si>
  <si>
    <t>陆兴恺</t>
  </si>
  <si>
    <t>243801029</t>
  </si>
  <si>
    <t>罗淳锴</t>
  </si>
  <si>
    <t>243801003</t>
  </si>
  <si>
    <t>韦君葆</t>
  </si>
  <si>
    <t>243801116</t>
  </si>
  <si>
    <t>杜雨童</t>
  </si>
  <si>
    <t>243801030</t>
  </si>
  <si>
    <t>周姿言</t>
  </si>
  <si>
    <t>243801150</t>
  </si>
  <si>
    <t>潘赞行</t>
  </si>
  <si>
    <t>243801132</t>
  </si>
  <si>
    <t>林梓悠</t>
  </si>
  <si>
    <t>243801119</t>
  </si>
  <si>
    <t>杨秉坤</t>
  </si>
  <si>
    <t>243801044</t>
  </si>
  <si>
    <t>谢正皓</t>
  </si>
  <si>
    <t>243801248</t>
  </si>
  <si>
    <t>赖秋梅</t>
  </si>
  <si>
    <t>物化政</t>
  </si>
  <si>
    <t>014</t>
  </si>
  <si>
    <t>243801233</t>
  </si>
  <si>
    <t>贺彩</t>
  </si>
  <si>
    <t>243801227</t>
  </si>
  <si>
    <t>林玥彤</t>
  </si>
  <si>
    <t>243801213</t>
  </si>
  <si>
    <t>李锐</t>
  </si>
  <si>
    <t>243801236</t>
  </si>
  <si>
    <t>郭倩蕾</t>
  </si>
  <si>
    <t>243801255</t>
  </si>
  <si>
    <t>谢宗霖</t>
  </si>
  <si>
    <t>243801207</t>
  </si>
  <si>
    <t>江籽言</t>
  </si>
  <si>
    <t>243801218</t>
  </si>
  <si>
    <t>张洛菲</t>
  </si>
  <si>
    <t>243801237</t>
  </si>
  <si>
    <t>郭曦瑶</t>
  </si>
  <si>
    <t>243801253</t>
  </si>
  <si>
    <t>谭晓洛</t>
  </si>
  <si>
    <t>243801231</t>
  </si>
  <si>
    <t>柯嘉璐</t>
  </si>
  <si>
    <t>243801216</t>
  </si>
  <si>
    <t>吴晨希</t>
  </si>
  <si>
    <t>243801249</t>
  </si>
  <si>
    <t>赖俞睿</t>
  </si>
  <si>
    <t>243801244</t>
  </si>
  <si>
    <t>梁嘉颖</t>
  </si>
  <si>
    <t>243801246</t>
  </si>
  <si>
    <t>谢宗男</t>
  </si>
  <si>
    <t>243801223</t>
  </si>
  <si>
    <t>陈妍宇</t>
  </si>
  <si>
    <t>243801254</t>
  </si>
  <si>
    <t>魏思言</t>
  </si>
  <si>
    <t>243801245</t>
  </si>
  <si>
    <t>谢天奕</t>
  </si>
  <si>
    <t>243801234</t>
  </si>
  <si>
    <t>夏天宇</t>
  </si>
  <si>
    <t>243801212</t>
  </si>
  <si>
    <t>李朗贤</t>
  </si>
  <si>
    <t>243801243</t>
  </si>
  <si>
    <t>梁桢昊</t>
  </si>
  <si>
    <t>243801214</t>
  </si>
  <si>
    <t>杨燚</t>
  </si>
  <si>
    <t>243801220</t>
  </si>
  <si>
    <t>陈子和</t>
  </si>
  <si>
    <t>243801205</t>
  </si>
  <si>
    <t>朱雅琪</t>
  </si>
  <si>
    <t>243801238</t>
  </si>
  <si>
    <t>黄子威</t>
  </si>
  <si>
    <t>243801239</t>
  </si>
  <si>
    <t>黄文彬</t>
  </si>
  <si>
    <t>243801242</t>
  </si>
  <si>
    <t>梁诗琰</t>
  </si>
  <si>
    <t>243801219</t>
  </si>
  <si>
    <t>陈小悦</t>
  </si>
  <si>
    <t>243801221</t>
  </si>
  <si>
    <t>陈可欣</t>
  </si>
  <si>
    <t>243801226</t>
  </si>
  <si>
    <t>陈睿琳</t>
  </si>
  <si>
    <t>243801250</t>
  </si>
  <si>
    <t>赖梓诺</t>
  </si>
  <si>
    <t>243801208</t>
  </si>
  <si>
    <t>阳芊慧</t>
  </si>
  <si>
    <t>243801229</t>
  </si>
  <si>
    <t>罗俊秀</t>
  </si>
  <si>
    <t>243801203</t>
  </si>
  <si>
    <t>邢乐乐</t>
  </si>
  <si>
    <t>243801215</t>
  </si>
  <si>
    <t>吴浠桐</t>
  </si>
  <si>
    <t>243801201</t>
  </si>
  <si>
    <t>邓琨义</t>
  </si>
  <si>
    <t>243801230</t>
  </si>
  <si>
    <t>周泳君</t>
  </si>
  <si>
    <t>243801252</t>
  </si>
  <si>
    <t>廖睿怡</t>
  </si>
  <si>
    <t>243801217</t>
  </si>
  <si>
    <t>何佩灵</t>
  </si>
  <si>
    <t>243801251</t>
  </si>
  <si>
    <t>廖诗芮</t>
  </si>
  <si>
    <t>243801204</t>
  </si>
  <si>
    <t>朱可盈</t>
  </si>
  <si>
    <t>243801211</t>
  </si>
  <si>
    <t>李俊毅</t>
  </si>
  <si>
    <t>243801311</t>
  </si>
  <si>
    <t>孙妍</t>
  </si>
  <si>
    <t>史政地</t>
  </si>
  <si>
    <t>015</t>
  </si>
  <si>
    <t>243801534</t>
  </si>
  <si>
    <t>顾浩腾</t>
  </si>
  <si>
    <t>243801548</t>
  </si>
  <si>
    <t>颜子熙</t>
  </si>
  <si>
    <t>243801329</t>
  </si>
  <si>
    <t>陈嘉晴</t>
  </si>
  <si>
    <t>243801408</t>
  </si>
  <si>
    <t>刘欣羽</t>
  </si>
  <si>
    <t>243801631</t>
  </si>
  <si>
    <t>钱程</t>
  </si>
  <si>
    <t>243801304</t>
  </si>
  <si>
    <t>毛钰荧</t>
  </si>
  <si>
    <t>243801317</t>
  </si>
  <si>
    <t>杨睿熙</t>
  </si>
  <si>
    <t>243801323</t>
  </si>
  <si>
    <t>陈书诺</t>
  </si>
  <si>
    <t>243801526</t>
  </si>
  <si>
    <t>林映彤</t>
  </si>
  <si>
    <t>243801524</t>
  </si>
  <si>
    <t>陈夏丽</t>
  </si>
  <si>
    <t>243801337</t>
  </si>
  <si>
    <t>黄宇纶</t>
  </si>
  <si>
    <t>243801512</t>
  </si>
  <si>
    <t>严一林</t>
  </si>
  <si>
    <t>243801504</t>
  </si>
  <si>
    <t>韦雅涵</t>
  </si>
  <si>
    <t>243801619</t>
  </si>
  <si>
    <t>陈昱丹</t>
  </si>
  <si>
    <t>243801515</t>
  </si>
  <si>
    <t>杨梓漫</t>
  </si>
  <si>
    <t>243801314</t>
  </si>
  <si>
    <t>杨明晗</t>
  </si>
  <si>
    <t>243801629</t>
  </si>
  <si>
    <t>钟紫棋</t>
  </si>
  <si>
    <t>243801401</t>
  </si>
  <si>
    <t>王思雨</t>
  </si>
  <si>
    <t>243801639</t>
  </si>
  <si>
    <t>龚栩然</t>
  </si>
  <si>
    <t>243801545</t>
  </si>
  <si>
    <t>雷声扬</t>
  </si>
  <si>
    <t>243801622</t>
  </si>
  <si>
    <t>林诗瑶</t>
  </si>
  <si>
    <t>243801418</t>
  </si>
  <si>
    <t>陈嘉炜</t>
  </si>
  <si>
    <t>243801427</t>
  </si>
  <si>
    <t>钟睿</t>
  </si>
  <si>
    <t>243801320</t>
  </si>
  <si>
    <t>沈泳均</t>
  </si>
  <si>
    <t>243801539</t>
  </si>
  <si>
    <t>黄梦薇</t>
  </si>
  <si>
    <t>243801402</t>
  </si>
  <si>
    <t>邓启睿</t>
  </si>
  <si>
    <t>243801528</t>
  </si>
  <si>
    <t>罗芷欣</t>
  </si>
  <si>
    <t>243801648</t>
  </si>
  <si>
    <t>黎泳兰</t>
  </si>
  <si>
    <t>243801510</t>
  </si>
  <si>
    <t>刘悦晴</t>
  </si>
  <si>
    <t>243801628</t>
  </si>
  <si>
    <t>钟梓瑶</t>
  </si>
  <si>
    <t>243801318</t>
  </si>
  <si>
    <t>吴一鸣</t>
  </si>
  <si>
    <t>243801308</t>
  </si>
  <si>
    <t>刘梓涵</t>
  </si>
  <si>
    <t>243801642</t>
  </si>
  <si>
    <t>彭冠琅</t>
  </si>
  <si>
    <t>243801644</t>
  </si>
  <si>
    <t>谢雨霏</t>
  </si>
  <si>
    <t>243801306</t>
  </si>
  <si>
    <t>刘雨桐</t>
  </si>
  <si>
    <t>243801414</t>
  </si>
  <si>
    <t>吴熙桐</t>
  </si>
  <si>
    <t>243801313</t>
  </si>
  <si>
    <t>李艺萱</t>
  </si>
  <si>
    <t>243801338</t>
  </si>
  <si>
    <t>黄浩霖</t>
  </si>
  <si>
    <t>243801438</t>
  </si>
  <si>
    <t>桑涣朴</t>
  </si>
  <si>
    <t>243801645</t>
  </si>
  <si>
    <t>雷晓婷</t>
  </si>
  <si>
    <t>243801409</t>
  </si>
  <si>
    <t>刘美杏</t>
  </si>
  <si>
    <t>243801649</t>
  </si>
  <si>
    <t>016</t>
  </si>
  <si>
    <t>243801446</t>
  </si>
  <si>
    <t>颜美婷</t>
  </si>
  <si>
    <t>243801635</t>
  </si>
  <si>
    <t>黄楚棉</t>
  </si>
  <si>
    <t>243801521</t>
  </si>
  <si>
    <t>张维燏</t>
  </si>
  <si>
    <t>243801429</t>
  </si>
  <si>
    <t>袁熙霖</t>
  </si>
  <si>
    <t>243801530</t>
  </si>
  <si>
    <t>罗懿晴</t>
  </si>
  <si>
    <t>243801443</t>
  </si>
  <si>
    <t>曾子耘</t>
  </si>
  <si>
    <t>243801531</t>
  </si>
  <si>
    <t>周海隽</t>
  </si>
  <si>
    <t>243801302</t>
  </si>
  <si>
    <t>王芷滢</t>
  </si>
  <si>
    <t>243801630</t>
  </si>
  <si>
    <t>莫芷晴</t>
  </si>
  <si>
    <t>243801520</t>
  </si>
  <si>
    <t>张晨旭</t>
  </si>
  <si>
    <t>243801607</t>
  </si>
  <si>
    <t>刘悦童</t>
  </si>
  <si>
    <t>243801621</t>
  </si>
  <si>
    <t>林伟森</t>
  </si>
  <si>
    <t>243801327</t>
  </si>
  <si>
    <t>陈柏宇</t>
  </si>
  <si>
    <t>243801516</t>
  </si>
  <si>
    <t>吴玄楚</t>
  </si>
  <si>
    <t>243801538</t>
  </si>
  <si>
    <t>黄思妍</t>
  </si>
  <si>
    <t>243801333</t>
  </si>
  <si>
    <t>姚沛希</t>
  </si>
  <si>
    <t>243801613</t>
  </si>
  <si>
    <t>李思璇</t>
  </si>
  <si>
    <t>243801309</t>
  </si>
  <si>
    <t>刘逸琳</t>
  </si>
  <si>
    <t>243801328</t>
  </si>
  <si>
    <t>陈致翀</t>
  </si>
  <si>
    <t>243801523</t>
  </si>
  <si>
    <t>陈芷铃</t>
  </si>
  <si>
    <t>243801424</t>
  </si>
  <si>
    <t>郑金子</t>
  </si>
  <si>
    <t>243801617</t>
  </si>
  <si>
    <t>陈君健</t>
  </si>
  <si>
    <t>243801316</t>
  </si>
  <si>
    <t>杨欣</t>
  </si>
  <si>
    <t>243801511</t>
  </si>
  <si>
    <t>关颖莹</t>
  </si>
  <si>
    <t>243801449</t>
  </si>
  <si>
    <t>韦雨彤</t>
  </si>
  <si>
    <t>243801614</t>
  </si>
  <si>
    <t>杨亦陶</t>
  </si>
  <si>
    <t>243801603</t>
  </si>
  <si>
    <t>史钰姗</t>
  </si>
  <si>
    <t>243801609</t>
  </si>
  <si>
    <t>阮依婧</t>
  </si>
  <si>
    <t>243801440</t>
  </si>
  <si>
    <t>梁倩瑜</t>
  </si>
  <si>
    <t>243801503</t>
  </si>
  <si>
    <t>王清蕊</t>
  </si>
  <si>
    <t>243801502</t>
  </si>
  <si>
    <t>马绍玮</t>
  </si>
  <si>
    <t>243801543</t>
  </si>
  <si>
    <t>曾因哲</t>
  </si>
  <si>
    <t>243801610</t>
  </si>
  <si>
    <t>苏诗溏</t>
  </si>
  <si>
    <t>243801324</t>
  </si>
  <si>
    <t>陈可恩</t>
  </si>
  <si>
    <t>243801640</t>
  </si>
  <si>
    <t>梁成昊</t>
  </si>
  <si>
    <t>243801647</t>
  </si>
  <si>
    <t>谭茈瞳</t>
  </si>
  <si>
    <t>243801403</t>
  </si>
  <si>
    <t>石芷瑜</t>
  </si>
  <si>
    <t>243801643</t>
  </si>
  <si>
    <t>曾思涵</t>
  </si>
  <si>
    <t>243801347</t>
  </si>
  <si>
    <t>黎彦希</t>
  </si>
  <si>
    <t>243801435</t>
  </si>
  <si>
    <t>徐芷莜</t>
  </si>
  <si>
    <t>243801430</t>
  </si>
  <si>
    <t>聂宇晨</t>
  </si>
  <si>
    <t>243801432</t>
  </si>
  <si>
    <t>莫惠然</t>
  </si>
  <si>
    <t>017</t>
  </si>
  <si>
    <t>243801442</t>
  </si>
  <si>
    <t>韩欣瑭</t>
  </si>
  <si>
    <t>243801636</t>
  </si>
  <si>
    <t>黄嘉贤</t>
  </si>
  <si>
    <t>243801412</t>
  </si>
  <si>
    <t>李安翘</t>
  </si>
  <si>
    <t>243801321</t>
  </si>
  <si>
    <t>张力文</t>
  </si>
  <si>
    <t>243801624</t>
  </si>
  <si>
    <t>周语宸</t>
  </si>
  <si>
    <t>243801519</t>
  </si>
  <si>
    <t>邱芷嫣</t>
  </si>
  <si>
    <t>243801514</t>
  </si>
  <si>
    <t>杨佳丽</t>
  </si>
  <si>
    <t>243801345</t>
  </si>
  <si>
    <t>蔡欣彤</t>
  </si>
  <si>
    <t>243801612</t>
  </si>
  <si>
    <t>李卓恩</t>
  </si>
  <si>
    <t>243801627</t>
  </si>
  <si>
    <t>胡晓悦</t>
  </si>
  <si>
    <t>243801507</t>
  </si>
  <si>
    <t>冯奕桐</t>
  </si>
  <si>
    <t>243801348</t>
  </si>
  <si>
    <t>黄钰珊</t>
  </si>
  <si>
    <t>243801448</t>
  </si>
  <si>
    <t>冯乐蔚</t>
  </si>
  <si>
    <t>243801413</t>
  </si>
  <si>
    <t>杨致宁</t>
  </si>
  <si>
    <t>243801625</t>
  </si>
  <si>
    <t>郑云天</t>
  </si>
  <si>
    <t>243801527</t>
  </si>
  <si>
    <t>明苗苗</t>
  </si>
  <si>
    <t>243801638</t>
  </si>
  <si>
    <t>曹芷妍</t>
  </si>
  <si>
    <t>243801522</t>
  </si>
  <si>
    <t>陈伊颖</t>
  </si>
  <si>
    <t>243801641</t>
  </si>
  <si>
    <t>梁哲妍</t>
  </si>
  <si>
    <t>243801339</t>
  </si>
  <si>
    <t>黄瑞龙</t>
  </si>
  <si>
    <t>243801319</t>
  </si>
  <si>
    <t>何子妍</t>
  </si>
  <si>
    <t>243801623</t>
  </si>
  <si>
    <t>林睿苗</t>
  </si>
  <si>
    <t>243801444</t>
  </si>
  <si>
    <t>曾尚杰</t>
  </si>
  <si>
    <t>243801307</t>
  </si>
  <si>
    <t>刘宝遥</t>
  </si>
  <si>
    <t>243801620</t>
  </si>
  <si>
    <t>陈雅之</t>
  </si>
  <si>
    <t>243801535</t>
  </si>
  <si>
    <t>徐欣怡</t>
  </si>
  <si>
    <t>243801513</t>
  </si>
  <si>
    <t>李婉铭</t>
  </si>
  <si>
    <t>243801633</t>
  </si>
  <si>
    <t>唐思琦</t>
  </si>
  <si>
    <t>243801341</t>
  </si>
  <si>
    <t>曹桂烨</t>
  </si>
  <si>
    <t>243801506</t>
  </si>
  <si>
    <t>邓政妍</t>
  </si>
  <si>
    <t>243801634</t>
  </si>
  <si>
    <t>黄雪儿</t>
  </si>
  <si>
    <t>243801335</t>
  </si>
  <si>
    <t>郭思晴</t>
  </si>
  <si>
    <t>243801605</t>
  </si>
  <si>
    <t>邢海玥</t>
  </si>
  <si>
    <t>243801517</t>
  </si>
  <si>
    <t>吴思语</t>
  </si>
  <si>
    <t>243801344</t>
  </si>
  <si>
    <t>赖家玄</t>
  </si>
  <si>
    <t>243801615</t>
  </si>
  <si>
    <t>张扬</t>
  </si>
  <si>
    <t>243801606</t>
  </si>
  <si>
    <t>伍颂文</t>
  </si>
  <si>
    <t>243801632</t>
  </si>
  <si>
    <t>郭力尔</t>
  </si>
  <si>
    <t>243801529</t>
  </si>
  <si>
    <t>罗钰颖</t>
  </si>
  <si>
    <t>243801420</t>
  </si>
  <si>
    <t>罗沁琳</t>
  </si>
  <si>
    <t>243801436</t>
  </si>
  <si>
    <t>凌钰妍</t>
  </si>
  <si>
    <t>243801325</t>
  </si>
  <si>
    <t>陈芸萱</t>
  </si>
  <si>
    <t>018</t>
  </si>
  <si>
    <t>243801410</t>
  </si>
  <si>
    <t>刘雅琪</t>
  </si>
  <si>
    <t>243801509</t>
  </si>
  <si>
    <t>刘咏萱</t>
  </si>
  <si>
    <t>243801546</t>
  </si>
  <si>
    <t>谭子菲</t>
  </si>
  <si>
    <t>243801423</t>
  </si>
  <si>
    <t>庞永健</t>
  </si>
  <si>
    <t>243801334</t>
  </si>
  <si>
    <t>贾家贝</t>
  </si>
  <si>
    <t>243801407</t>
  </si>
  <si>
    <t>刘佳琪</t>
  </si>
  <si>
    <t>243801415</t>
  </si>
  <si>
    <t>何泽丰</t>
  </si>
  <si>
    <t>243801542</t>
  </si>
  <si>
    <t>梁家宇</t>
  </si>
  <si>
    <t>243801419</t>
  </si>
  <si>
    <t>林东旭</t>
  </si>
  <si>
    <t>243801518</t>
  </si>
  <si>
    <t>吴健行</t>
  </si>
  <si>
    <t>243801602</t>
  </si>
  <si>
    <t>叶婉莹</t>
  </si>
  <si>
    <t>243801637</t>
  </si>
  <si>
    <t>黄慧欣</t>
  </si>
  <si>
    <t>243801405</t>
  </si>
  <si>
    <t>伍浩霖</t>
  </si>
  <si>
    <t>243801601</t>
  </si>
  <si>
    <t>孔柳晴</t>
  </si>
  <si>
    <t>243801536</t>
  </si>
  <si>
    <t>徐柯</t>
  </si>
  <si>
    <t>243801422</t>
  </si>
  <si>
    <t>冼子然</t>
  </si>
  <si>
    <t>243801326</t>
  </si>
  <si>
    <t>陈妍彤</t>
  </si>
  <si>
    <t>243801301</t>
  </si>
  <si>
    <t>马漫铃</t>
  </si>
  <si>
    <t>243801342</t>
  </si>
  <si>
    <t>龚晓玉</t>
  </si>
  <si>
    <t>243801332</t>
  </si>
  <si>
    <t>钟曼琦</t>
  </si>
  <si>
    <t>243801537</t>
  </si>
  <si>
    <t>黄幸仪</t>
  </si>
  <si>
    <t>243801439</t>
  </si>
  <si>
    <t>黄晞琳</t>
  </si>
  <si>
    <t>243801618</t>
  </si>
  <si>
    <t>陈雨昕</t>
  </si>
  <si>
    <t>243801547</t>
  </si>
  <si>
    <t>熊朱尚艾</t>
  </si>
  <si>
    <t>243801312</t>
  </si>
  <si>
    <t>杜诺恒</t>
  </si>
  <si>
    <t>243801447</t>
  </si>
  <si>
    <t>张弼贺</t>
  </si>
  <si>
    <t>243801425</t>
  </si>
  <si>
    <t>胡可欣</t>
  </si>
  <si>
    <t>243801426</t>
  </si>
  <si>
    <t>钟紫嫣</t>
  </si>
  <si>
    <t>243801608</t>
  </si>
  <si>
    <t>许诗敏</t>
  </si>
  <si>
    <t>243801305</t>
  </si>
  <si>
    <t>邓光利</t>
  </si>
  <si>
    <t>243801611</t>
  </si>
  <si>
    <t>苏恺润</t>
  </si>
  <si>
    <t>243801445</t>
  </si>
  <si>
    <t>谭楹萤</t>
  </si>
  <si>
    <t>243801322</t>
  </si>
  <si>
    <t>张可</t>
  </si>
  <si>
    <t>243801508</t>
  </si>
  <si>
    <t>刘正杰</t>
  </si>
  <si>
    <t>243801434</t>
  </si>
  <si>
    <t>夏若彤</t>
  </si>
  <si>
    <t>243801330</t>
  </si>
  <si>
    <t>周俊宇</t>
  </si>
  <si>
    <t>243801533</t>
  </si>
  <si>
    <t>骆佳怡</t>
  </si>
  <si>
    <t>243801303</t>
  </si>
  <si>
    <t>王梓淇</t>
  </si>
  <si>
    <t>243801441</t>
  </si>
  <si>
    <t>彭韵霖</t>
  </si>
  <si>
    <t>243801331</t>
  </si>
  <si>
    <t>胡恩铭</t>
  </si>
  <si>
    <t>243801604</t>
  </si>
  <si>
    <t>冯春暖</t>
  </si>
  <si>
    <t>243801114</t>
  </si>
  <si>
    <t>孙邦杰</t>
  </si>
  <si>
    <t>019</t>
  </si>
  <si>
    <t>物化地, 物化政, 物化生, 物生地, 物生政</t>
  </si>
  <si>
    <t>243801107</t>
  </si>
  <si>
    <t>吕文栋</t>
  </si>
  <si>
    <t>243801126</t>
  </si>
  <si>
    <t>陈文彬</t>
  </si>
  <si>
    <t>243801142</t>
  </si>
  <si>
    <t>章峻诚</t>
  </si>
  <si>
    <t>243801141</t>
  </si>
  <si>
    <t>常茹熠</t>
  </si>
  <si>
    <t>243801109</t>
  </si>
  <si>
    <t>朱骏</t>
  </si>
  <si>
    <t>243801124</t>
  </si>
  <si>
    <t>陆俊言</t>
  </si>
  <si>
    <t>243801022</t>
  </si>
  <si>
    <t>汪子越</t>
  </si>
  <si>
    <t>243801139</t>
  </si>
  <si>
    <t>黄臻悦</t>
  </si>
  <si>
    <t>243801102</t>
  </si>
  <si>
    <t>王舜丞</t>
  </si>
  <si>
    <t>243801104</t>
  </si>
  <si>
    <t>邓钰君</t>
  </si>
  <si>
    <t>243801035</t>
  </si>
  <si>
    <t>高涵</t>
  </si>
  <si>
    <t>243801121</t>
  </si>
  <si>
    <t>吴欣然</t>
  </si>
  <si>
    <t>243801032</t>
  </si>
  <si>
    <t>郑美玲</t>
  </si>
  <si>
    <t>243801101</t>
  </si>
  <si>
    <t>王子轩</t>
  </si>
  <si>
    <t>243801002</t>
  </si>
  <si>
    <t>王毅彬</t>
  </si>
  <si>
    <t>243801010</t>
  </si>
  <si>
    <t>叶雅萱</t>
  </si>
  <si>
    <t>243801232</t>
  </si>
  <si>
    <t>战吕宁</t>
  </si>
  <si>
    <t>243801228</t>
  </si>
  <si>
    <t>欧阳彬</t>
  </si>
  <si>
    <t>243801224</t>
  </si>
  <si>
    <t>陈昕言</t>
  </si>
  <si>
    <t>243801225</t>
  </si>
  <si>
    <t>陈诗勤</t>
  </si>
  <si>
    <t>243801210</t>
  </si>
  <si>
    <t>李文茵</t>
  </si>
  <si>
    <t>243801247</t>
  </si>
  <si>
    <t>谢锐扬</t>
  </si>
  <si>
    <t>243801202</t>
  </si>
  <si>
    <t>叶果丰</t>
  </si>
  <si>
    <t>243801235</t>
  </si>
  <si>
    <t>高晓钰</t>
  </si>
  <si>
    <t>243801209</t>
  </si>
  <si>
    <t>巫梦玥</t>
  </si>
  <si>
    <t>243801222</t>
  </si>
  <si>
    <t>陈志龙</t>
  </si>
  <si>
    <t>243801206</t>
  </si>
  <si>
    <t>刘子恒</t>
  </si>
  <si>
    <t>243800328</t>
  </si>
  <si>
    <t>陈诗琪</t>
  </si>
  <si>
    <t>243800425</t>
  </si>
  <si>
    <t>张泽仁</t>
  </si>
  <si>
    <t>243800110</t>
  </si>
  <si>
    <t>刘博思</t>
  </si>
  <si>
    <t>243800405</t>
  </si>
  <si>
    <t>史梓澎</t>
  </si>
  <si>
    <t>243800510</t>
  </si>
  <si>
    <t>刘延欢</t>
  </si>
  <si>
    <t>243801140</t>
  </si>
  <si>
    <t>龚裕甜</t>
  </si>
  <si>
    <t>物生地</t>
  </si>
  <si>
    <t>243801112</t>
  </si>
  <si>
    <t>刘婉婷</t>
  </si>
  <si>
    <t>243800923</t>
  </si>
  <si>
    <t>余韵诗</t>
  </si>
  <si>
    <t>物生政</t>
  </si>
  <si>
    <t>243801346</t>
  </si>
  <si>
    <t>黎子瑶</t>
  </si>
  <si>
    <t>020</t>
  </si>
  <si>
    <t>史化政, 史地生, 史政地, 史政生</t>
  </si>
  <si>
    <t>243801437</t>
  </si>
  <si>
    <t>郭子傲</t>
  </si>
  <si>
    <t>243801540</t>
  </si>
  <si>
    <t>黄铱蓓</t>
  </si>
  <si>
    <t>243801505</t>
  </si>
  <si>
    <t>邓欣颖</t>
  </si>
  <si>
    <t>243801541</t>
  </si>
  <si>
    <t>梁文</t>
  </si>
  <si>
    <t>243801532</t>
  </si>
  <si>
    <t>胡馨文</t>
  </si>
  <si>
    <t>243801501</t>
  </si>
  <si>
    <t>万钰</t>
  </si>
  <si>
    <t>243801411</t>
  </si>
  <si>
    <t>李兆鋆</t>
  </si>
  <si>
    <t>243801336</t>
  </si>
  <si>
    <t>桑俨朴</t>
  </si>
  <si>
    <t>243801416</t>
  </si>
  <si>
    <t>张钰曈</t>
  </si>
  <si>
    <t>243801616</t>
  </si>
  <si>
    <t>陈可燊</t>
  </si>
  <si>
    <t>243801626</t>
  </si>
  <si>
    <t>郑航宇</t>
  </si>
  <si>
    <t>243801310</t>
  </si>
  <si>
    <t>许梓依</t>
  </si>
  <si>
    <t>243801646</t>
  </si>
  <si>
    <t>詹坤鑫</t>
  </si>
  <si>
    <t>243801544</t>
  </si>
  <si>
    <t>谢博龙</t>
  </si>
  <si>
    <t>243801428</t>
  </si>
  <si>
    <t>姚芷涵</t>
  </si>
  <si>
    <t>史政生</t>
  </si>
  <si>
    <t>243801421</t>
  </si>
  <si>
    <t>罗凯龄</t>
  </si>
  <si>
    <t>243801431</t>
  </si>
  <si>
    <t>聂靖瑶</t>
  </si>
  <si>
    <t>243801433</t>
  </si>
  <si>
    <t>夏正彤</t>
  </si>
  <si>
    <t>243801417</t>
  </si>
  <si>
    <t>陈钐茵</t>
  </si>
  <si>
    <t>243801406</t>
  </si>
  <si>
    <t>伍雯玥</t>
  </si>
  <si>
    <t>243801343</t>
  </si>
  <si>
    <t>梁洛瑜</t>
  </si>
  <si>
    <t>史地生</t>
  </si>
  <si>
    <t>243801340</t>
  </si>
  <si>
    <t>黄潘乐</t>
  </si>
  <si>
    <t>243801315</t>
  </si>
  <si>
    <t>杨佳美</t>
  </si>
  <si>
    <t>243801404</t>
  </si>
  <si>
    <t>冯浩轩</t>
  </si>
  <si>
    <t>史化政</t>
  </si>
  <si>
    <t>类别</t>
  </si>
  <si>
    <t>选1</t>
  </si>
  <si>
    <t>选2</t>
  </si>
  <si>
    <t xml:space="preserve">座位 </t>
  </si>
  <si>
    <t>1 计数</t>
  </si>
  <si>
    <t>2 计数</t>
  </si>
  <si>
    <t>3 计数</t>
  </si>
  <si>
    <t>4 计数</t>
  </si>
  <si>
    <t>5 计数</t>
  </si>
  <si>
    <t>6 计数</t>
  </si>
  <si>
    <t>7 计数</t>
  </si>
  <si>
    <t>8 计数</t>
  </si>
  <si>
    <t>9 计数</t>
  </si>
  <si>
    <t>10 计数</t>
  </si>
  <si>
    <t>11 计数</t>
  </si>
  <si>
    <t>12 计数</t>
  </si>
  <si>
    <t>13 计数</t>
  </si>
  <si>
    <t>14 计数</t>
  </si>
  <si>
    <t>15 计数</t>
  </si>
  <si>
    <t>16 计数</t>
  </si>
  <si>
    <t>总计数</t>
  </si>
  <si>
    <t>高二1班 计数</t>
  </si>
  <si>
    <t>高二2班 计数</t>
  </si>
  <si>
    <t>高二3班 计数</t>
  </si>
  <si>
    <t>高二4班 计数</t>
  </si>
  <si>
    <t>高二5班 计数</t>
  </si>
  <si>
    <t>高二6班 计数</t>
  </si>
  <si>
    <t>高二7班 计数</t>
  </si>
  <si>
    <t>高二8班 计数</t>
  </si>
  <si>
    <t>高二9班 计数</t>
  </si>
  <si>
    <t>高二10班 计数</t>
  </si>
  <si>
    <t>高二11班 计数</t>
  </si>
  <si>
    <t>高二12班 计数</t>
  </si>
  <si>
    <t>高二13班 计数</t>
  </si>
  <si>
    <t>高二14班 计数</t>
  </si>
  <si>
    <t>高二15班 计数</t>
  </si>
  <si>
    <t>高二16班 计数</t>
  </si>
  <si>
    <t>公共课室3 计数</t>
  </si>
  <si>
    <t>公共课室4 计数</t>
  </si>
  <si>
    <t>公共课室5 计数</t>
  </si>
  <si>
    <t>公共课室6 计数</t>
  </si>
  <si>
    <t>高二1班                       物理                    42人                      监考员：                应考：                实考：</t>
  </si>
  <si>
    <t>高二2班                       物理                    42人                      监考员：                应考：                实考：</t>
  </si>
  <si>
    <t>高二3班                       物理                    42人                      监考员：                应考：                实考：</t>
  </si>
  <si>
    <t>高二4班                       物理                    42人                      监考员：                应考：                实考：</t>
  </si>
  <si>
    <t>高二5班                       物理                    42人                      监考员：                应考：                实考：</t>
  </si>
  <si>
    <t>高二6班                       物理                    42人                      监考员：                应考：                实考：</t>
  </si>
  <si>
    <t>高二7班                       物理                    42人                      监考员：                应考：                实考：</t>
  </si>
  <si>
    <t>高二8班                       物理                    42人                      监考员：                应考：                实考：</t>
  </si>
  <si>
    <t>高二9班                       物理                    42人                      监考员：                应考：                实考：</t>
  </si>
  <si>
    <t>高二10班                       物理                    42人                      监考员：                应考：                实考：</t>
  </si>
  <si>
    <t>高二11班                       物理                    42人                      监考员：                应考：                实考：</t>
  </si>
  <si>
    <t>高二12班                       物理                    42人                      监考员：                应考：                实考：</t>
  </si>
  <si>
    <t>高二13班                       物理                    42人                      监考员：                应考：                实考：</t>
  </si>
  <si>
    <t>高二14班                       物理                    42人                      监考员：                应考：                实考：</t>
  </si>
  <si>
    <t>高二15班                       历史                    42人                      监考员：                应考：                实考：</t>
  </si>
  <si>
    <t>高二16班                       历史                    42人                      监考员：                应考：                实考：</t>
  </si>
  <si>
    <t>公共课室3                       历史                    42人                      监考员：                应考：                实考：</t>
  </si>
  <si>
    <t>公共课室4                       历史                    42人                      监考员：                应考：                实考：</t>
  </si>
  <si>
    <t>公共课室5                       历史                    36人                      监考员：                应考：                实考：</t>
  </si>
  <si>
    <t>公共课室6                       历史                    25人                      监考员：                应考：                实考：</t>
  </si>
  <si>
    <t>姓名：王思尹
考号：243800701
考场：高二1班
考场号：001
座位号：01</t>
  </si>
  <si>
    <t>姓名：张子涵
考号：243800526
考场：高二1班
考场号：001
座位号：08</t>
  </si>
  <si>
    <t>姓名：周游
考号：243800827
考场：高二1班
考场号：001
座位号：15</t>
  </si>
  <si>
    <t>姓名：王祺乐
考号：243800305
考场：高二1班
考场号：001
座位号：22</t>
  </si>
  <si>
    <t>姓名：梁文睿
考号：243800944
考场：高二1班
考场号：001
座位号：29</t>
  </si>
  <si>
    <t>姓名：秦浩轩
考号：243800439
考场：高二1班
考场号：001
座位号：36</t>
  </si>
  <si>
    <t>姓名：王梓涵
考号：243800302
考场：高二1班
考场号：001
座位号：02</t>
  </si>
  <si>
    <t>姓名：庄灿铭
考号：243800408
考场：高二1班
考场号：001
座位号：09</t>
  </si>
  <si>
    <t>姓名：黄浚颖
考号：243800242
考场：高二1班
考场号：001
座位号：16</t>
  </si>
  <si>
    <t>姓名：苏子量
考号：243800212
考场：高二1班
考场号：001
座位号：23</t>
  </si>
  <si>
    <t>姓名：苏俊钊
考号：243800610
考场：高二1班
考场号：001
座位号：30</t>
  </si>
  <si>
    <t>姓名：黄羽晴
考号：243800839
考场：高二1班
考场号：001
座位号：37</t>
  </si>
  <si>
    <t>姓名：戴子洋
考号：243800851
考场：高二1班
考场号：001
座位号：03</t>
  </si>
  <si>
    <t>姓名：李玄熙
考号：243800916
考场：高二1班
考场号：001
座位号：10</t>
  </si>
  <si>
    <t>姓名：曾晴
考号：243800642
考场：高二1班
考场号：001
座位号：17</t>
  </si>
  <si>
    <t>姓名：陆梓淇
考号：243800531
考场：高二1班
考场号：001
座位号：24</t>
  </si>
  <si>
    <t>姓名：孙海文
考号：243800211
考场：高二1班
考场号：001
座位号：31</t>
  </si>
  <si>
    <t>姓名：梁哲楠
考号：243800445
考场：高二1班
考场号：001
座位号：38</t>
  </si>
  <si>
    <t>姓名：李怡菲
考号：243800518
考场：高二1班
考场号：001
座位号：04</t>
  </si>
  <si>
    <t>姓名：赖欣彤
考号：243800849
考场：高二1班
考场号：001
座位号：11</t>
  </si>
  <si>
    <t>姓名：何慕琳
考号：243800525
考场：高二1班
考场号：001
座位号：18</t>
  </si>
  <si>
    <t>姓名：张玮
考号：243800223
考场：高二1班
考场号：001
座位号：25</t>
  </si>
  <si>
    <t>姓名：关灼峣
考号：243800414
考场：高二1班
考场号：001
座位号：32</t>
  </si>
  <si>
    <t>姓名：刘昱成
考号：243800807
考场：高二1班
考场号：001
座位号：39</t>
  </si>
  <si>
    <t>姓名：陈芷琪
考号：243800532
考场：高二1班
考场号：001
座位号：05</t>
  </si>
  <si>
    <t>姓名：侯铨睿
考号：243800136
考场：高二1班
考场号：001
座位号：12</t>
  </si>
  <si>
    <t>姓名：叶芷纤
考号：243800404
考场：高二1班
考场号：001
座位号：19</t>
  </si>
  <si>
    <t>姓名：黄祺韬
考号：243800635
考场：高二1班
考场号：001
座位号：26</t>
  </si>
  <si>
    <t>姓名：郑杰中
考号：243800337
考场：高二1班
考场号：001
座位号：33</t>
  </si>
  <si>
    <t>姓名：刘俊龙
考号：243800410
考场：高二1班
考场号：001
座位号：40</t>
  </si>
  <si>
    <t>姓名：吴欣华
考号：243800817
考场：高二1班
考场号：001
座位号：06</t>
  </si>
  <si>
    <t>姓名：刘骐睿
考号：243800512
考场：高二1班
考场号：001
座位号：13</t>
  </si>
  <si>
    <t>姓名：曾子欣
考号：243800848
考场：高二1班
考场号：001
座位号：20</t>
  </si>
  <si>
    <t>姓名：谭颖楠
考号：243800449
考场：高二1班
考场号：001
座位号：27</t>
  </si>
  <si>
    <t>姓名：潘恩杰
考号：243800953
考场：高二1班
考场号：001
座位号：34</t>
  </si>
  <si>
    <t>姓名：沈子谦
考号：243800322
考场：高二1班
考场号：001
座位号：41</t>
  </si>
  <si>
    <t>姓名：吕弦泽
考号：243800406
考场：高二1班
考场号：001
座位号：07</t>
  </si>
  <si>
    <t>姓名：李梓睿
考号：243800115
考场：高二1班
考场号：001
座位号：14</t>
  </si>
  <si>
    <t>姓名：邰子俊
考号：243800731
考场：高二1班
考场号：001
座位号：21</t>
  </si>
  <si>
    <t>姓名：赵羽涵
考号：243800628
考场：高二1班
考场号：001
座位号：28</t>
  </si>
  <si>
    <t>姓名：李卓谦
考号：243800917
考场：高二1班
考场号：001
座位号：35</t>
  </si>
  <si>
    <t>姓名：孙奥奇
考号：243800111
考场：高二1班
考场号：001
座位号：42</t>
  </si>
  <si>
    <t>姓名：许可桐
考号：243800515
考场：高二2班
考场号：002
座位号：01</t>
  </si>
  <si>
    <t>姓名：沈许诺
考号：243800925
考场：高二2班
考场号：002
座位号：08</t>
  </si>
  <si>
    <t>姓名：原梦
考号：243800237
考场：高二2班
考场号：002
座位号：15</t>
  </si>
  <si>
    <t>姓名：林哲信
考号：243800825
考场：高二2班
考场号：002
座位号：22</t>
  </si>
  <si>
    <t>姓名：刘笑羽
考号：243800108
考场：高二2班
考场号：002
座位号：29</t>
  </si>
  <si>
    <t>姓名：黄丽蓓
考号：243800140
考场：高二2班
考场号：002
座位号：36</t>
  </si>
  <si>
    <t>姓名：左承希
考号：243800203
考场：高二2班
考场号：002
座位号：02</t>
  </si>
  <si>
    <t>姓名：周文隽
考号：243800736
考场：高二2班
考场号：002
座位号：09</t>
  </si>
  <si>
    <t>姓名：施蕾
考号：243800436
考场：高二2班
考场号：002
座位号：16</t>
  </si>
  <si>
    <t>姓名：周承淳
考号：243800433
考场：高二2班
考场号：002
座位号：23</t>
  </si>
  <si>
    <t>姓名：马歆喆
考号：243800603
考场：高二2班
考场号：002
座位号：30</t>
  </si>
  <si>
    <t>姓名：尹康
考号：243800401
考场：高二2班
考场号：002
座位号：37</t>
  </si>
  <si>
    <t>姓名：温润鹏
考号：243800643
考场：高二2班
考场号：002
座位号：03</t>
  </si>
  <si>
    <t>姓名：邝炜皓
考号：243800204
考场：高二2班
考场号：002
座位号：10</t>
  </si>
  <si>
    <t>姓名：卓锦川
考号：243800231
考场：高二2班
考场号：002
座位号：17</t>
  </si>
  <si>
    <t>姓名：于佳琳
考号：243800601
考场：高二2班
考场号：002
座位号：24</t>
  </si>
  <si>
    <t>姓名：叶芷宁
考号：243800705
考场：高二2班
考场号：002
座位号：31</t>
  </si>
  <si>
    <t>姓名：陈语秋
考号：243800228
考场：高二2班
考场号：002
座位号：38</t>
  </si>
  <si>
    <t>姓名：黄芾生
考号：243800740
考场：高二2班
考场号：002
座位号：04</t>
  </si>
  <si>
    <t>姓名：黄梓遥
考号：243800742
考场：高二2班
考场号：002
座位号：11</t>
  </si>
  <si>
    <t>姓名：田俊涛
考号：243800804
考场：高二2班
考场号：002
座位号：18</t>
  </si>
  <si>
    <t>姓名：梁炜皓
考号：243800243
考场：高二2班
考场号：002
座位号：25</t>
  </si>
  <si>
    <t>姓名：邹志祥
考号：243800619
考场：高二2班
考场号：002
座位号：32</t>
  </si>
  <si>
    <t>姓名：廖丽华
考号：243800148
考场：高二2班
考场号：002
座位号：39</t>
  </si>
  <si>
    <t>姓名：翟品杰
考号：243800648
考场：高二2班
考场号：002
座位号：05</t>
  </si>
  <si>
    <t>姓名：潘映彤
考号：243800751
考场：高二2班
考场号：002
座位号：12</t>
  </si>
  <si>
    <t>姓名：刘芸何
考号：243800905
考场：高二2班
考场号：002
座位号：19</t>
  </si>
  <si>
    <t>姓名：陈宇轩
考号：243800824
考场：高二2班
考场号：002
座位号：26</t>
  </si>
  <si>
    <t>姓名：何奕萱
考号：243800718
考场：高二2班
考场号：002
座位号：33</t>
  </si>
  <si>
    <t>姓名：陈思婷
考号：243800329
考场：高二2班
考场号：002
座位号：40</t>
  </si>
  <si>
    <t>姓名：吴莫宸
考号：243800818
考场：高二2班
考场号：002
座位号：06</t>
  </si>
  <si>
    <t>姓名：黄玉颖
考号：243800139
考场：高二2班
考场号：002
座位号：13</t>
  </si>
  <si>
    <t>姓名：杨俊基
考号：243800220
考场：高二2班
考场号：002
座位号：20</t>
  </si>
  <si>
    <t>姓名：黄泽峰
考号：243800741
考场：高二2班
考场号：002
座位号：27</t>
  </si>
  <si>
    <t>姓名：何健明
考号：243800419
考场：高二2班
考场号：002
座位号：34</t>
  </si>
  <si>
    <t>姓名：黄涛
考号：243800842
考场：高二2班
考场号：002
座位号：41</t>
  </si>
  <si>
    <t>姓名：赵建淳
考号：243800338
考场：高二2班
考场号：002
座位号：07</t>
  </si>
  <si>
    <t>姓名：饶韵盈
考号：243800830
考场：高二2班
考场号：002
座位号：14</t>
  </si>
  <si>
    <t>姓名：陈嘉昊
考号：243800930
考场：高二2班
考场号：002
座位号：21</t>
  </si>
  <si>
    <t>姓名：何清锐
考号：243800420
考场：高二2班
考场号：002
座位号：28</t>
  </si>
  <si>
    <t>姓名：谢祺煊
考号：243800349
考场：高二2班
考场号：002
座位号：35</t>
  </si>
  <si>
    <t>姓名：柯孝仲
考号：243800235
考场：高二2班
考场号：002
座位号：42</t>
  </si>
  <si>
    <t>姓名：严实
考号：243800609
考场：高二3班
考场号：003
座位号：01</t>
  </si>
  <si>
    <t>姓名：甄浩霖
考号：243800748
考场：高二3班
考场号：003
座位号：08</t>
  </si>
  <si>
    <t>姓名：刘欣怡
考号：243800409
考场：高二3班
考场号：003
座位号：15</t>
  </si>
  <si>
    <t>姓名：陈毅松
考号：243800332
考场：高二3班
考场号：003
座位号：22</t>
  </si>
  <si>
    <t>姓名：邓高照
考号：243800504
考场：高二3班
考场号：003
座位号：29</t>
  </si>
  <si>
    <t>姓名：郑少杰
考号：243800828
考场：高二3班
考场号：003
座位号：36</t>
  </si>
  <si>
    <t>姓名：李明杭
考号：243800516
考场：高二3班
考场号：003
座位号：02</t>
  </si>
  <si>
    <t>姓名：谢浩轩
考号：243800644
考场：高二3班
考场号：003
座位号：09</t>
  </si>
  <si>
    <t>姓名：陈蕙甜
考号：243800429
考场：高二3班
考场号：003
座位号：16</t>
  </si>
  <si>
    <t>姓名：杜锦洲
考号：243800213
考场：高二3班
考场号：003
座位号：23</t>
  </si>
  <si>
    <t>姓名：陈薇雅
考号：243800932
考场：高二3班
考场号：003
座位号：30</t>
  </si>
  <si>
    <t>姓名：孔维科
考号：243800306
考场：高二3班
考场号：003
座位号：37</t>
  </si>
  <si>
    <t>姓名：何芷慧
考号：243800523
考场：高二3班
考场号：003
座位号：03</t>
  </si>
  <si>
    <t>姓名：宋钏羽
考号：243800422
考场：高二3班
考场号：003
座位号：10</t>
  </si>
  <si>
    <t>姓名：欧梓希
考号：243800230
考场：高二3班
考场号：003
座位号：17</t>
  </si>
  <si>
    <t>姓名：简颖瑶
考号：243800949
考场：高二3班
考场号：003
座位号：24</t>
  </si>
  <si>
    <t>姓名：刘绍宏
考号：243800605
考场：高二3班
考场号：003
座位号：31</t>
  </si>
  <si>
    <t>姓名：莫紫陌
考号：243800629
考场：高二3班
考场号：003
座位号：38</t>
  </si>
  <si>
    <t>姓名：陈烨
考号：243800330
考场：高二3班
考场号：003
座位号：04</t>
  </si>
  <si>
    <t>姓名：杨心悦
考号：243800611
考场：高二3班
考场号：003
座位号：11</t>
  </si>
  <si>
    <t>姓名：何思睿
考号：243800524
考场：高二3班
考场号：003
座位号：18</t>
  </si>
  <si>
    <t>姓名：高坤明
考号：243800138
考场：高二3班
考场号：003
座位号：25</t>
  </si>
  <si>
    <t>姓名：卓子谦
考号：243800826
考场：高二3班
考场号：003
座位号：32</t>
  </si>
  <si>
    <t>姓名：曾楚诚
考号：243800547
考场：高二3班
考场号：003
座位号：39</t>
  </si>
  <si>
    <t>姓名：缪未雨
考号：243800850
考场：高二3班
考场号：003
座位号：05</t>
  </si>
  <si>
    <t>姓名：陈雅诗
考号：243800623
考场：高二3班
考场号：003
座位号：12</t>
  </si>
  <si>
    <t>姓名：陈招宝
考号：243800427
考场：高二3班
考场号：003
座位号：19</t>
  </si>
  <si>
    <t>姓名：梁承稀
考号：243800145
考场：高二3班
考场号：003
座位号：26</t>
  </si>
  <si>
    <t>姓名：孙嘉俊
考号：243800608
考场：高二3班
考场号：003
座位号：33</t>
  </si>
  <si>
    <t>姓名：肖松月
考号：243800853
考场：高二3班
考场号：003
座位号：40</t>
  </si>
  <si>
    <t>姓名：王梓晴
考号：243800303
考场：高二3班
考场号：003
座位号：06</t>
  </si>
  <si>
    <t>姓名：李润
考号：243800217
考场：高二3班
考场号：003
座位号：13</t>
  </si>
  <si>
    <t>姓名：潘林俊
考号：243800250
考场：高二3班
考场号：003
座位号：20</t>
  </si>
  <si>
    <t>姓名：梁育嘉
考号：243800945
考场：高二3班
考场号：003
座位号：27</t>
  </si>
  <si>
    <t>姓名：杨钧淼
考号：243800612
考场：高二3班
考场号：003
座位号：34</t>
  </si>
  <si>
    <t>姓名：凌佳仪
考号：243800834
考场：高二3班
考场号：003
座位号：41</t>
  </si>
  <si>
    <t>姓名：伊泽
考号：243800806
考场：高二3班
考场号：003
座位号：07</t>
  </si>
  <si>
    <t>姓名：彭欣仪
考号：243800844
考场：高二3班
考场号：003
座位号：14</t>
  </si>
  <si>
    <t>姓名：陈幸茹
考号：243800124
考场：高二3班
考场号：003
座位号：21</t>
  </si>
  <si>
    <t>姓名：牛丙茏
考号：243800201
考场：高二3班
考场号：003
座位号：28</t>
  </si>
  <si>
    <t>姓名：许俊丞
考号：243800210
考场：高二3班
考场号：003
座位号：35</t>
  </si>
  <si>
    <t>姓名：廖思玥
考号：243800950
考场：高二3班
考场号：003
座位号：42</t>
  </si>
  <si>
    <t>姓名：伦熙然
考号：243800207
考场：高二4班
考场号：004
座位号：01</t>
  </si>
  <si>
    <t>姓名：李建锋
考号：243800114
考场：高二4班
考场号：004
座位号：08</t>
  </si>
  <si>
    <t>姓名：李铭谦
考号：243800218
考场：高二4班
考场号：004
座位号：15</t>
  </si>
  <si>
    <t>姓名：陈雨林
考号：243800729
考场：高二4班
考场号：004
座位号：22</t>
  </si>
  <si>
    <t>姓名：余珉轩
考号：243800720
考场：高二4班
考场号：004
座位号：29</t>
  </si>
  <si>
    <t>姓名：吴梓尧
考号：243800819
考场：高二4班
考场号：004
座位号：36</t>
  </si>
  <si>
    <t>姓名：何亦泊
考号：243800616
考场：高二4班
考场号：004
座位号：02</t>
  </si>
  <si>
    <t>姓名：林鹏翀
考号：243800735
考场：高二4班
考场号：004
座位号：09</t>
  </si>
  <si>
    <t>姓名：谢嘉浩
考号：243800448
考场：高二4班
考场号：004
座位号：16</t>
  </si>
  <si>
    <t>姓名：黄兰芷
考号：243800543
考场：高二4班
考场号：004
座位号：23</t>
  </si>
  <si>
    <t>姓名：刘梓睿
考号：243800311
考场：高二4班
考场号：004
座位号：30</t>
  </si>
  <si>
    <t>姓名：郭奕钧
考号：243800440
考场：高二4班
考场号：004
座位号：37</t>
  </si>
  <si>
    <t>姓名：耿振南
考号：243800940
考场：高二4班
考场号：004
座位号：03</t>
  </si>
  <si>
    <t>姓名：黄宝萱
考号：243800633
考场：高二4班
考场号：004
座位号：10</t>
  </si>
  <si>
    <t>姓名：胡洋
考号：243800339
考场：高二4班
考场号：004
座位号：17</t>
  </si>
  <si>
    <t>姓名：陶百川
考号：243800835
考场：高二4班
考场号：004
座位号：24</t>
  </si>
  <si>
    <t>姓名：梁芷晗
考号：243800843
考场：高二4班
考场号：004
座位号：31</t>
  </si>
  <si>
    <t>姓名：陈毅衡
考号：243800130
考场：高二4班
考场号：004
座位号：38</t>
  </si>
  <si>
    <t>姓名：金泰宇
考号：243800933
考场：高二4班
考场号：004
座位号：04</t>
  </si>
  <si>
    <t>姓名：张浩杰
考号：243800724
考场：高二4班
考场号：004
座位号：11</t>
  </si>
  <si>
    <t>姓名：梁泳怡
考号：243800745
考场：高二4班
考场号：004
座位号：18</t>
  </si>
  <si>
    <t>姓名：李伟尧
考号：243800553
考场：高二4班
考场号：004
座位号：25</t>
  </si>
  <si>
    <t>姓名：李宇轩
考号：243800814
考场：高二4班
考场号：004
座位号：32</t>
  </si>
  <si>
    <t>姓名：黄凌怡
考号：243800841
考场：高二4班
考场号：004
座位号：39</t>
  </si>
  <si>
    <t>姓名：颜为荣
考号：243800151
考场：高二4班
考场号：004
座位号：05</t>
  </si>
  <si>
    <t>姓名：石钰婷
考号：243800506
考场：高二4班
考场号：004
座位号：12</t>
  </si>
  <si>
    <t>姓名：陈芷茵
考号：243800927
考场：高二4班
考场号：004
座位号：19</t>
  </si>
  <si>
    <t>姓名：关仟翎
考号：243800514
考场：高二4班
考场号：004
座位号：26</t>
  </si>
  <si>
    <t>姓名：林广骏
考号：243800430
考场：高二4班
考场号：004
座位号：33</t>
  </si>
  <si>
    <t>姓名：刘启锋
考号：243800309
考场：高二4班
考场号：004
座位号：40</t>
  </si>
  <si>
    <t>姓名：陈嘉欣
考号：243800624
考场：高二4班
考场号：004
座位号：06</t>
  </si>
  <si>
    <t>姓名：邓璞
考号：243800505
考场：高二4班
考场号：004
座位号：13</t>
  </si>
  <si>
    <t>姓名：陈励
考号：243800954
考场：高二4班
考场号：004
座位号：20</t>
  </si>
  <si>
    <t>姓名：戴安冉
考号：243800852
考场：高二4班
考场号：004
座位号：27</t>
  </si>
  <si>
    <t>姓名：林榆翔
考号：243800734
考场：高二4班
考场号：004
座位号：34</t>
  </si>
  <si>
    <t>姓名：李鸿玉
考号：243800919
考场：高二4班
考场号：004
座位号：41</t>
  </si>
  <si>
    <t>姓名：梁司颖
考号：243800744
考场：高二4班
考场号：004
座位号：07</t>
  </si>
  <si>
    <t>姓名：卢炜杰
考号：243800507
考场：高二4班
考场号：004
座位号：14</t>
  </si>
  <si>
    <t>姓名：张睿涵
考号：243800123
考场：高二4班
考场号：004
座位号：21</t>
  </si>
  <si>
    <t>姓名：张雅文
考号：243800528
考场：高二4班
考场号：004
座位号：28</t>
  </si>
  <si>
    <t>姓名：黄一逍
考号：243800836
考场：高二4班
考场号：004
座位号：35</t>
  </si>
  <si>
    <t>姓名：林子欣
考号：243800334
考场：高二4班
考场号：004
座位号：42</t>
  </si>
  <si>
    <t>姓名：刘炜鹏
考号：243800310
考场：高二5班
考场号：005
座位号：01</t>
  </si>
  <si>
    <t>姓名：温宇霆
考号：243800447
考场：高二5班
考场号：005
座位号：08</t>
  </si>
  <si>
    <t>姓名：王子豪
考号：243800901
考场：高二5班
考场号：005
座位号：15</t>
  </si>
  <si>
    <t>姓名：麦珺婷
考号：243800811
考场：高二5班
考场号：005
座位号：22</t>
  </si>
  <si>
    <t>姓名：陈金洪
考号：243800929
考场：高二5班
考场号：005
座位号：29</t>
  </si>
  <si>
    <t>姓名：盛泽瑞
考号：243800743
考场：高二5班
考场号：005
座位号：36</t>
  </si>
  <si>
    <t>姓名：张思博
考号：243800723
考场：高二5班
考场号：005
座位号：02</t>
  </si>
  <si>
    <t>姓名：李汶儒
考号：243800552
考场：高二5班
考场号：005
座位号：09</t>
  </si>
  <si>
    <t>姓名：杨子东
考号：243800522
考场：高二5班
考场号：005
座位号：16</t>
  </si>
  <si>
    <t>姓名：王以涵
考号：243800501
考场：高二5班
考场号：005
座位号：23</t>
  </si>
  <si>
    <t>姓名：刘祚广
考号：243800412
考场：高二5班
考场号：005
座位号：30</t>
  </si>
  <si>
    <t>姓名：何镓越
考号：243800421
考场：高二5班
考场号：005
座位号：37</t>
  </si>
  <si>
    <t>姓名：张羿晨
考号：243800120
考场：高二5班
考场号：005
座位号：03</t>
  </si>
  <si>
    <t>姓名：谭景轩
考号：243800149
考场：高二5班
考场号：005
座位号：10</t>
  </si>
  <si>
    <t>姓名：朱家立
考号：243800903
考场：高二5班
考场号：005
座位号：17</t>
  </si>
  <si>
    <t>姓名：林丹欣
考号：243800732
考场：高二5班
考场号：005
座位号：24</t>
  </si>
  <si>
    <t>姓名：刘铠逸
考号：243800709
考场：高二5班
考场号：005
座位号：31</t>
  </si>
  <si>
    <t>姓名：廖梓瑜
考号：243800249
考场：高二5班
考场号：005
座位号：38</t>
  </si>
  <si>
    <t>姓名：蒋若庆
考号：243800345
考场：高二5班
考场号：005
座位号：04</t>
  </si>
  <si>
    <t>姓名：洪铎睿
考号：243800437
考场：高二5班
考场号：005
座位号：11</t>
  </si>
  <si>
    <t>姓名：柯吉锴
考号：243800234
考场：高二5班
考场号：005
座位号：18</t>
  </si>
  <si>
    <t>姓名：梁绮桐
考号：243800946
考场：高二5班
考场号：005
座位号：25</t>
  </si>
  <si>
    <t>姓名：潘凯欣
考号：243800451
考场：高二5班
考场号：005
座位号：32</t>
  </si>
  <si>
    <t>姓名：李文轩
考号：243800915
考场：高二5班
考场号：005
座位号：39</t>
  </si>
  <si>
    <t>姓名：黄一洋
考号：243800442
考场：高二5班
考场号：005
座位号：05</t>
  </si>
  <si>
    <t>姓名：陈彦杉
考号：243800533
考场：高二5班
考场号：005
座位号：12</t>
  </si>
  <si>
    <t>姓名：惠润德
考号：243800347
考场：高二5班
考场号：005
座位号：19</t>
  </si>
  <si>
    <t>姓名：刘芷晴
考号：243800106
考场：高二5班
考场号：005
座位号：26</t>
  </si>
  <si>
    <t>姓名：黎彦彤
考号：243800649
考场：高二5班
考场号：005
座位号：33</t>
  </si>
  <si>
    <t>姓名：周芊妤
考号：243800536
考场：高二5班
考场号：005
座位号：40</t>
  </si>
  <si>
    <t>姓名：曾烨轩
考号：243800746
考场：高二5班
考场号：005
座位号：06</t>
  </si>
  <si>
    <t>姓名：张信
考号：243800821
考场：高二5班
考场号：005
座位号：13</t>
  </si>
  <si>
    <t>姓名：聂仲谋
考号：243800539
考场：高二5班
考场号：005
座位号：20</t>
  </si>
  <si>
    <t>姓名：魏铭圳
考号：243800252
考场：高二5班
考场号：005
座位号：27</t>
  </si>
  <si>
    <t>姓名：邓盛渊
考号：243800307
考场：高二5班
考场号：005
座位号：34</t>
  </si>
  <si>
    <t>姓名：胡嘉豪
考号：243800435
考场：高二5班
考场号：005
座位号：41</t>
  </si>
  <si>
    <t>姓名：纪可楠
考号：243800810
考场：高二5班
考场号：005
座位号：07</t>
  </si>
  <si>
    <t>姓名：刘耀榛
考号：243800513
考场：高二5班
考场号：005
座位号：14</t>
  </si>
  <si>
    <t>姓名：刘键泉
考号：243800606
考场：高二5班
考场号：005
座位号：21</t>
  </si>
  <si>
    <t>姓名：刘沐颖
考号：243800906
考场：高二5班
考场号：005
座位号：28</t>
  </si>
  <si>
    <t>姓名：杨俊希
考号：243800219
考场：高二5班
考场号：005
座位号：35</t>
  </si>
  <si>
    <t>姓名：黄俊哲
考号：243800634
考场：高二5班
考场号：005
座位号：42</t>
  </si>
  <si>
    <t>姓名：赵相成
考号：243800232
考场：高二6班
考场号：006
座位号：01</t>
  </si>
  <si>
    <t>姓名：高依子
考号：243800541
考场：高二6班
考场号：006
座位号：08</t>
  </si>
  <si>
    <t>姓名：余卓桐
考号：243800922
考场：高二6班
考场号：006
座位号：15</t>
  </si>
  <si>
    <t>姓名：叶伟桐
考号：243800803
考场：高二6班
考场号：006
座位号：22</t>
  </si>
  <si>
    <t>姓名：陈智颖
考号：243800129
考场：高二6班
考场号：006
座位号：29</t>
  </si>
  <si>
    <t>姓名：李睿霖
考号：243800815
考场：高二6班
考场号：006
座位号：36</t>
  </si>
  <si>
    <t>姓名：吴家煌
考号：243800418
考场：高二6班
考场号：006
座位号：02</t>
  </si>
  <si>
    <t>姓名：梁善皓
考号：243800342
考场：高二6班
考场号：006
座位号：09</t>
  </si>
  <si>
    <t>姓名：白鹤鸣
考号：243800805
考场：高二6班
考场号：006
座位号：16</t>
  </si>
  <si>
    <t>姓名：张仟合
考号：243800119
考场：高二6班
考场号：006
座位号：23</t>
  </si>
  <si>
    <t>姓名：凌子尧
考号：243800240
考场：高二6班
考场号：006
座位号：30</t>
  </si>
  <si>
    <t>姓名：张子涵
考号：243800323
考场：高二6班
考场号：006
座位号：37</t>
  </si>
  <si>
    <t>姓名：王展辉
考号：243800702
考场：高二6班
考场号：006
座位号：03</t>
  </si>
  <si>
    <t>姓名：张睿宸
考号：243800122
考场：高二6班
考场号：006
座位号：10</t>
  </si>
  <si>
    <t>姓名：张煜杰
考号：243800823
考场：高二6班
考场号：006
座位号：17</t>
  </si>
  <si>
    <t>姓名：江雨珩
考号：243800809
考场：高二6班
考场号：006
座位号：24</t>
  </si>
  <si>
    <t>姓名：罗诗韵
考号：243800625
考场：高二6班
考场号：006
座位号：31</t>
  </si>
  <si>
    <t>姓名：文哲浩
考号：243800202
考场：高二6班
考场号：006
座位号：38</t>
  </si>
  <si>
    <t>姓名：陈博仁
考号：243800622
考场：高二6班
考场号：006
座位号：04</t>
  </si>
  <si>
    <t>姓名：汤姊瑶
考号：243800312
考场：高二6班
考场号：006
座位号：11</t>
  </si>
  <si>
    <t>姓名：徐心媛
考号：243800239
考场：高二6班
考场号：006
座位号：18</t>
  </si>
  <si>
    <t>姓名：朱雅诗
考号：243800707
考场：高二6班
考场号：006
座位号：25</t>
  </si>
  <si>
    <t>姓名：黄信
考号：243800840
考场：高二6班
考场号：006
座位号：32</t>
  </si>
  <si>
    <t>姓名：黎显立
考号：243800150
考场：高二6班
考场号：006
座位号：39</t>
  </si>
  <si>
    <t>姓名：李淳
考号：243800920
考场：高二6班
考场号：006
座位号：05</t>
  </si>
  <si>
    <t>姓名：郭宇洋
考号：243800340
考场：高二6班
考场号：006
座位号：12</t>
  </si>
  <si>
    <t>姓名：杜紫煊
考号：243800715
考场：高二6班
考场号：006
座位号：19</t>
  </si>
  <si>
    <t>姓名：黄荣浩
考号：243800444
考场：高二6班
考场号：006
座位号：26</t>
  </si>
  <si>
    <t>姓名：陈薇朵
考号：243800931
考场：高二6班
考场号：006
座位号：33</t>
  </si>
  <si>
    <t>姓名：杨钦辰
考号：243800116
考场：高二6班
考场号：006
座位号：40</t>
  </si>
  <si>
    <t>姓名：吴凌菲
考号：243800613
考场：高二6班
考场号：006
座位号：06</t>
  </si>
  <si>
    <t>姓名：岑泽嘉
考号：243800615
考场：高二6班
考场号：006
座位号：13</t>
  </si>
  <si>
    <t>姓名：劳启轩
考号：243800912
考场：高二6班
考场号：006
座位号：20</t>
  </si>
  <si>
    <t>姓名：高世桥
考号：243800631
考场：高二6班
考场号：006
座位号：27</t>
  </si>
  <si>
    <t>姓名：白晞业
考号：243800508
考场：高二6班
考场号：006
座位号：34</t>
  </si>
  <si>
    <t>姓名：张弛
考号：243800424
考场：高二6班
考场号：006
座位号：41</t>
  </si>
  <si>
    <t>姓名：曾昊
考号：243800641
考场：高二6班
考场号：006
座位号：07</t>
  </si>
  <si>
    <t>姓名：蔡铭
考号：243800549
考场：高二6班
考场号：006
座位号：14</t>
  </si>
  <si>
    <t>姓名：毛有栋
考号：243800802
考场：高二6班
考场号：006
座位号：21</t>
  </si>
  <si>
    <t>姓名：朱钧杰
考号：243800104
考场：高二6班
考场号：006
座位号：28</t>
  </si>
  <si>
    <t>姓名：徐德力
考号：243800630
考场：高二6班
考场号：006
座位号：35</t>
  </si>
  <si>
    <t>姓名：徐一沣
考号：243800833
考场：高二6班
考场号：006
座位号：42</t>
  </si>
  <si>
    <t>姓名：卢政昕
考号：243800704
考场：高二7班
考场号：007
座位号：01</t>
  </si>
  <si>
    <t>姓名：朱永基
考号：243800509
考场：高二7班
考场号：007
座位号：08</t>
  </si>
  <si>
    <t>姓名：李沛航
考号：243800716
考场：高二7班
考场号：007
座位号：15</t>
  </si>
  <si>
    <t>姓名：张熠童
考号：243800726
考场：高二7班
考场号：007
座位号：22</t>
  </si>
  <si>
    <t>姓名：李柏翘
考号：243800315
考场：高二7班
考场号：007
座位号：29</t>
  </si>
  <si>
    <t>姓名：谭烨淇
考号：243800951
考场：高二7班
考场号：007
座位号：36</t>
  </si>
  <si>
    <t>姓名：江宇宸
考号：243800353
考场：高二7班
考场号：007
座位号：02</t>
  </si>
  <si>
    <t>姓名：陈思宇
考号：243800226
考场：高二7班
考场号：007
座位号：09</t>
  </si>
  <si>
    <t>姓名：饶俊宇
考号：243800538
考场：高二7班
考场号：007
座位号：16</t>
  </si>
  <si>
    <t>姓名：符铭泽
考号：243800638
考场：高二7班
考场号：007
座位号：23</t>
  </si>
  <si>
    <t>姓名：林靖熙
考号：243800432
考场：高二7班
考场号：007
座位号：30</t>
  </si>
  <si>
    <t>姓名：苏景豪
考号：243800913
考场：高二7班
考场号：007
座位号：37</t>
  </si>
  <si>
    <t>姓名：王凌宇
考号：243800301
考场：高二7班
考场号：007
座位号：03</t>
  </si>
  <si>
    <t>姓名：王雅茜
考号：243800304
考场：高二7班
考场号：007
座位号：10</t>
  </si>
  <si>
    <t>姓名：李子炫
考号：243800813
考场：高二7班
考场号：007
座位号：17</t>
  </si>
  <si>
    <t>姓名：吴锐敏
考号：243800614
考场：高二7班
考场号：007
座位号：24</t>
  </si>
  <si>
    <t>姓名：许愿
考号：243800911
考场：高二7班
考场号：007
座位号：31</t>
  </si>
  <si>
    <t>姓名：杨栩瑜
考号：243800117
考场：高二7班
考场号：007
座位号：38</t>
  </si>
  <si>
    <t>姓名：李昕妍
考号：243800215
考场：高二7班
考场号：007
座位号：04</t>
  </si>
  <si>
    <t>姓名：覃钰珊
考号：243800847
考场：高二7班
考场号：007
座位号：11</t>
  </si>
  <si>
    <t>姓名：孙铭辰
考号：243800713
考场：高二7班
考场号：007
座位号：18</t>
  </si>
  <si>
    <t>姓名：刘杰钒
考号：243800208
考场：高二7班
考场号：007
座位号：25</t>
  </si>
  <si>
    <t>姓名：曾文瀚
考号：243800348
考场：高二7班
考场号：007
座位号：32</t>
  </si>
  <si>
    <t>姓名：骆正耀
考号：243800832
考场：高二7班
考场号：007
座位号：39</t>
  </si>
  <si>
    <t>姓名：陈泓佚
考号：243800126
考场：高二7班
考场号：007
座位号：05</t>
  </si>
  <si>
    <t>姓名：江宇康
考号：243800808
考场：高二7班
考场号：007
座位号：12</t>
  </si>
  <si>
    <t>姓名：黄筠
考号：243800636
考场：高二7班
考场号：007
座位号：19</t>
  </si>
  <si>
    <t>姓名：李佳晔
考号：243800314
考场：高二7班
考场号：007
座位号：26</t>
  </si>
  <si>
    <t>姓名：李炬成
考号：243800113
考场：高二7班
考场号：007
座位号：33</t>
  </si>
  <si>
    <t>姓名：吴宇轩
考号：243800221
考场：高二7班
考场号：007
座位号：40</t>
  </si>
  <si>
    <t>姓名：钟程
考号：243800236
考场：高二7班
考场号：007
座位号：06</t>
  </si>
  <si>
    <t>姓名：潘滢莹
考号：243800752
考场：高二7班
考场号：007
座位号：13</t>
  </si>
  <si>
    <t>姓名：邝慧怡
考号：243800205
考场：高二7班
考场号：007
座位号：20</t>
  </si>
  <si>
    <t>姓名：柳俊熙
考号：243800937
考场：高二7班
考场号：007
座位号：27</t>
  </si>
  <si>
    <t>姓名：袁家敬
考号：243800739
考场：高二7班
考场号：007
座位号：34</t>
  </si>
  <si>
    <t>姓名：张舒淋
考号：243800121
考场：高二7班
考场号：007
座位号：41</t>
  </si>
  <si>
    <t>姓名：谭嘉宁
考号：243800952
考场：高二7班
考场号：007
座位号：07</t>
  </si>
  <si>
    <t>姓名：汤姊萱
考号：243800416
考场：高二7班
考场号：007
座位号：14</t>
  </si>
  <si>
    <t>姓名：林琪敏
考号：243800431
考场：高二7班
考场号：007
座位号：21</t>
  </si>
  <si>
    <t>姓名：杨子琦
考号：243800921
考场：高二7班
考场号：007
座位号：28</t>
  </si>
  <si>
    <t>姓名：余嘉玥
考号：243800721
考场：高二7班
考场号：007
座位号：35</t>
  </si>
  <si>
    <t>姓名：田宏宇
考号：243800902
考场：高二7班
考场号：007
座位号：42</t>
  </si>
  <si>
    <t>姓名：林嘉豪
考号：243800535
考场：高二8班
考场号：008
座位号：01</t>
  </si>
  <si>
    <t>姓名：杨梓乔
考号：243800316
考场：高二8班
考场号：008
座位号：08</t>
  </si>
  <si>
    <t>姓名：潘卓然
考号：243800650
考场：高二8班
考场号：008
座位号：15</t>
  </si>
  <si>
    <t>姓名：龚哲
考号：243800341
考场：高二8班
考场号：008
座位号：22</t>
  </si>
  <si>
    <t>姓名：马悦程
考号：243800101
考场：高二8班
考场号：008
座位号：29</t>
  </si>
  <si>
    <t>姓名：胡楚轩
考号：243800233
考场：高二8班
考场号：008
座位号：36</t>
  </si>
  <si>
    <t>姓名：余梓恒
考号：243800222
考场：高二8班
考场号：008
座位号：02</t>
  </si>
  <si>
    <t>姓名：谢立言
考号：243800247
考场：高二8班
考场号：008
座位号：09</t>
  </si>
  <si>
    <t>姓名：陈家豪
考号：243800534
考场：高二8班
考场号：008
座位号：16</t>
  </si>
  <si>
    <t>姓名：谭星君
考号：243800647
考场：高二8班
考场号：008
座位号：23</t>
  </si>
  <si>
    <t>姓名：黄泽琛
考号：243800942
考场：高二8班
考场号：008
座位号：30</t>
  </si>
  <si>
    <t>姓名：陆长锋
考号：243800620
考场：高二8班
考场号：008
座位号：37</t>
  </si>
  <si>
    <t>姓名：罗玉蕙
考号：243800134
考场：高二8班
考场号：008
座位号：03</t>
  </si>
  <si>
    <t>姓名：刘灏宇
考号：243800710
考场：高二8班
考场号：008
座位号：10</t>
  </si>
  <si>
    <t>姓名：刘亲杨
考号：243800511
考场：高二8班
考场号：008
座位号：17</t>
  </si>
  <si>
    <t>姓名：张华强
考号：243800423
考场：高二8班
考场号：008
座位号：24</t>
  </si>
  <si>
    <t>姓名：李涵宇
考号：243800520
考场：高二8班
考场号：008
座位号：31</t>
  </si>
  <si>
    <t>姓名：何铠健
考号：243800719
考场：高二8班
考场号：008
座位号：38</t>
  </si>
  <si>
    <t>姓名：黄家奇
考号：243800943
考场：高二8班
考场号：008
座位号：04</t>
  </si>
  <si>
    <t>姓名：林瑞
考号：243800335
考场：高二8班
考场号：008
座位号：11</t>
  </si>
  <si>
    <t>姓名：邓楚骞
考号：243800604
考场：高二8班
考场号：008
座位号：18</t>
  </si>
  <si>
    <t>姓名：蔡宜恒
考号：243800248
考场：高二8班
考场号：008
座位号：25</t>
  </si>
  <si>
    <t>姓名：王嘉莹
考号：243800503
考场：高二8班
考场号：008
座位号：32</t>
  </si>
  <si>
    <t>姓名：廖晨曦
考号：243800645
考场：高二8班
考场号：008
座位号：39</t>
  </si>
  <si>
    <t>姓名：谢承熹
考号：243800747
考场：高二8班
考场号：008
座位号：05</t>
  </si>
  <si>
    <t>姓名：杜昊翰
考号：243800714
考场：高二8班
考场号：008
座位号：12</t>
  </si>
  <si>
    <t>姓名：梁智楷
考号：243800639
考场：高二8班
考场号：008
座位号：19</t>
  </si>
  <si>
    <t>姓名：闭仪浩
考号：243800607
考场：高二8班
考场号：008
座位号：26</t>
  </si>
  <si>
    <t>姓名：萧颖儿
考号：243800637
考场：高二8班
考场号：008
座位号：33</t>
  </si>
  <si>
    <t>姓名：袁润
考号：243800137
考场：高二8班
考场号：008
座位号：40</t>
  </si>
  <si>
    <t>姓名：潘苑杰
考号：243800450
考场：高二8班
考场号：008
座位号：06</t>
  </si>
  <si>
    <t>姓名：王煜安
考号：243800102
考场：高二8班
考场号：008
座位号：13</t>
  </si>
  <si>
    <t>姓名：刘铭泓
考号：243800109
考场：高二8班
考场号：008
座位号：20</t>
  </si>
  <si>
    <t>姓名：刘奕铭
考号：243800411
考场：高二8班
考场号：008
座位号：27</t>
  </si>
  <si>
    <t>姓名：雷家俊
考号：243800351
考场：高二8班
考场号：008
座位号：34</t>
  </si>
  <si>
    <t>姓名：梁楚仕
考号：243800146
考场：高二8班
考场号：008
座位号：41</t>
  </si>
  <si>
    <t>姓名：刘宸阳
考号：243800908
考场：高二8班
考场号：008
座位号：07</t>
  </si>
  <si>
    <t>姓名：廖健淇
考号：243800749
考场：高二8班
考场号：008
座位号：14</t>
  </si>
  <si>
    <t>姓名：陈恺涵
考号：243800128
考场：高二8班
考场号：008
座位号：21</t>
  </si>
  <si>
    <t>姓名：韩嘉怡
考号：243800346
考场：高二8班
考场号：008
座位号：28</t>
  </si>
  <si>
    <t>姓名：戴斯
考号：243800251
考场：高二8班
考场号：008
座位号：35</t>
  </si>
  <si>
    <t>姓名：蓝欣妍
考号：243800948
考场：高二8班
考场号：008
座位号：42</t>
  </si>
  <si>
    <t>姓名：张梓洛
考号：243800926
考场：高二9班
考场号：009
座位号：01</t>
  </si>
  <si>
    <t>姓名：何雨泽
考号：243800617
考场：高二9班
考场号：009
座位号：08</t>
  </si>
  <si>
    <t>姓名：梁楚贤
考号：243800147
考场：高二9班
考场号：009
座位号：15</t>
  </si>
  <si>
    <t>姓名：梁皓斌
考号：243800544
考场：高二9班
考场号：009
座位号：22</t>
  </si>
  <si>
    <t>姓名：陈俊曈
考号：243800227
考场：高二9班
考场号：009
座位号：29</t>
  </si>
  <si>
    <t>姓名：伍丰泽
考号：243800407
考场：高二9班
考场号：009
座位号：36</t>
  </si>
  <si>
    <t>姓名：黄伟杰
考号：243800443
考场：高二9班
考场号：009
座位号：02</t>
  </si>
  <si>
    <t>姓名：陈凯旭
考号：243800327
考场：高二9班
考场号：009
座位号：09</t>
  </si>
  <si>
    <t>姓名：吕展航
考号：243800206
考场：高二9班
考场号：009
座位号：16</t>
  </si>
  <si>
    <t>姓名：余向霖
考号：243800118
考场：高二9班
考场号：009
座位号：23</t>
  </si>
  <si>
    <t>姓名：李致远
考号：243800918
考场：高二9班
考场号：009
座位号：30</t>
  </si>
  <si>
    <t>姓名：陈雨彤
考号：243800224
考场：高二9班
考场号：009
座位号：37</t>
  </si>
  <si>
    <t>姓名：郭焕彬
考号：243800241
考场：高二9班
考场号：009
座位号：03</t>
  </si>
  <si>
    <t>姓名：彭宇彬
考号：243800344
考场：高二9班
考场号：009
座位号：10</t>
  </si>
  <si>
    <t>姓名：杜宇希
考号：243800914
考场：高二9班
考场号：009
座位号：17</t>
  </si>
  <si>
    <t>姓名：刘羽淇
考号：243800105
考场：高二9班
考场号：009
座位号：24</t>
  </si>
  <si>
    <t>姓名：官欣李
考号：243800627
考场：高二9班
考场号：009
座位号：31</t>
  </si>
  <si>
    <t>姓名：吴贤皓
考号：243800319
考场：高二9班
考场号：009
座位号：38</t>
  </si>
  <si>
    <t>姓名：张淑仪
考号：243800725
考场：高二9班
考场号：009
座位号：04</t>
  </si>
  <si>
    <t>姓名：曾彭
考号：243800546
考场：高二9班
考场号：009
座位号：11</t>
  </si>
  <si>
    <t>姓名：姚南舟
考号：243800939
考场：高二9班
考场号：009
座位号：18</t>
  </si>
  <si>
    <t>姓名：李奇昌
考号：243800313
考场：高二9班
考场号：009
座位号：25</t>
  </si>
  <si>
    <t>姓名：吴智毅
考号：243800320
考场：高二9班
考场号：009
座位号：32</t>
  </si>
  <si>
    <t>姓名：黄睿
考号：243800143
考场：高二9班
考场号：009
座位号：39</t>
  </si>
  <si>
    <t>姓名：刘灿森
考号：243800308
考场：高二9班
考场号：009
座位号：05</t>
  </si>
  <si>
    <t>姓名：龚冠丞
考号：243800144
考场：高二9班
考场号：009
座位号：12</t>
  </si>
  <si>
    <t>姓名：卢滢滢
考号：243800403
考场：高二9班
考场号：009
座位号：19</t>
  </si>
  <si>
    <t>姓名：陈志豪
考号：243800727
考场：高二9班
考场号：009
座位号：26</t>
  </si>
  <si>
    <t>姓名：黄柏鸿
考号：243800141
考场：高二9班
考场号：009
座位号：33</t>
  </si>
  <si>
    <t>姓名：何润芝
考号：243800820
考场：高二9班
考场号：009
座位号：40</t>
  </si>
  <si>
    <t>姓名：侯林涛
考号：243800938
考场：高二9班
考场号：009
座位号：06</t>
  </si>
  <si>
    <t>姓名：齐传栋
考号：243800413
考场：高二9班
考场号：009
座位号：13</t>
  </si>
  <si>
    <t>姓名：刘思毅
考号：243800107
考场：高二9班
考场号：009
座位号：20</t>
  </si>
  <si>
    <t>姓名：李思薇
考号：243800216
考场：高二9班
考场号：009
座位号：27</t>
  </si>
  <si>
    <t>姓名：拜元蓉
考号：243800738
考场：高二9班
考场号：009
座位号：34</t>
  </si>
  <si>
    <t>姓名：胡鹤严
考号：243800537
考场：高二9班
考场号：009
座位号：41</t>
  </si>
  <si>
    <t>姓名：魏涵琪
考号：243800652
考场：高二9班
考场号：009
座位号：07</t>
  </si>
  <si>
    <t>姓名：梁振宇
考号：243800244
考场：高二9班
考场号：009
座位号：14</t>
  </si>
  <si>
    <t>姓名：原滢滢
考号：243800238
考场：高二9班
考场号：009
座位号：21</t>
  </si>
  <si>
    <t>姓名：肖菁
考号：243800318
考场：高二9班
考场号：009
座位号：28</t>
  </si>
  <si>
    <t>姓名：郑睿鑫
考号：243800434
考场：高二9班
考场号：009
座位号：35</t>
  </si>
  <si>
    <t>姓名：陆政
考号：243800621
考场：高二9班
考场号：009
座位号：42</t>
  </si>
  <si>
    <t>姓名：陈沛臻
考号：243800426
考场：高二10班
考场号：010
座位号：01</t>
  </si>
  <si>
    <t>姓名：董琪
考号：243800846
考场：高二10班
考场号：010
座位号：08</t>
  </si>
  <si>
    <t>姓名：黎天旭
考号：243800750
考场：高二10班
考场号：010
座位号：15</t>
  </si>
  <si>
    <t>姓名：陈薇琳
考号：243800333
考场：高二10班
考场号：010
座位号：22</t>
  </si>
  <si>
    <t>姓名：甘梓轩
考号：243800402
考场：高二10班
考场号：010
座位号：29</t>
  </si>
  <si>
    <t>姓名：陈海蕴
考号：243800331
考场：高二10班
考场号：010
座位号：36</t>
  </si>
  <si>
    <t>姓名：梁馨尹
考号：243800246
考场：高二10班
考场号：010
座位号：02</t>
  </si>
  <si>
    <t>姓名：谢煜扬
考号：243800350
考场：高二10班
考场号：010
座位号：09</t>
  </si>
  <si>
    <t>姓名：姚智博
考号：243800831
考场：高二10班
考场号：010
座位号：16</t>
  </si>
  <si>
    <t>姓名：吴羽轩
考号：243800816
考场：高二10班
考场号：010
座位号：23</t>
  </si>
  <si>
    <t>姓名：林钦涛
考号：243800133
考场：高二10班
考场号：010
座位号：30</t>
  </si>
  <si>
    <t>姓名：李国邦
考号：243800112
考场：高二10班
考场号：010
座位号：37</t>
  </si>
  <si>
    <t>姓名：张锐锋
考号：243800822
考场：高二10班
考场号：010
座位号：03</t>
  </si>
  <si>
    <t>姓名：熊珞颐
考号：243800352
考场：高二10班
考场号：010
座位号：10</t>
  </si>
  <si>
    <t>姓名：胡凯翔
考号：243800936
考场：高二10班
考场号：010
座位号：17</t>
  </si>
  <si>
    <t>姓名：黄子馨
考号：243800838
考场：高二10班
考场号：010
座位号：24</t>
  </si>
  <si>
    <t>姓名：何铭恩
考号：243800321
考场：高二10班
考场号：010
座位号：31</t>
  </si>
  <si>
    <t>姓名：陈昊敏
考号：243800730
考场：高二10班
考场号：010
座位号：38</t>
  </si>
  <si>
    <t>姓名：潘俊宇
考号：243800452
考场：高二10班
考场号：010
座位号：04</t>
  </si>
  <si>
    <t>姓名：韦泳诗
考号：243800703
考场：高二10班
考场号：010
座位号：11</t>
  </si>
  <si>
    <t>姓名：陈泽博
考号：243801256
考场：高二10班
考场号：010
座位号：18</t>
  </si>
  <si>
    <t>姓名：刘田宇
考号：243800708
考场：高二10班
考场号：010
座位号：25</t>
  </si>
  <si>
    <t>姓名：李洛铖
考号：243800519
考场：高二10班
考场号：010
座位号：32</t>
  </si>
  <si>
    <t>姓名：江雨桐
考号：243800711
考场：高二10班
考场号：010
座位号：39</t>
  </si>
  <si>
    <t>姓名：李玉彬
考号：243800214
考场：高二10班
考场号：010
座位号：05</t>
  </si>
  <si>
    <t>姓名：陈铭
考号：243800428
考场：高二10班
考场号：010
座位号：12</t>
  </si>
  <si>
    <t>姓名：郑玥
考号：243800935
考场：高二10班
考场号：010
座位号：19</t>
  </si>
  <si>
    <t>姓名：陈佳焕
考号：243800125
考场：高二10班
考场号：010
座位号：26</t>
  </si>
  <si>
    <t>姓名：张芸悦
考号：243800722
考场：高二10班
考场号：010
座位号：33</t>
  </si>
  <si>
    <t>姓名：李佳洛
考号：243800517
考场：高二10班
考场号：010
座位号：40</t>
  </si>
  <si>
    <t>姓名：胡梓晋
考号：243800135
考场：高二10班
考场号：010
座位号：06</t>
  </si>
  <si>
    <t>姓名：张梓荣
考号：243800326
考场：高二10班
考场号：010
座位号：13</t>
  </si>
  <si>
    <t>姓名：廖穗恺
考号：243800646
考场：高二10班
考场号：010
座位号：20</t>
  </si>
  <si>
    <t>姓名：戴淋榆
考号：243800551
考场：高二10班
考场号：010
座位号：27</t>
  </si>
  <si>
    <t>姓名：江奕霖
考号：243800415
考场：高二10班
考场号：010
座位号：34</t>
  </si>
  <si>
    <t>姓名：孙跃铭
考号：243800712
考场：高二10班
考场号：010
座位号：41</t>
  </si>
  <si>
    <t>姓名：潘盈睿
考号：243800152
考场：高二10班
考场号：010
座位号：07</t>
  </si>
  <si>
    <t>姓名：吕顺捷
考号：243800706
考场：高二10班
考场号：010
座位号：14</t>
  </si>
  <si>
    <t>姓名：徐春景
考号：243800540
考场：高二10班
考场号：010
座位号：21</t>
  </si>
  <si>
    <t>姓名：黄紫珊
考号：243800142
考场：高二10班
考场号：010
座位号：28</t>
  </si>
  <si>
    <t>姓名：林诗铟
考号：243800854
考场：高二10班
考场号：010
座位号：35</t>
  </si>
  <si>
    <t>姓名：庄嘉仪
考号：243800904
考场：高二10班
考场号：010
座位号：42</t>
  </si>
  <si>
    <t>姓名：李啟官
考号：243800417
考场：高二11班
考场号：011
座位号：01</t>
  </si>
  <si>
    <t>姓名：陈轩粲
考号：243800728
考场：高二11班
考场号：011
座位号：08</t>
  </si>
  <si>
    <t>姓名：黄元昊
考号：243800542
考场：高二11班
考场号：011
座位号：15</t>
  </si>
  <si>
    <t>姓名：陈懿俊
考号：243800131
考场：高二11班
考场号：011
座位号：22</t>
  </si>
  <si>
    <t>姓名：陈昊言
考号：243800928
考场：高二11班
考场号：011
座位号：29</t>
  </si>
  <si>
    <t>姓名：谢子阳
考号：243800548
考场：高二11班
考场号：011
座位号：36</t>
  </si>
  <si>
    <t>姓名：李智博
考号：243800521
考场：高二11班
考场号：011
座位号：02</t>
  </si>
  <si>
    <t>姓名：何荣烯
考号：243800618
考场：高二11班
考场号：011
座位号：09</t>
  </si>
  <si>
    <t>姓名：杨程智
考号：243800317
考场：高二11班
考场号：011
座位号：16</t>
  </si>
  <si>
    <t>姓名：罗培睿
考号：243800336
考场：高二11班
考场号：011
座位号：23</t>
  </si>
  <si>
    <t>姓名：项泉棠
考号：243800737
考场：高二11班
考场号：011
座位号：30</t>
  </si>
  <si>
    <t>姓名：戴子健
考号：243800651
考场：高二11班
考场号：011
座位号：37</t>
  </si>
  <si>
    <t>姓名：黄久锋
考号：243800837
考场：高二11班
考场号：011
座位号：03</t>
  </si>
  <si>
    <t>姓名：翟宇轩
考号：243800550
考场：高二11班
考场号：011
座位号：10</t>
  </si>
  <si>
    <t>姓名：邓俊毅
考号：243800103
考场：高二11班
考场号：011
座位号：17</t>
  </si>
  <si>
    <t>姓名：王涵
考号：243800502
考场：高二11班
考场号：011
座位号：24</t>
  </si>
  <si>
    <t>姓名：周钰晟
考号：243800934
考场：高二11班
考场号：011
座位号：31</t>
  </si>
  <si>
    <t>姓名：黄文琦
考号：243800632
考场：高二11班
考场号：011
座位号：38</t>
  </si>
  <si>
    <t>姓名：马聆迪
考号：243800602
考场：高二11班
考场号：011
座位号：04</t>
  </si>
  <si>
    <t>姓名：梁晟玮
考号：243800245
考场：高二11班
考场号：011
座位号：11</t>
  </si>
  <si>
    <t>姓名：邵奕婷
考号：243800229
考场：高二11班
考场号：011
座位号：18</t>
  </si>
  <si>
    <t>姓名：郭梓柔
考号：243800441
考场：高二11班
考场号：011
座位号：25</t>
  </si>
  <si>
    <t>姓名：张哲涵
考号：243800325
考场：高二11班
考场号：011
座位号：32</t>
  </si>
  <si>
    <t>姓名：刘奕
考号：243800209
考场：高二11班
考场号：011
座位号：39</t>
  </si>
  <si>
    <t>姓名：张肃萱
考号：243800527
考场：高二11班
考场号：011
座位号：05</t>
  </si>
  <si>
    <t>姓名：刘俞麟
考号：243800907
考场：高二11班
考场号：011
座位号：12</t>
  </si>
  <si>
    <t>姓名：彭旭晖
考号：243800545
考场：高二11班
考场号：011
座位号：19</t>
  </si>
  <si>
    <t>姓名：梁皓文
考号：243800640
考场：高二11班
考场号：011
座位号：26</t>
  </si>
  <si>
    <t>姓名：严华华
考号：243800812
考场：高二11班
考场号：011
座位号：33</t>
  </si>
  <si>
    <t>姓名：曾家俊
考号：243800446
考场：高二11班
考场号：011
座位号：40</t>
  </si>
  <si>
    <t>姓名：彭文俊
考号：243800343
考场：高二11班
考场号：011
座位号：06</t>
  </si>
  <si>
    <t>姓名：李杰睿
考号：243800717
考场：高二11班
考场号：011
座位号：13</t>
  </si>
  <si>
    <t>姓名：张慕涵
考号：243800529
考场：高二11班
考场号：011
座位号：20</t>
  </si>
  <si>
    <t>姓名：陈珈仪
考号：243800225
考场：高二11班
考场号：011
座位号：27</t>
  </si>
  <si>
    <t>姓名：沈书桐
考号：243800924
考场：高二11班
考场号：011
座位号：34</t>
  </si>
  <si>
    <t>姓名：彭家保
考号：243800845
考场：高二11班
考场号：011
座位号：41</t>
  </si>
  <si>
    <t>姓名：江嘉棋
考号：243800910
考场：高二11班
考场号：011
座位号：07</t>
  </si>
  <si>
    <t>姓名：罗皓予
考号：243800626
考场：高二11班
考场号：011
座位号：14</t>
  </si>
  <si>
    <t>姓名：洪紫涵
考号：243800438
考场：高二11班
考场号：011
座位号：21</t>
  </si>
  <si>
    <t>姓名：张艺
考号：243800324
考场：高二11班
考场号：011
座位号：28</t>
  </si>
  <si>
    <t>姓名：林佳琳
考号：243800733
考场：高二11班
考场号：011
座位号：35</t>
  </si>
  <si>
    <t>姓名：高商祺
考号：243800941
考场：高二11班
考场号：011
座位号：42</t>
  </si>
  <si>
    <t>姓名：刘雅然
考号：243801113
考场：高二12班
考场号：012
座位号：01</t>
  </si>
  <si>
    <t>姓名：黄承朗
考号：243801137
考场：高二12班
考场号：012
座位号：08</t>
  </si>
  <si>
    <t>姓名：曾少鸿
考号：243801146
考场：高二12班
考场号：012
座位号：15</t>
  </si>
  <si>
    <t>姓名：韦雨芊
考号：243801152
考场：高二12班
考场号：012
座位号：22</t>
  </si>
  <si>
    <t>姓名：郭文熙
考号：243801036
考场：高二12班
考场号：012
座位号：29</t>
  </si>
  <si>
    <t>姓名：杨悦
考号：243801120
考场：高二12班
考场号：012
座位号：36</t>
  </si>
  <si>
    <t>姓名：蔡嘉琪
考号：243801047
考场：高二12班
考场号：012
座位号：02</t>
  </si>
  <si>
    <t>姓名：李宇轩
考号：243801117
考场：高二12班
考场号：012
座位号：09</t>
  </si>
  <si>
    <t>姓名：陈子承
考号：243801125
考场：高二12班
考场号：012
座位号：16</t>
  </si>
  <si>
    <t>姓名：葛语涵
考号：243801145
考场：高二12班
考场号：012
座位号：23</t>
  </si>
  <si>
    <t>姓名：吴晓彤
考号：243801019
考场：高二12班
考场号：012
座位号：30</t>
  </si>
  <si>
    <t>姓名：胡艺蓝
考号：243801153
考场：高二12班
考场号：012
座位号：37</t>
  </si>
  <si>
    <t>姓名：伍睿熙
考号：243801111
考场：高二12班
考场号：012
座位号：03</t>
  </si>
  <si>
    <t>姓名：叶晓璟
考号：243801006
考场：高二12班
考场号：012
座位号：10</t>
  </si>
  <si>
    <t>姓名：谢卓睿
考号：243801147
考场：高二12班
考场号：012
座位号：17</t>
  </si>
  <si>
    <t>姓名：詹文韬
考号：243801046
考场：高二12班
考场号：012
座位号：24</t>
  </si>
  <si>
    <t>姓名：林润
考号：243801131
考场：高二12班
考场号：012
座位号：31</t>
  </si>
  <si>
    <t>姓名：黄崇艺
考号：243801138
考场：高二12班
考场号：012
座位号：38</t>
  </si>
  <si>
    <t>姓名：梁芷滢
考号：243801039
考场：高二12班
考场号：012
座位号：04</t>
  </si>
  <si>
    <t>姓名：罗琳
考号：243801134
考场：高二12班
考场号：012
座位号：11</t>
  </si>
  <si>
    <t>姓名：樊贝贝
考号：243801048
考场：高二12班
考场号：012
座位号：18</t>
  </si>
  <si>
    <t>姓名：郑硕祥
考号：243801135
考场：高二12班
考场号：012
座位号：25</t>
  </si>
  <si>
    <t>姓名：尚程宽
考号：243801133
考场：高二12班
考场号：012
座位号：32</t>
  </si>
  <si>
    <t>姓名：杨罗城
考号：243801118
考场：高二12班
考场号：012
座位号：39</t>
  </si>
  <si>
    <t>姓名：李童
考号：243801016
考场：高二12班
考场号：012
座位号：05</t>
  </si>
  <si>
    <t>姓名：徐梓恩
考号：243801136
考场：高二12班
考场号：012
座位号：12</t>
  </si>
  <si>
    <t>姓名：陈铭圣
考号：243801027
考场：高二12班
考场号：012
座位号：19</t>
  </si>
  <si>
    <t>姓名：叶梓航
考号：243801009
考场：高二12班
考场号：012
座位号：26</t>
  </si>
  <si>
    <t>姓名：卢梓淏
考号：243801106
考场：高二12班
考场号：012
座位号：33</t>
  </si>
  <si>
    <t>姓名：吴嘉轩
考号：243801051
考场：高二12班
考场号：012
座位号：40</t>
  </si>
  <si>
    <t>姓名：张圣锐
考号：243801023
考场：高二12班
考场号：012
座位号：06</t>
  </si>
  <si>
    <t>姓名：陈晞
考号：243801129
考场：高二12班
考场号：012
座位号：13</t>
  </si>
  <si>
    <t>姓名：方其鸿
考号：243801004
考场：高二12班
考场号：012
座位号：20</t>
  </si>
  <si>
    <t>姓名：伍梓浩
考号：243801110
考场：高二12班
考场号：012
座位号：27</t>
  </si>
  <si>
    <t>姓名：蔡鑫源
考号：243801149
考场：高二12班
考场号：012
座位号：34</t>
  </si>
  <si>
    <t>姓名：陈羿嘉
考号：243801026
考场：高二12班
考场号：012
座位号：41</t>
  </si>
  <si>
    <t>姓名：何雨熹
考号：243801020
考场：高二12班
考场号：012
座位号：07</t>
  </si>
  <si>
    <t>姓名：林希睿
考号：243801028
考场：高二12班
考场号：012
座位号：14</t>
  </si>
  <si>
    <t>姓名：黄炜杰
考号：243801052
考场：高二12班
考场号：012
座位号：21</t>
  </si>
  <si>
    <t>姓名：余治成
考号：243801122
考场：高二12班
考场号：012
座位号：28</t>
  </si>
  <si>
    <t>姓名：黄卓
考号：243801037
考场：高二12班
考场号：012
座位号：35</t>
  </si>
  <si>
    <t>姓名：庄子轩
考号：243801011
考场：高二12班
考场号：012
座位号：42</t>
  </si>
  <si>
    <t>姓名：潘宇鹏
考号：243801049
考场：高二13班
考场号：013
座位号：01</t>
  </si>
  <si>
    <t>姓名：陈伟邦
考号：243801024
考场：高二13班
考场号：013
座位号：08</t>
  </si>
  <si>
    <t>姓名：陈梓豪
考号：243801128
考场：高二13班
考场号：013
座位号：15</t>
  </si>
  <si>
    <t>姓名：梁斯乔
考号：243801143
考场：高二13班
考场号：013
座位号：22</t>
  </si>
  <si>
    <t>姓名：李霈钧
考号：243801017
考场：高二13班
考场号：013
座位号：29</t>
  </si>
  <si>
    <t>姓名：韦君葆
考号：243801003
考场：高二13班
考场号：013
座位号：36</t>
  </si>
  <si>
    <t>姓名：曾子健
考号：243801042
考场：高二13班
考场号：013
座位号：02</t>
  </si>
  <si>
    <t>姓名：叶润炜
考号：243801007
考场：高二13班
考场号：013
座位号：09</t>
  </si>
  <si>
    <t>姓名：周夏菡
考号：243801031
考场：高二13班
考场号：013
座位号：16</t>
  </si>
  <si>
    <t>姓名：许智轩
考号：243801012
考场：高二13班
考场号：013
座位号：23</t>
  </si>
  <si>
    <t>姓名：梁桐葳
考号：243801040
考场：高二13班
考场号：013
座位号：30</t>
  </si>
  <si>
    <t>姓名：杜雨童
考号：243801116
考场：高二13班
考场号：013
座位号：37</t>
  </si>
  <si>
    <t>姓名：叶家信
考号：243801008
考场：高二13班
考场号：013
座位号：03</t>
  </si>
  <si>
    <t>姓名：李宸熠
考号：243801015
考场：高二13班
考场号：013
座位号：10</t>
  </si>
  <si>
    <t>姓名：洪舜
考号：243801034
考场：高二13班
考场号：013
座位号：17</t>
  </si>
  <si>
    <t>姓名：彭逸豪
考号：243801144
考场：高二13班
考场号：013
座位号：24</t>
  </si>
  <si>
    <t>姓名：谷沛轩
考号：243801021
考场：高二13班
考场号：013
座位号：31</t>
  </si>
  <si>
    <t>姓名：周姿言
考号：243801030
考场：高二13班
考场号：013
座位号：38</t>
  </si>
  <si>
    <t>姓名：卢健钊
考号：243801105
考场：高二13班
考场号：013
座位号：04</t>
  </si>
  <si>
    <t>姓名：胡睿珊
考号：243801033
考场：高二13班
考场号：013
座位号：11</t>
  </si>
  <si>
    <t>姓名：李习瑞
考号：243801013
考场：高二13班
考场号：013
座位号：18</t>
  </si>
  <si>
    <t>姓名：简肇言
考号：243801045
考场：高二13班
考场号：013
座位号：25</t>
  </si>
  <si>
    <t>姓名：朱珂钰
考号：243801108
考场：高二13班
考场号：013
座位号：32</t>
  </si>
  <si>
    <t>姓名：潘赞行
考号：243801150
考场：高二13班
考场号：013
座位号：39</t>
  </si>
  <si>
    <t>姓名：杨沛霖
考号：243801018
考场：高二13班
考场号：013
座位号：05</t>
  </si>
  <si>
    <t>姓名：陈俊宇
考号：243801025
考场：高二13班
考场号：013
座位号：12</t>
  </si>
  <si>
    <t>姓名：曾至晟
考号：243801043
考场：高二13班
考场号：013
座位号：19</t>
  </si>
  <si>
    <t>姓名：李玥琋
考号：243801014
考场：高二13班
考场号：013
座位号：26</t>
  </si>
  <si>
    <t>姓名：黄家墨
考号：243801038
考场：高二13班
考场号：013
座位号：33</t>
  </si>
  <si>
    <t>姓名：林梓悠
考号：243801132
考场：高二13班
考场号：013
座位号：40</t>
  </si>
  <si>
    <t>姓名：苏楠
考号：243801115
考场：高二13班
考场号：013
座位号：06</t>
  </si>
  <si>
    <t>姓名：王亦轩
考号：243801001
考场：高二13班
考场号：013
座位号：13</t>
  </si>
  <si>
    <t>姓名：林冠行
考号：243801130
考场：高二13班
考场号：013
座位号：20</t>
  </si>
  <si>
    <t>姓名：魏楚涵
考号：243801151
考场：高二13班
考场号：013
座位号：27</t>
  </si>
  <si>
    <t>姓名：陆兴恺
考号：243801123
考场：高二13班
考场号：013
座位号：34</t>
  </si>
  <si>
    <t>姓名：杨秉坤
考号：243801119
考场：高二13班
考场号：013
座位号：41</t>
  </si>
  <si>
    <t>姓名：谭景浩
考号：243801050
考场：高二13班
考场号：013
座位号：07</t>
  </si>
  <si>
    <t>姓名：陈启豪
考号：243801127
考场：高二13班
考场号：013
座位号：14</t>
  </si>
  <si>
    <t>姓名：谢梓煜
考号：243801148
考场：高二13班
考场号：013
座位号：21</t>
  </si>
  <si>
    <t>姓名：龙思颐
考号：243801005
考场：高二13班
考场号：013
座位号：28</t>
  </si>
  <si>
    <t>姓名：罗淳锴
考号：243801029
考场：高二13班
考场号：013
座位号：35</t>
  </si>
  <si>
    <t>姓名：谢正皓
考号：243801044
考场：高二13班
考场号：013
座位号：42</t>
  </si>
  <si>
    <t>姓名：赖秋梅
考号：243801248
考场：高二14班
考场号：014
座位号：01</t>
  </si>
  <si>
    <t>姓名：张洛菲
考号：243801218
考场：高二14班
考场号：014
座位号：08</t>
  </si>
  <si>
    <t>姓名：谢宗男
考号：243801246
考场：高二14班
考场号：014
座位号：15</t>
  </si>
  <si>
    <t>姓名：杨燚
考号：243801214
考场：高二14班
考场号：014
座位号：22</t>
  </si>
  <si>
    <t>姓名：陈可欣
考号：243801221
考场：高二14班
考场号：014
座位号：29</t>
  </si>
  <si>
    <t>姓名：邓琨义
考号：243801201
考场：高二14班
考场号：014
座位号：36</t>
  </si>
  <si>
    <t>姓名：贺彩
考号：243801233
考场：高二14班
考场号：014
座位号：02</t>
  </si>
  <si>
    <t>姓名：郭曦瑶
考号：243801237
考场：高二14班
考场号：014
座位号：09</t>
  </si>
  <si>
    <t>姓名：陈妍宇
考号：243801223
考场：高二14班
考场号：014
座位号：16</t>
  </si>
  <si>
    <t>姓名：陈子和
考号：243801220
考场：高二14班
考场号：014
座位号：23</t>
  </si>
  <si>
    <t>姓名：陈睿琳
考号：243801226
考场：高二14班
考场号：014
座位号：30</t>
  </si>
  <si>
    <t>姓名：周泳君
考号：243801230
考场：高二14班
考场号：014
座位号：37</t>
  </si>
  <si>
    <t>姓名：林玥彤
考号：243801227
考场：高二14班
考场号：014
座位号：03</t>
  </si>
  <si>
    <t>姓名：谭晓洛
考号：243801253
考场：高二14班
考场号：014
座位号：10</t>
  </si>
  <si>
    <t>姓名：魏思言
考号：243801254
考场：高二14班
考场号：014
座位号：17</t>
  </si>
  <si>
    <t>姓名：朱雅琪
考号：243801205
考场：高二14班
考场号：014
座位号：24</t>
  </si>
  <si>
    <t>姓名：赖梓诺
考号：243801250
考场：高二14班
考场号：014
座位号：31</t>
  </si>
  <si>
    <t>姓名：廖睿怡
考号：243801252
考场：高二14班
考场号：014
座位号：38</t>
  </si>
  <si>
    <t>姓名：李锐
考号：243801213
考场：高二14班
考场号：014
座位号：04</t>
  </si>
  <si>
    <t>姓名：柯嘉璐
考号：243801231
考场：高二14班
考场号：014
座位号：11</t>
  </si>
  <si>
    <t>姓名：谢天奕
考号：243801245
考场：高二14班
考场号：014
座位号：18</t>
  </si>
  <si>
    <t>姓名：黄子威
考号：243801238
考场：高二14班
考场号：014
座位号：25</t>
  </si>
  <si>
    <t>姓名：阳芊慧
考号：243801208
考场：高二14班
考场号：014
座位号：32</t>
  </si>
  <si>
    <t>姓名：何佩灵
考号：243801217
考场：高二14班
考场号：014
座位号：39</t>
  </si>
  <si>
    <t>姓名：郭倩蕾
考号：243801236
考场：高二14班
考场号：014
座位号：05</t>
  </si>
  <si>
    <t>姓名：吴晨希
考号：243801216
考场：高二14班
考场号：014
座位号：12</t>
  </si>
  <si>
    <t>姓名：夏天宇
考号：243801234
考场：高二14班
考场号：014
座位号：19</t>
  </si>
  <si>
    <t>姓名：黄文彬
考号：243801239
考场：高二14班
考场号：014
座位号：26</t>
  </si>
  <si>
    <t>姓名：罗俊秀
考号：243801229
考场：高二14班
考场号：014
座位号：33</t>
  </si>
  <si>
    <t>姓名：廖诗芮
考号：243801251
考场：高二14班
考场号：014
座位号：40</t>
  </si>
  <si>
    <t>姓名：谢宗霖
考号：243801255
考场：高二14班
考场号：014
座位号：06</t>
  </si>
  <si>
    <t>姓名：赖俞睿
考号：243801249
考场：高二14班
考场号：014
座位号：13</t>
  </si>
  <si>
    <t>姓名：李朗贤
考号：243801212
考场：高二14班
考场号：014
座位号：20</t>
  </si>
  <si>
    <t>姓名：梁诗琰
考号：243801242
考场：高二14班
考场号：014
座位号：27</t>
  </si>
  <si>
    <t>姓名：邢乐乐
考号：243801203
考场：高二14班
考场号：014
座位号：34</t>
  </si>
  <si>
    <t>姓名：朱可盈
考号：243801204
考场：高二14班
考场号：014
座位号：41</t>
  </si>
  <si>
    <t>姓名：江籽言
考号：243801207
考场：高二14班
考场号：014
座位号：07</t>
  </si>
  <si>
    <t>姓名：梁嘉颖
考号：243801244
考场：高二14班
考场号：014
座位号：14</t>
  </si>
  <si>
    <t>姓名：梁桢昊
考号：243801243
考场：高二14班
考场号：014
座位号：21</t>
  </si>
  <si>
    <t>姓名：陈小悦
考号：243801219
考场：高二14班
考场号：014
座位号：28</t>
  </si>
  <si>
    <t>姓名：吴浠桐
考号：243801215
考场：高二14班
考场号：014
座位号：35</t>
  </si>
  <si>
    <t>姓名：李俊毅
考号：243801211
考场：高二14班
考场号：014
座位号：42</t>
  </si>
  <si>
    <t>姓名：孙妍
考号：243801311
考场：高二15班
考场号：015
座位号：01</t>
  </si>
  <si>
    <t>姓名：杨睿熙
考号：243801317
考场：高二15班
考场号：015
座位号：08</t>
  </si>
  <si>
    <t>姓名：陈昱丹
考号：243801619
考场：高二15班
考场号：015
座位号：15</t>
  </si>
  <si>
    <t>姓名：林诗瑶
考号：243801622
考场：高二15班
考场号：015
座位号：22</t>
  </si>
  <si>
    <t>姓名：黎泳兰
考号：243801648
考场：高二15班
考场号：015
座位号：29</t>
  </si>
  <si>
    <t>姓名：刘雨桐
考号：243801306
考场：高二15班
考场号：015
座位号：36</t>
  </si>
  <si>
    <t>姓名：顾浩腾
考号：243801534
考场：高二15班
考场号：015
座位号：02</t>
  </si>
  <si>
    <t>姓名：陈书诺
考号：243801323
考场：高二15班
考场号：015
座位号：09</t>
  </si>
  <si>
    <t>姓名：杨梓漫
考号：243801515
考场：高二15班
考场号：015
座位号：16</t>
  </si>
  <si>
    <t>姓名：陈嘉炜
考号：243801418
考场：高二15班
考场号：015
座位号：23</t>
  </si>
  <si>
    <t>姓名：刘悦晴
考号：243801510
考场：高二15班
考场号：015
座位号：30</t>
  </si>
  <si>
    <t>姓名：吴熙桐
考号：243801414
考场：高二15班
考场号：015
座位号：37</t>
  </si>
  <si>
    <t>姓名：颜子熙
考号：243801548
考场：高二15班
考场号：015
座位号：03</t>
  </si>
  <si>
    <t>姓名：林映彤
考号：243801526
考场：高二15班
考场号：015
座位号：10</t>
  </si>
  <si>
    <t>姓名：杨明晗
考号：243801314
考场：高二15班
考场号：015
座位号：17</t>
  </si>
  <si>
    <t>姓名：钟睿
考号：243801427
考场：高二15班
考场号：015
座位号：24</t>
  </si>
  <si>
    <t>姓名：钟梓瑶
考号：243801628
考场：高二15班
考场号：015
座位号：31</t>
  </si>
  <si>
    <t>姓名：李艺萱
考号：243801313
考场：高二15班
考场号：015
座位号：38</t>
  </si>
  <si>
    <t>姓名：陈嘉晴
考号：243801329
考场：高二15班
考场号：015
座位号：04</t>
  </si>
  <si>
    <t>姓名：陈夏丽
考号：243801524
考场：高二15班
考场号：015
座位号：11</t>
  </si>
  <si>
    <t>姓名：钟紫棋
考号：243801629
考场：高二15班
考场号：015
座位号：18</t>
  </si>
  <si>
    <t>姓名：沈泳均
考号：243801320
考场：高二15班
考场号：015
座位号：25</t>
  </si>
  <si>
    <t>姓名：吴一鸣
考号：243801318
考场：高二15班
考场号：015
座位号：32</t>
  </si>
  <si>
    <t>姓名：黄浩霖
考号：243801338
考场：高二15班
考场号：015
座位号：39</t>
  </si>
  <si>
    <t>姓名：刘欣羽
考号：243801408
考场：高二15班
考场号：015
座位号：05</t>
  </si>
  <si>
    <t>姓名：黄宇纶
考号：243801337
考场：高二15班
考场号：015
座位号：12</t>
  </si>
  <si>
    <t>姓名：王思雨
考号：243801401
考场：高二15班
考场号：015
座位号：19</t>
  </si>
  <si>
    <t>姓名：黄梦薇
考号：243801539
考场：高二15班
考场号：015
座位号：26</t>
  </si>
  <si>
    <t>姓名：刘梓涵
考号：243801308
考场：高二15班
考场号：015
座位号：33</t>
  </si>
  <si>
    <t>姓名：桑涣朴
考号：243801438
考场：高二15班
考场号：015
座位号：40</t>
  </si>
  <si>
    <t>姓名：钱程
考号：243801631
考场：高二15班
考场号：015
座位号：06</t>
  </si>
  <si>
    <t>姓名：严一林
考号：243801512
考场：高二15班
考场号：015
座位号：13</t>
  </si>
  <si>
    <t>姓名：龚栩然
考号：243801639
考场：高二15班
考场号：015
座位号：20</t>
  </si>
  <si>
    <t>姓名：邓启睿
考号：243801402
考场：高二15班
考场号：015
座位号：27</t>
  </si>
  <si>
    <t>姓名：彭冠琅
考号：243801642
考场：高二15班
考场号：015
座位号：34</t>
  </si>
  <si>
    <t>姓名：雷晓婷
考号：243801645
考场：高二15班
考场号：015
座位号：41</t>
  </si>
  <si>
    <t>姓名：毛钰荧
考号：243801304
考场：高二15班
考场号：015
座位号：07</t>
  </si>
  <si>
    <t>姓名：韦雅涵
考号：243801504
考场：高二15班
考场号：015
座位号：14</t>
  </si>
  <si>
    <t>姓名：雷声扬
考号：243801545
考场：高二15班
考场号：015
座位号：21</t>
  </si>
  <si>
    <t>姓名：罗芷欣
考号：243801528
考场：高二15班
考场号：015
座位号：28</t>
  </si>
  <si>
    <t>姓名：谢雨霏
考号：243801644
考场：高二15班
考场号：015
座位号：35</t>
  </si>
  <si>
    <t>姓名：刘美杏
考号：243801409
考场：高二15班
考场号：015
座位号：42</t>
  </si>
  <si>
    <t>姓名：林映彤
考号：243801649
考场：高二16班
考场号：016
座位号：01</t>
  </si>
  <si>
    <t>姓名：周海隽
考号：243801531
考场：高二16班
考场号：016
座位号：08</t>
  </si>
  <si>
    <t>姓名：吴玄楚
考号：243801516
考场：高二16班
考场号：016
座位号：15</t>
  </si>
  <si>
    <t>姓名：郑金子
考号：243801424
考场：高二16班
考场号：016
座位号：22</t>
  </si>
  <si>
    <t>姓名：阮依婧
考号：243801609
考场：高二16班
考场号：016
座位号：29</t>
  </si>
  <si>
    <t>姓名：梁成昊
考号：243801640
考场：高二16班
考场号：016
座位号：36</t>
  </si>
  <si>
    <t>姓名：颜美婷
考号：243801446
考场：高二16班
考场号：016
座位号：02</t>
  </si>
  <si>
    <t>姓名：王芷滢
考号：243801302
考场：高二16班
考场号：016
座位号：09</t>
  </si>
  <si>
    <t>姓名：黄思妍
考号：243801538
考场：高二16班
考场号：016
座位号：16</t>
  </si>
  <si>
    <t>姓名：陈君健
考号：243801617
考场：高二16班
考场号：016
座位号：23</t>
  </si>
  <si>
    <t>姓名：梁倩瑜
考号：243801440
考场：高二16班
考场号：016
座位号：30</t>
  </si>
  <si>
    <t>姓名：谭茈瞳
考号：243801647
考场：高二16班
考场号：016
座位号：37</t>
  </si>
  <si>
    <t>姓名：黄楚棉
考号：243801635
考场：高二16班
考场号：016
座位号：03</t>
  </si>
  <si>
    <t>姓名：莫芷晴
考号：243801630
考场：高二16班
考场号：016
座位号：10</t>
  </si>
  <si>
    <t>姓名：姚沛希
考号：243801333
考场：高二16班
考场号：016
座位号：17</t>
  </si>
  <si>
    <t>姓名：杨欣
考号：243801316
考场：高二16班
考场号：016
座位号：24</t>
  </si>
  <si>
    <t>姓名：王清蕊
考号：243801503
考场：高二16班
考场号：016
座位号：31</t>
  </si>
  <si>
    <t>姓名：石芷瑜
考号：243801403
考场：高二16班
考场号：016
座位号：38</t>
  </si>
  <si>
    <t>姓名：张维燏
考号：243801521
考场：高二16班
考场号：016
座位号：04</t>
  </si>
  <si>
    <t>姓名：张晨旭
考号：243801520
考场：高二16班
考场号：016
座位号：11</t>
  </si>
  <si>
    <t>姓名：李思璇
考号：243801613
考场：高二16班
考场号：016
座位号：18</t>
  </si>
  <si>
    <t>姓名：关颖莹
考号：243801511
考场：高二16班
考场号：016
座位号：25</t>
  </si>
  <si>
    <t>姓名：马绍玮
考号：243801502
考场：高二16班
考场号：016
座位号：32</t>
  </si>
  <si>
    <t>姓名：曾思涵
考号：243801643
考场：高二16班
考场号：016
座位号：39</t>
  </si>
  <si>
    <t>姓名：袁熙霖
考号：243801429
考场：高二16班
考场号：016
座位号：05</t>
  </si>
  <si>
    <t>姓名：刘悦童
考号：243801607
考场：高二16班
考场号：016
座位号：12</t>
  </si>
  <si>
    <t>姓名：刘逸琳
考号：243801309
考场：高二16班
考场号：016
座位号：19</t>
  </si>
  <si>
    <t>姓名：韦雨彤
考号：243801449
考场：高二16班
考场号：016
座位号：26</t>
  </si>
  <si>
    <t>姓名：曾因哲
考号：243801543
考场：高二16班
考场号：016
座位号：33</t>
  </si>
  <si>
    <t>姓名：黎彦希
考号：243801347
考场：高二16班
考场号：016
座位号：40</t>
  </si>
  <si>
    <t>姓名：罗懿晴
考号：243801530
考场：高二16班
考场号：016
座位号：06</t>
  </si>
  <si>
    <t>姓名：林伟森
考号：243801621
考场：高二16班
考场号：016
座位号：13</t>
  </si>
  <si>
    <t>姓名：陈致翀
考号：243801328
考场：高二16班
考场号：016
座位号：20</t>
  </si>
  <si>
    <t>姓名：杨亦陶
考号：243801614
考场：高二16班
考场号：016
座位号：27</t>
  </si>
  <si>
    <t>姓名：苏诗溏
考号：243801610
考场：高二16班
考场号：016
座位号：34</t>
  </si>
  <si>
    <t>姓名：徐芷莜
考号：243801435
考场：高二16班
考场号：016
座位号：41</t>
  </si>
  <si>
    <t>姓名：曾子耘
考号：243801443
考场：高二16班
考场号：016
座位号：07</t>
  </si>
  <si>
    <t>姓名：陈柏宇
考号：243801327
考场：高二16班
考场号：016
座位号：14</t>
  </si>
  <si>
    <t>姓名：陈芷铃
考号：243801523
考场：高二16班
考场号：016
座位号：21</t>
  </si>
  <si>
    <t>姓名：史钰姗
考号：243801603
考场：高二16班
考场号：016
座位号：28</t>
  </si>
  <si>
    <t>姓名：陈可恩
考号：243801324
考场：高二16班
考场号：016
座位号：35</t>
  </si>
  <si>
    <t>姓名：聂宇晨
考号：243801430
考场：高二16班
考场号：016
座位号：42</t>
  </si>
  <si>
    <t>姓名：莫惠然
考号：243801432
考场：公共课室3
考场号：017
座位号：01</t>
  </si>
  <si>
    <t>姓名：杨佳丽
考号：243801514
考场：公共课室3
考场号：017
座位号：08</t>
  </si>
  <si>
    <t>姓名：杨致宁
考号：243801413
考场：公共课室3
考场号：017
座位号：15</t>
  </si>
  <si>
    <t>姓名：何子妍
考号：243801319
考场：公共课室3
考场号：017
座位号：22</t>
  </si>
  <si>
    <t>姓名：唐思琦
考号：243801633
考场：公共课室3
考场号：017
座位号：29</t>
  </si>
  <si>
    <t>姓名：赖家玄
考号：243801344
考场：公共课室3
考场号：017
座位号：36</t>
  </si>
  <si>
    <t>姓名：韩欣瑭
考号：243801442
考场：公共课室3
考场号：017
座位号：02</t>
  </si>
  <si>
    <t>姓名：蔡欣彤
考号：243801345
考场：公共课室3
考场号：017
座位号：09</t>
  </si>
  <si>
    <t>姓名：郑云天
考号：243801625
考场：公共课室3
考场号：017
座位号：16</t>
  </si>
  <si>
    <t>姓名：林睿苗
考号：243801623
考场：公共课室3
考场号：017
座位号：23</t>
  </si>
  <si>
    <t>姓名：曹桂烨
考号：243801341
考场：公共课室3
考场号：017
座位号：30</t>
  </si>
  <si>
    <t>姓名：张扬
考号：243801615
考场：公共课室3
考场号：017
座位号：37</t>
  </si>
  <si>
    <t>姓名：黄嘉贤
考号：243801636
考场：公共课室3
考场号：017
座位号：03</t>
  </si>
  <si>
    <t>姓名：李卓恩
考号：243801612
考场：公共课室3
考场号：017
座位号：10</t>
  </si>
  <si>
    <t>姓名：明苗苗
考号：243801527
考场：公共课室3
考场号：017
座位号：17</t>
  </si>
  <si>
    <t>姓名：曾尚杰
考号：243801444
考场：公共课室3
考场号：017
座位号：24</t>
  </si>
  <si>
    <t>姓名：邓政妍
考号：243801506
考场：公共课室3
考场号：017
座位号：31</t>
  </si>
  <si>
    <t>姓名：伍颂文
考号：243801606
考场：公共课室3
考场号：017
座位号：38</t>
  </si>
  <si>
    <t>姓名：李安翘
考号：243801412
考场：公共课室3
考场号：017
座位号：04</t>
  </si>
  <si>
    <t>姓名：胡晓悦
考号：243801627
考场：公共课室3
考场号：017
座位号：11</t>
  </si>
  <si>
    <t>姓名：曹芷妍
考号：243801638
考场：公共课室3
考场号：017
座位号：18</t>
  </si>
  <si>
    <t>姓名：刘宝遥
考号：243801307
考场：公共课室3
考场号：017
座位号：25</t>
  </si>
  <si>
    <t>姓名：黄雪儿
考号：243801634
考场：公共课室3
考场号：017
座位号：32</t>
  </si>
  <si>
    <t>姓名：郭力尔
考号：243801632
考场：公共课室3
考场号：017
座位号：39</t>
  </si>
  <si>
    <t>姓名：张力文
考号：243801321
考场：公共课室3
考场号：017
座位号：05</t>
  </si>
  <si>
    <t>姓名：冯奕桐
考号：243801507
考场：公共课室3
考场号：017
座位号：12</t>
  </si>
  <si>
    <t>姓名：陈伊颖
考号：243801522
考场：公共课室3
考场号：017
座位号：19</t>
  </si>
  <si>
    <t>姓名：陈雅之
考号：243801620
考场：公共课室3
考场号：017
座位号：26</t>
  </si>
  <si>
    <t>姓名：郭思晴
考号：243801335
考场：公共课室3
考场号：017
座位号：33</t>
  </si>
  <si>
    <t>姓名：罗钰颖
考号：243801529
考场：公共课室3
考场号：017
座位号：40</t>
  </si>
  <si>
    <t>姓名：周语宸
考号：243801624
考场：公共课室3
考场号：017
座位号：06</t>
  </si>
  <si>
    <t>姓名：黄钰珊
考号：243801348
考场：公共课室3
考场号：017
座位号：13</t>
  </si>
  <si>
    <t>姓名：梁哲妍
考号：243801641
考场：公共课室3
考场号：017
座位号：20</t>
  </si>
  <si>
    <t>姓名：徐欣怡
考号：243801535
考场：公共课室3
考场号：017
座位号：27</t>
  </si>
  <si>
    <t>姓名：邢海玥
考号：243801605
考场：公共课室3
考场号：017
座位号：34</t>
  </si>
  <si>
    <t>姓名：罗沁琳
考号：243801420
考场：公共课室3
考场号：017
座位号：41</t>
  </si>
  <si>
    <t>姓名：邱芷嫣
考号：243801519
考场：公共课室3
考场号：017
座位号：07</t>
  </si>
  <si>
    <t>姓名：冯乐蔚
考号：243801448
考场：公共课室3
考场号：017
座位号：14</t>
  </si>
  <si>
    <t>姓名：黄瑞龙
考号：243801339
考场：公共课室3
考场号：017
座位号：21</t>
  </si>
  <si>
    <t>姓名：李婉铭
考号：243801513
考场：公共课室3
考场号：017
座位号：28</t>
  </si>
  <si>
    <t>姓名：吴思语
考号：243801517
考场：公共课室3
考场号：017
座位号：35</t>
  </si>
  <si>
    <t>姓名：凌钰妍
考号：243801436
考场：公共课室3
考场号：017
座位号：42</t>
  </si>
  <si>
    <t>姓名：陈芸萱
考号：243801325
考场：公共课室4
考场号：018
座位号：01</t>
  </si>
  <si>
    <t>姓名：何泽丰
考号：243801415
考场：公共课室4
考场号：018
座位号：08</t>
  </si>
  <si>
    <t>姓名：孔柳晴
考号：243801601
考场：公共课室4
考场号：018
座位号：15</t>
  </si>
  <si>
    <t>姓名：黄幸仪
考号：243801537
考场：公共课室4
考场号：018
座位号：22</t>
  </si>
  <si>
    <t>姓名：钟紫嫣
考号：243801426
考场：公共课室4
考场号：018
座位号：29</t>
  </si>
  <si>
    <t>姓名：夏若彤
考号：243801434
考场：公共课室4
考场号：018
座位号：36</t>
  </si>
  <si>
    <t>姓名：刘雅琪
考号：243801410
考场：公共课室4
考场号：018
座位号：02</t>
  </si>
  <si>
    <t>姓名：梁家宇
考号：243801542
考场：公共课室4
考场号：018
座位号：09</t>
  </si>
  <si>
    <t>姓名：徐柯
考号：243801536
考场：公共课室4
考场号：018
座位号：16</t>
  </si>
  <si>
    <t>姓名：黄晞琳
考号：243801439
考场：公共课室4
考场号：018
座位号：23</t>
  </si>
  <si>
    <t>姓名：许诗敏
考号：243801608
考场：公共课室4
考场号：018
座位号：30</t>
  </si>
  <si>
    <t>姓名：周俊宇
考号：243801330
考场：公共课室4
考场号：018
座位号：37</t>
  </si>
  <si>
    <t>姓名：刘咏萱
考号：243801509
考场：公共课室4
考场号：018
座位号：03</t>
  </si>
  <si>
    <t>姓名：林东旭
考号：243801419
考场：公共课室4
考场号：018
座位号：10</t>
  </si>
  <si>
    <t>姓名：冼子然
考号：243801422
考场：公共课室4
考场号：018
座位号：17</t>
  </si>
  <si>
    <t>姓名：陈雨昕
考号：243801618
考场：公共课室4
考场号：018
座位号：24</t>
  </si>
  <si>
    <t>姓名：邓光利
考号：243801305
考场：公共课室4
考场号：018
座位号：31</t>
  </si>
  <si>
    <t>姓名：骆佳怡
考号：243801533
考场：公共课室4
考场号：018
座位号：38</t>
  </si>
  <si>
    <t>姓名：谭子菲
考号：243801546
考场：公共课室4
考场号：018
座位号：04</t>
  </si>
  <si>
    <t>姓名：吴健行
考号：243801518
考场：公共课室4
考场号：018
座位号：11</t>
  </si>
  <si>
    <t>姓名：陈妍彤
考号：243801326
考场：公共课室4
考场号：018
座位号：18</t>
  </si>
  <si>
    <t>姓名：熊朱尚艾
考号：243801547
考场：公共课室4
考场号：018
座位号：25</t>
  </si>
  <si>
    <t>姓名：苏恺润
考号：243801611
考场：公共课室4
考场号：018
座位号：32</t>
  </si>
  <si>
    <t>姓名：王梓淇
考号：243801303
考场：公共课室4
考场号：018
座位号：39</t>
  </si>
  <si>
    <t>姓名：庞永健
考号：243801423
考场：公共课室4
考场号：018
座位号：05</t>
  </si>
  <si>
    <t>姓名：叶婉莹
考号：243801602
考场：公共课室4
考场号：018
座位号：12</t>
  </si>
  <si>
    <t>姓名：马漫铃
考号：243801301
考场：公共课室4
考场号：018
座位号：19</t>
  </si>
  <si>
    <t>姓名：杜诺恒
考号：243801312
考场：公共课室4
考场号：018
座位号：26</t>
  </si>
  <si>
    <t>姓名：谭楹萤
考号：243801445
考场：公共课室4
考场号：018
座位号：33</t>
  </si>
  <si>
    <t>姓名：彭韵霖
考号：243801441
考场：公共课室4
考场号：018
座位号：40</t>
  </si>
  <si>
    <t>姓名：贾家贝
考号：243801334
考场：公共课室4
考场号：018
座位号：06</t>
  </si>
  <si>
    <t>姓名：黄慧欣
考号：243801637
考场：公共课室4
考场号：018
座位号：13</t>
  </si>
  <si>
    <t>姓名：龚晓玉
考号：243801342
考场：公共课室4
考场号：018
座位号：20</t>
  </si>
  <si>
    <t>姓名：张弼贺
考号：243801447
考场：公共课室4
考场号：018
座位号：27</t>
  </si>
  <si>
    <t>姓名：张可
考号：243801322
考场：公共课室4
考场号：018
座位号：34</t>
  </si>
  <si>
    <t>姓名：胡恩铭
考号：243801331
考场：公共课室4
考场号：018
座位号：41</t>
  </si>
  <si>
    <t>姓名：刘佳琪
考号：243801407
考场：公共课室4
考场号：018
座位号：07</t>
  </si>
  <si>
    <t>姓名：伍浩霖
考号：243801405
考场：公共课室4
考场号：018
座位号：14</t>
  </si>
  <si>
    <t>姓名：钟曼琦
考号：243801332
考场：公共课室4
考场号：018
座位号：21</t>
  </si>
  <si>
    <t>姓名：胡可欣
考号：243801425
考场：公共课室4
考场号：018
座位号：28</t>
  </si>
  <si>
    <t>姓名：刘正杰
考号：243801508
考场：公共课室4
考场号：018
座位号：35</t>
  </si>
  <si>
    <t>姓名：冯春暖
考号：243801604
考场：公共课室4
考场号：018
座位号：42</t>
  </si>
  <si>
    <t>姓名：孙邦杰
考号：243801114
考场：公共课室5
考场号：019
座位号：01</t>
  </si>
  <si>
    <t>姓名：汪子越
考号：243801022
考场：公共课室5
考场号：019
座位号：08</t>
  </si>
  <si>
    <t>姓名：王子轩
考号：243801101
考场：公共课室5
考场号：019
座位号：15</t>
  </si>
  <si>
    <t>姓名：李文茵
考号：243801210
考场：公共课室5
考场号：019
座位号：22</t>
  </si>
  <si>
    <t>姓名：陈诗琪
考号：243800328
考场：公共课室5
考场号：019
座位号：29</t>
  </si>
  <si>
    <t>姓名：余韵诗
考号：243800923
考场：公共课室5
考场号：019
座位号：36</t>
  </si>
  <si>
    <t>姓名：吕文栋
考号：243801107
考场：公共课室5
考场号：019
座位号：02</t>
  </si>
  <si>
    <t>姓名：黄臻悦
考号：243801139
考场：公共课室5
考场号：019
座位号：09</t>
  </si>
  <si>
    <t>姓名：王毅彬
考号：243801002
考场：公共课室5
考场号：019
座位号：16</t>
  </si>
  <si>
    <t>姓名：谢锐扬
考号：243801247
考场：公共课室5
考场号：019
座位号：23</t>
  </si>
  <si>
    <t>姓名：张泽仁
考号：243800425
考场：公共课室5
考场号：019
座位号：30</t>
  </si>
  <si>
    <t>姓名：陈文彬
考号：243801126
考场：公共课室5
考场号：019
座位号：03</t>
  </si>
  <si>
    <t>姓名：王舜丞
考号：243801102
考场：公共课室5
考场号：019
座位号：10</t>
  </si>
  <si>
    <t>姓名：叶雅萱
考号：243801010
考场：公共课室5
考场号：019
座位号：17</t>
  </si>
  <si>
    <t>姓名：叶果丰
考号：243801202
考场：公共课室5
考场号：019
座位号：24</t>
  </si>
  <si>
    <t>姓名：刘博思
考号：243800110
考场：公共课室5
考场号：019
座位号：31</t>
  </si>
  <si>
    <t>姓名：章峻诚
考号：243801142
考场：公共课室5
考场号：019
座位号：04</t>
  </si>
  <si>
    <t>姓名：邓钰君
考号：243801104
考场：公共课室5
考场号：019
座位号：11</t>
  </si>
  <si>
    <t>姓名：战吕宁
考号：243801232
考场：公共课室5
考场号：019
座位号：18</t>
  </si>
  <si>
    <t>姓名：高晓钰
考号：243801235
考场：公共课室5
考场号：019
座位号：25</t>
  </si>
  <si>
    <t>姓名：史梓澎
考号：243800405
考场：公共课室5
考场号：019
座位号：32</t>
  </si>
  <si>
    <t>姓名：常茹熠
考号：243801141
考场：公共课室5
考场号：019
座位号：05</t>
  </si>
  <si>
    <t>姓名：高涵
考号：243801035
考场：公共课室5
考场号：019
座位号：12</t>
  </si>
  <si>
    <t>姓名：欧阳彬
考号：243801228
考场：公共课室5
考场号：019
座位号：19</t>
  </si>
  <si>
    <t>姓名：巫梦玥
考号：243801209
考场：公共课室5
考场号：019
座位号：26</t>
  </si>
  <si>
    <t>姓名：刘延欢
考号：243800510
考场：公共课室5
考场号：019
座位号：33</t>
  </si>
  <si>
    <t>姓名：朱骏
考号：243801109
考场：公共课室5
考场号：019
座位号：06</t>
  </si>
  <si>
    <t>姓名：吴欣然
考号：243801121
考场：公共课室5
考场号：019
座位号：13</t>
  </si>
  <si>
    <t>姓名：陈昕言
考号：243801224
考场：公共课室5
考场号：019
座位号：20</t>
  </si>
  <si>
    <t>姓名：陈志龙
考号：243801222
考场：公共课室5
考场号：019
座位号：27</t>
  </si>
  <si>
    <t>姓名：龚裕甜
考号：243801140
考场：公共课室5
考场号：019
座位号：34</t>
  </si>
  <si>
    <t>姓名：陆俊言
考号：243801124
考场：公共课室5
考场号：019
座位号：07</t>
  </si>
  <si>
    <t>姓名：郑美玲
考号：243801032
考场：公共课室5
考场号：019
座位号：14</t>
  </si>
  <si>
    <t>姓名：陈诗勤
考号：243801225
考场：公共课室5
考场号：019
座位号：21</t>
  </si>
  <si>
    <t>姓名：刘子恒
考号：243801206
考场：公共课室5
考场号：019
座位号：28</t>
  </si>
  <si>
    <t>姓名：刘婉婷
考号：243801112
考场：公共课室5
考场号：019
座位号：35</t>
  </si>
  <si>
    <t>姓名：黎子瑶
考号：243801346
考场：公共课室6
考场号：020
座位号：01</t>
  </si>
  <si>
    <t>姓名：李兆鋆
考号：243801411
考场：公共课室6
考场号：020
座位号：08</t>
  </si>
  <si>
    <t>姓名：谢博龙
考号：243801544
考场：公共课室6
考场号：020
座位号：15</t>
  </si>
  <si>
    <t>姓名：梁洛瑜
考号：243801343
考场：公共课室6
考场号：020
座位号：22</t>
  </si>
  <si>
    <t>姓名：郭子傲
考号：243801437
考场：公共课室6
考场号：020
座位号：02</t>
  </si>
  <si>
    <t>姓名：桑俨朴
考号：243801336
考场：公共课室6
考场号：020
座位号：09</t>
  </si>
  <si>
    <t>姓名：姚芷涵
考号：243801428
考场：公共课室6
考场号：020
座位号：16</t>
  </si>
  <si>
    <t>姓名：黄潘乐
考号：243801340
考场：公共课室6
考场号：020
座位号：23</t>
  </si>
  <si>
    <t>姓名：黄铱蓓
考号：243801540
考场：公共课室6
考场号：020
座位号：03</t>
  </si>
  <si>
    <t>姓名：张钰曈
考号：243801416
考场：公共课室6
考场号：020
座位号：10</t>
  </si>
  <si>
    <t>姓名：罗凯龄
考号：243801421
考场：公共课室6
考场号：020
座位号：17</t>
  </si>
  <si>
    <t>姓名：杨佳美
考号：243801315
考场：公共课室6
考场号：020
座位号：24</t>
  </si>
  <si>
    <t>姓名：邓欣颖
考号：243801505
考场：公共课室6
考场号：020
座位号：04</t>
  </si>
  <si>
    <t>姓名：陈可燊
考号：243801616
考场：公共课室6
考场号：020
座位号：11</t>
  </si>
  <si>
    <t>姓名：聂靖瑶
考号：243801431
考场：公共课室6
考场号：020
座位号：18</t>
  </si>
  <si>
    <t>姓名：冯浩轩
考号：243801404
考场：公共课室6
考场号：020
座位号：25</t>
  </si>
  <si>
    <t>姓名：梁文
考号：243801541
考场：公共课室6
考场号：020
座位号：05</t>
  </si>
  <si>
    <t>姓名：郑航宇
考号：243801626
考场：公共课室6
考场号：020
座位号：12</t>
  </si>
  <si>
    <t>姓名：夏正彤
考号：243801433
考场：公共课室6
考场号：020
座位号：19</t>
  </si>
  <si>
    <t>姓名：胡馨文
考号：243801532
考场：公共课室6
考场号：020
座位号：06</t>
  </si>
  <si>
    <t>姓名：许梓依
考号：243801310
考场：公共课室6
考场号：020
座位号：13</t>
  </si>
  <si>
    <t>姓名：陈钐茵
考号：243801417
考场：公共课室6
考场号：020
座位号：20</t>
  </si>
  <si>
    <t>姓名：万钰
考号：243801501
考场：公共课室6
考场号：020
座位号：07</t>
  </si>
  <si>
    <t>姓名：詹坤鑫
考号：243801646
考场：公共课室6
考场号：020
座位号：14</t>
  </si>
  <si>
    <t>姓名：伍雯玥
考号：243801406
考场：公共课室6
考场号：020
座位号：21</t>
  </si>
  <si>
    <t>岗位</t>
  </si>
  <si>
    <t>请假时间（日期+时间）</t>
  </si>
  <si>
    <t>请假原因</t>
  </si>
  <si>
    <t>监考</t>
  </si>
  <si>
    <t>11.5（上午）</t>
  </si>
  <si>
    <t>科组长会议</t>
  </si>
  <si>
    <t>11.6（下午）</t>
  </si>
  <si>
    <t>地理学科区教研</t>
  </si>
  <si>
    <t>看病复查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</si>
</sst>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</numFmts>
  <fonts count="53">
    <font>
      <sz val="11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sz val="12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24"/>
      <color theme="1"/>
      <name val="等线"/>
      <charset val="134"/>
      <scheme val="minor"/>
    </font>
    <font>
      <sz val="24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1"/>
      <name val="等线"/>
      <charset val="134"/>
      <scheme val="minor"/>
    </font>
    <font>
      <b/>
      <sz val="22"/>
      <color theme="1"/>
      <name val="宋体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b/>
      <sz val="11"/>
      <name val="黑体"/>
      <charset val="134"/>
    </font>
    <font>
      <sz val="20"/>
      <name val="宋体"/>
      <charset val="134"/>
    </font>
    <font>
      <b/>
      <sz val="20"/>
      <name val="宋体"/>
      <charset val="134"/>
    </font>
    <font>
      <b/>
      <sz val="12"/>
      <color theme="1"/>
      <name val="宋体"/>
      <charset val="134"/>
    </font>
    <font>
      <sz val="12"/>
      <name val="宋体"/>
      <charset val="134"/>
    </font>
    <font>
      <b/>
      <sz val="12"/>
      <name val="黑体"/>
      <charset val="134"/>
    </font>
    <font>
      <b/>
      <sz val="22"/>
      <color theme="1"/>
      <name val="等线"/>
      <charset val="134"/>
      <scheme val="minor"/>
    </font>
    <font>
      <b/>
      <sz val="11"/>
      <color theme="1"/>
      <name val="等线 Light"/>
      <charset val="134"/>
      <scheme val="major"/>
    </font>
    <font>
      <sz val="12"/>
      <color theme="1"/>
      <name val="宋体"/>
      <charset val="134"/>
    </font>
    <font>
      <sz val="16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b/>
      <sz val="18"/>
      <color theme="1"/>
      <name val="宋体"/>
      <charset val="134"/>
    </font>
    <font>
      <b/>
      <sz val="16"/>
      <color theme="1"/>
      <name val="宋体"/>
      <charset val="134"/>
    </font>
    <font>
      <b/>
      <sz val="14"/>
      <color theme="1"/>
      <name val="宋体"/>
      <charset val="134"/>
    </font>
    <font>
      <b/>
      <sz val="14"/>
      <color theme="1"/>
      <name val="等线"/>
      <charset val="134"/>
      <scheme val="minor"/>
    </font>
    <font>
      <b/>
      <sz val="16"/>
      <name val="宋体"/>
      <charset val="134"/>
    </font>
    <font>
      <b/>
      <sz val="14"/>
      <name val="宋体"/>
      <charset val="134"/>
    </font>
    <font>
      <b/>
      <sz val="11"/>
      <name val="宋体"/>
      <charset val="134"/>
    </font>
    <font>
      <sz val="13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  <font>
      <sz val="12"/>
      <color rgb="FFBF000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8" borderId="14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9" borderId="17" applyNumberFormat="0" applyAlignment="0" applyProtection="0">
      <alignment vertical="center"/>
    </xf>
    <xf numFmtId="0" fontId="41" fillId="10" borderId="18" applyNumberFormat="0" applyAlignment="0" applyProtection="0">
      <alignment vertical="center"/>
    </xf>
    <xf numFmtId="0" fontId="42" fillId="10" borderId="17" applyNumberFormat="0" applyAlignment="0" applyProtection="0">
      <alignment vertical="center"/>
    </xf>
    <xf numFmtId="0" fontId="43" fillId="11" borderId="19" applyNumberFormat="0" applyAlignment="0" applyProtection="0">
      <alignment vertical="center"/>
    </xf>
    <xf numFmtId="0" fontId="44" fillId="0" borderId="20" applyNumberFormat="0" applyFill="0" applyAlignment="0" applyProtection="0">
      <alignment vertical="center"/>
    </xf>
    <xf numFmtId="0" fontId="45" fillId="0" borderId="21" applyNumberFormat="0" applyFill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1" fillId="0" borderId="0"/>
    <xf numFmtId="0" fontId="0" fillId="0" borderId="0">
      <alignment vertical="center"/>
    </xf>
    <xf numFmtId="0" fontId="0" fillId="0" borderId="0"/>
    <xf numFmtId="0" fontId="17" fillId="0" borderId="0"/>
    <xf numFmtId="0" fontId="17" fillId="0" borderId="0">
      <alignment vertical="center"/>
    </xf>
  </cellStyleXfs>
  <cellXfs count="131">
    <xf numFmtId="0" fontId="0" fillId="0" borderId="0" xfId="0"/>
    <xf numFmtId="0" fontId="1" fillId="0" borderId="1" xfId="53" applyFont="1" applyFill="1" applyBorder="1" applyAlignment="1">
      <alignment horizontal="center" vertical="center"/>
    </xf>
    <xf numFmtId="0" fontId="2" fillId="0" borderId="1" xfId="53" applyFont="1" applyFill="1" applyBorder="1" applyAlignment="1">
      <alignment horizontal="center" vertical="center"/>
    </xf>
    <xf numFmtId="0" fontId="2" fillId="0" borderId="1" xfId="53" applyFont="1" applyFill="1" applyBorder="1" applyAlignment="1">
      <alignment horizontal="center" vertical="center" wrapText="1"/>
    </xf>
    <xf numFmtId="0" fontId="3" fillId="0" borderId="1" xfId="53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0" borderId="0" xfId="0" applyFont="1" applyFill="1" applyAlignment="1"/>
    <xf numFmtId="0" fontId="8" fillId="0" borderId="1" xfId="0" applyFont="1" applyFill="1" applyBorder="1" applyAlignment="1">
      <alignment horizontal="center" vertical="top"/>
    </xf>
    <xf numFmtId="0" fontId="0" fillId="0" borderId="0" xfId="53" applyFont="1" applyFill="1" applyAlignment="1"/>
    <xf numFmtId="0" fontId="0" fillId="0" borderId="0" xfId="53" applyFont="1" applyFill="1" applyAlignment="1">
      <alignment horizontal="center"/>
    </xf>
    <xf numFmtId="0" fontId="0" fillId="0" borderId="0" xfId="53" applyFont="1"/>
    <xf numFmtId="0" fontId="9" fillId="2" borderId="1" xfId="53" applyFont="1" applyFill="1" applyBorder="1" applyAlignment="1">
      <alignment horizontal="center" vertical="center"/>
    </xf>
    <xf numFmtId="0" fontId="10" fillId="2" borderId="1" xfId="53" applyFont="1" applyFill="1" applyBorder="1" applyAlignment="1">
      <alignment horizontal="center" vertical="center"/>
    </xf>
    <xf numFmtId="0" fontId="10" fillId="3" borderId="1" xfId="53" applyFont="1" applyFill="1" applyBorder="1" applyAlignment="1">
      <alignment horizontal="center" vertical="center"/>
    </xf>
    <xf numFmtId="58" fontId="10" fillId="3" borderId="1" xfId="0" applyNumberFormat="1" applyFont="1" applyFill="1" applyBorder="1" applyAlignment="1">
      <alignment horizontal="center" vertical="center" wrapText="1"/>
    </xf>
    <xf numFmtId="58" fontId="10" fillId="2" borderId="1" xfId="0" applyNumberFormat="1" applyFont="1" applyFill="1" applyBorder="1" applyAlignment="1">
      <alignment horizontal="center" vertical="center" wrapText="1"/>
    </xf>
    <xf numFmtId="0" fontId="11" fillId="3" borderId="1" xfId="53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" xfId="54" applyFont="1" applyFill="1" applyBorder="1" applyAlignment="1">
      <alignment horizontal="center" vertical="center"/>
    </xf>
    <xf numFmtId="0" fontId="12" fillId="2" borderId="1" xfId="54" applyFont="1" applyFill="1" applyBorder="1" applyAlignment="1">
      <alignment horizontal="center" vertical="center"/>
    </xf>
    <xf numFmtId="0" fontId="13" fillId="0" borderId="4" xfId="53" applyFont="1" applyFill="1" applyBorder="1" applyAlignment="1">
      <alignment horizontal="center" vertical="center" wrapText="1"/>
    </xf>
    <xf numFmtId="0" fontId="0" fillId="0" borderId="0" xfId="53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53" applyFont="1" applyFill="1" applyBorder="1" applyAlignment="1">
      <alignment horizontal="center" wrapText="1"/>
    </xf>
    <xf numFmtId="0" fontId="0" fillId="0" borderId="0" xfId="0" applyFill="1" applyBorder="1" applyAlignment="1">
      <alignment horizontal="center" vertical="center" wrapText="1"/>
    </xf>
    <xf numFmtId="0" fontId="14" fillId="0" borderId="0" xfId="53" applyFont="1" applyFill="1" applyAlignment="1">
      <alignment horizontal="center" vertical="center"/>
    </xf>
    <xf numFmtId="0" fontId="15" fillId="0" borderId="0" xfId="53" applyFont="1" applyFill="1" applyAlignment="1">
      <alignment horizontal="center" vertical="center"/>
    </xf>
    <xf numFmtId="0" fontId="15" fillId="0" borderId="1" xfId="53" applyFont="1" applyFill="1" applyBorder="1" applyAlignment="1">
      <alignment horizontal="center" vertical="center"/>
    </xf>
    <xf numFmtId="0" fontId="14" fillId="0" borderId="0" xfId="53" applyFont="1" applyFill="1" applyAlignment="1">
      <alignment vertical="center"/>
    </xf>
    <xf numFmtId="0" fontId="14" fillId="0" borderId="1" xfId="53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16" fillId="2" borderId="1" xfId="53" applyFont="1" applyFill="1" applyBorder="1" applyAlignment="1">
      <alignment horizontal="center" vertical="center"/>
    </xf>
    <xf numFmtId="0" fontId="16" fillId="2" borderId="5" xfId="53" applyFont="1" applyFill="1" applyBorder="1" applyAlignment="1">
      <alignment horizontal="center" vertical="center"/>
    </xf>
    <xf numFmtId="58" fontId="16" fillId="0" borderId="1" xfId="0" applyNumberFormat="1" applyFont="1" applyFill="1" applyBorder="1" applyAlignment="1">
      <alignment horizontal="center" vertical="center" wrapText="1"/>
    </xf>
    <xf numFmtId="0" fontId="17" fillId="4" borderId="1" xfId="53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8" fillId="0" borderId="1" xfId="53" applyFont="1" applyFill="1" applyBorder="1" applyAlignment="1">
      <alignment horizontal="center" vertical="center" wrapText="1"/>
    </xf>
    <xf numFmtId="0" fontId="19" fillId="2" borderId="0" xfId="53" applyFont="1" applyFill="1" applyBorder="1" applyAlignment="1">
      <alignment horizontal="center" vertical="center"/>
    </xf>
    <xf numFmtId="0" fontId="16" fillId="2" borderId="6" xfId="53" applyFont="1" applyFill="1" applyBorder="1" applyAlignment="1">
      <alignment horizontal="center" vertical="center"/>
    </xf>
    <xf numFmtId="0" fontId="20" fillId="2" borderId="0" xfId="53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1" fillId="0" borderId="7" xfId="0" applyFont="1" applyFill="1" applyBorder="1" applyAlignment="1">
      <alignment horizontal="center" vertical="center"/>
    </xf>
    <xf numFmtId="58" fontId="16" fillId="2" borderId="1" xfId="0" applyNumberFormat="1" applyFont="1" applyFill="1" applyBorder="1" applyAlignment="1">
      <alignment horizontal="center" vertical="center" wrapText="1"/>
    </xf>
    <xf numFmtId="0" fontId="17" fillId="0" borderId="1" xfId="54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7" fillId="6" borderId="1" xfId="54" applyFont="1" applyFill="1" applyBorder="1" applyAlignment="1">
      <alignment horizontal="center" vertical="center"/>
    </xf>
    <xf numFmtId="0" fontId="17" fillId="0" borderId="1" xfId="54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/>
    </xf>
    <xf numFmtId="0" fontId="0" fillId="0" borderId="1" xfId="53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21" fillId="0" borderId="5" xfId="0" applyFont="1" applyFill="1" applyBorder="1" applyAlignment="1">
      <alignment horizontal="center" vertical="center"/>
    </xf>
    <xf numFmtId="0" fontId="21" fillId="6" borderId="7" xfId="0" applyFont="1" applyFill="1" applyBorder="1" applyAlignment="1">
      <alignment horizontal="center" vertical="center"/>
    </xf>
    <xf numFmtId="0" fontId="0" fillId="6" borderId="1" xfId="53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22" fillId="0" borderId="0" xfId="0" applyFont="1" applyFill="1" applyAlignment="1"/>
    <xf numFmtId="0" fontId="23" fillId="0" borderId="0" xfId="0" applyFont="1" applyFill="1" applyAlignment="1"/>
    <xf numFmtId="176" fontId="21" fillId="0" borderId="0" xfId="0" applyNumberFormat="1" applyFont="1" applyFill="1" applyAlignment="1">
      <alignment horizontal="center"/>
    </xf>
    <xf numFmtId="0" fontId="21" fillId="0" borderId="0" xfId="0" applyFont="1" applyFill="1" applyAlignment="1">
      <alignment horizontal="left"/>
    </xf>
    <xf numFmtId="176" fontId="0" fillId="0" borderId="0" xfId="0" applyNumberFormat="1" applyFont="1" applyFill="1" applyAlignment="1"/>
    <xf numFmtId="176" fontId="24" fillId="0" borderId="1" xfId="0" applyNumberFormat="1" applyFont="1" applyFill="1" applyBorder="1" applyAlignment="1">
      <alignment horizontal="center" vertical="center"/>
    </xf>
    <xf numFmtId="176" fontId="0" fillId="0" borderId="0" xfId="0" applyNumberFormat="1" applyFont="1" applyFill="1" applyAlignment="1">
      <alignment vertical="center"/>
    </xf>
    <xf numFmtId="176" fontId="25" fillId="0" borderId="1" xfId="0" applyNumberFormat="1" applyFont="1" applyFill="1" applyBorder="1" applyAlignment="1">
      <alignment horizontal="center" vertical="center"/>
    </xf>
    <xf numFmtId="176" fontId="22" fillId="0" borderId="0" xfId="0" applyNumberFormat="1" applyFont="1" applyFill="1" applyAlignment="1">
      <alignment vertical="center"/>
    </xf>
    <xf numFmtId="176" fontId="23" fillId="0" borderId="0" xfId="0" applyNumberFormat="1" applyFont="1" applyFill="1" applyAlignment="1">
      <alignment vertical="center"/>
    </xf>
    <xf numFmtId="176" fontId="26" fillId="0" borderId="1" xfId="0" applyNumberFormat="1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/>
    <xf numFmtId="176" fontId="16" fillId="0" borderId="1" xfId="0" applyNumberFormat="1" applyFont="1" applyFill="1" applyBorder="1" applyAlignment="1">
      <alignment horizontal="center" vertical="center"/>
    </xf>
    <xf numFmtId="20" fontId="16" fillId="0" borderId="1" xfId="0" applyNumberFormat="1" applyFont="1" applyFill="1" applyBorder="1" applyAlignment="1">
      <alignment horizontal="center" vertical="center"/>
    </xf>
    <xf numFmtId="0" fontId="6" fillId="0" borderId="7" xfId="0" applyFont="1" applyFill="1" applyBorder="1" applyAlignment="1">
      <alignment vertical="center"/>
    </xf>
    <xf numFmtId="176" fontId="21" fillId="0" borderId="1" xfId="0" applyNumberFormat="1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vertical="center"/>
    </xf>
    <xf numFmtId="176" fontId="21" fillId="0" borderId="8" xfId="0" applyNumberFormat="1" applyFont="1" applyFill="1" applyBorder="1" applyAlignment="1">
      <alignment horizontal="center" vertical="center"/>
    </xf>
    <xf numFmtId="0" fontId="21" fillId="0" borderId="4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vertical="center"/>
    </xf>
    <xf numFmtId="176" fontId="21" fillId="0" borderId="9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vertical="center"/>
    </xf>
    <xf numFmtId="176" fontId="21" fillId="0" borderId="10" xfId="0" applyNumberFormat="1" applyFont="1" applyFill="1" applyBorder="1" applyAlignment="1">
      <alignment horizontal="center" vertical="center"/>
    </xf>
    <xf numFmtId="0" fontId="21" fillId="0" borderId="3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vertical="center"/>
    </xf>
    <xf numFmtId="176" fontId="21" fillId="0" borderId="5" xfId="0" applyNumberFormat="1" applyFont="1" applyFill="1" applyBorder="1" applyAlignment="1">
      <alignment horizontal="center" vertical="center"/>
    </xf>
    <xf numFmtId="0" fontId="21" fillId="0" borderId="6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176" fontId="21" fillId="0" borderId="7" xfId="0" applyNumberFormat="1" applyFont="1" applyFill="1" applyBorder="1" applyAlignment="1">
      <alignment horizontal="center" vertical="center"/>
    </xf>
    <xf numFmtId="0" fontId="21" fillId="0" borderId="5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vertical="center"/>
    </xf>
    <xf numFmtId="0" fontId="22" fillId="0" borderId="0" xfId="0" applyFont="1" applyFill="1" applyAlignment="1">
      <alignment vertical="center"/>
    </xf>
    <xf numFmtId="0" fontId="23" fillId="0" borderId="0" xfId="0" applyFont="1" applyFill="1" applyAlignment="1">
      <alignment vertical="center"/>
    </xf>
    <xf numFmtId="0" fontId="0" fillId="0" borderId="0" xfId="50">
      <alignment vertical="center"/>
    </xf>
    <xf numFmtId="0" fontId="28" fillId="0" borderId="0" xfId="50" applyFont="1" applyBorder="1" applyAlignment="1">
      <alignment horizontal="center" vertical="center" wrapText="1"/>
    </xf>
    <xf numFmtId="0" fontId="29" fillId="0" borderId="3" xfId="50" applyFont="1" applyBorder="1" applyAlignment="1">
      <alignment horizontal="left" vertical="center" wrapText="1"/>
    </xf>
    <xf numFmtId="0" fontId="0" fillId="0" borderId="0" xfId="50" applyAlignment="1">
      <alignment horizontal="left" vertical="center" wrapText="1"/>
    </xf>
    <xf numFmtId="0" fontId="17" fillId="0" borderId="1" xfId="50" applyFont="1" applyBorder="1" applyAlignment="1">
      <alignment horizontal="center" vertical="center" wrapText="1"/>
    </xf>
    <xf numFmtId="0" fontId="21" fillId="0" borderId="1" xfId="50" applyFont="1" applyBorder="1" applyAlignment="1">
      <alignment horizontal="center" vertical="center" wrapText="1"/>
    </xf>
    <xf numFmtId="0" fontId="17" fillId="0" borderId="11" xfId="50" applyFont="1" applyBorder="1" applyAlignment="1">
      <alignment horizontal="center" vertical="center" wrapText="1"/>
    </xf>
    <xf numFmtId="0" fontId="21" fillId="0" borderId="7" xfId="50" applyFont="1" applyBorder="1" applyAlignment="1">
      <alignment horizontal="center" vertical="center" wrapText="1"/>
    </xf>
    <xf numFmtId="0" fontId="21" fillId="0" borderId="5" xfId="50" applyFont="1" applyBorder="1" applyAlignment="1">
      <alignment horizontal="center" vertical="center" wrapText="1"/>
    </xf>
    <xf numFmtId="0" fontId="21" fillId="0" borderId="6" xfId="50" applyFont="1" applyBorder="1" applyAlignment="1">
      <alignment horizontal="center" vertical="center" wrapText="1"/>
    </xf>
    <xf numFmtId="0" fontId="17" fillId="0" borderId="12" xfId="50" applyFont="1" applyBorder="1" applyAlignment="1">
      <alignment horizontal="center" vertical="center" wrapText="1"/>
    </xf>
    <xf numFmtId="0" fontId="17" fillId="0" borderId="7" xfId="50" applyFont="1" applyBorder="1" applyAlignment="1">
      <alignment horizontal="center" vertical="center" wrapText="1"/>
    </xf>
    <xf numFmtId="0" fontId="17" fillId="0" borderId="5" xfId="50" applyFont="1" applyBorder="1" applyAlignment="1">
      <alignment horizontal="center" vertical="center" wrapText="1"/>
    </xf>
    <xf numFmtId="0" fontId="17" fillId="0" borderId="6" xfId="50" applyFont="1" applyBorder="1" applyAlignment="1">
      <alignment horizontal="center" vertical="center" wrapText="1"/>
    </xf>
    <xf numFmtId="0" fontId="17" fillId="0" borderId="13" xfId="50" applyFont="1" applyBorder="1" applyAlignment="1">
      <alignment horizontal="center" vertical="center" wrapText="1"/>
    </xf>
    <xf numFmtId="0" fontId="30" fillId="0" borderId="4" xfId="50" applyFont="1" applyBorder="1" applyAlignment="1">
      <alignment horizontal="left" vertical="center" wrapText="1"/>
    </xf>
    <xf numFmtId="0" fontId="29" fillId="0" borderId="0" xfId="50" applyFont="1" applyBorder="1" applyAlignment="1">
      <alignment horizontal="left" vertical="center" wrapText="1"/>
    </xf>
    <xf numFmtId="0" fontId="31" fillId="0" borderId="0" xfId="50" applyFont="1" applyBorder="1" applyAlignment="1">
      <alignment horizontal="left" vertical="center" wrapText="1"/>
    </xf>
    <xf numFmtId="0" fontId="3" fillId="0" borderId="0" xfId="50" applyFont="1" applyAlignment="1">
      <alignment horizontal="left" vertical="justify" wrapText="1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2 10" xfId="49"/>
    <cellStyle name="常规 12 10 2" xfId="50"/>
    <cellStyle name="常规 14 6 4 3" xfId="51"/>
    <cellStyle name="常规 19 2" xfId="52"/>
    <cellStyle name="常规 2" xfId="53"/>
    <cellStyle name="常规 28" xfId="54"/>
    <cellStyle name="常规 4" xfId="55"/>
    <cellStyle name="常规 4 2 2 2" xfId="56"/>
    <cellStyle name="常规 8" xfId="57"/>
  </cellStyles>
  <dxfs count="1">
    <dxf>
      <font>
        <name val="宋体"/>
        <scheme val="none"/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externalLink" Target="externalLinks/externalLink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34013;&#26122;&#33635;\Documents\tencent%20files\229544971\FileRecv\mobilefile\&#12304;&#26368;&#32456;11.3&#12305;&#39640;&#20108;&#26399;&#20013;&#32771;&#23433;&#25490;-11.5&amp;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巡视"/>
      <sheetName val="铃声安排"/>
      <sheetName val="监考安排"/>
      <sheetName val="监考安排 (2)"/>
      <sheetName val="考务会议签到表（打印）"/>
      <sheetName val="监考员签到表（打印）"/>
      <sheetName val="学生编排结果"/>
      <sheetName val="班级（打印）"/>
      <sheetName val="考场（打印）"/>
      <sheetName val="试卷袋标签（打印）"/>
      <sheetName val="桌角纸（打印）"/>
      <sheetName val="请假"/>
      <sheetName val="监考安排-1"/>
    </sheetNames>
    <sheetDataSet>
      <sheetData sheetId="0">
        <row r="1">
          <cell r="A1" t="str">
            <v>2025-2026学年高二第一学期期中考</v>
          </cell>
        </row>
      </sheetData>
      <sheetData sheetId="1"/>
      <sheetData sheetId="2"/>
      <sheetData sheetId="3"/>
      <sheetData sheetId="4"/>
      <sheetData sheetId="5"/>
      <sheetData sheetId="6">
        <row r="1">
          <cell r="H1" t="str">
            <v>考场</v>
          </cell>
        </row>
        <row r="2">
          <cell r="H2" t="str">
            <v>高二1班</v>
          </cell>
        </row>
        <row r="3">
          <cell r="H3" t="str">
            <v>高二1班</v>
          </cell>
        </row>
        <row r="4">
          <cell r="H4" t="str">
            <v>高二1班</v>
          </cell>
        </row>
        <row r="5">
          <cell r="H5" t="str">
            <v>高二1班</v>
          </cell>
        </row>
        <row r="6">
          <cell r="H6" t="str">
            <v>高二1班</v>
          </cell>
        </row>
        <row r="7">
          <cell r="H7" t="str">
            <v>高二1班</v>
          </cell>
        </row>
        <row r="8">
          <cell r="H8" t="str">
            <v>高二1班</v>
          </cell>
        </row>
        <row r="9">
          <cell r="H9" t="str">
            <v>高二1班</v>
          </cell>
        </row>
        <row r="10">
          <cell r="H10" t="str">
            <v>高二1班</v>
          </cell>
        </row>
        <row r="11">
          <cell r="H11" t="str">
            <v>高二1班</v>
          </cell>
        </row>
        <row r="12">
          <cell r="H12" t="str">
            <v>高二1班</v>
          </cell>
        </row>
        <row r="13">
          <cell r="H13" t="str">
            <v>高二1班</v>
          </cell>
        </row>
        <row r="14">
          <cell r="H14" t="str">
            <v>高二1班</v>
          </cell>
        </row>
        <row r="15">
          <cell r="H15" t="str">
            <v>高二1班</v>
          </cell>
        </row>
        <row r="16">
          <cell r="H16" t="str">
            <v>高二1班</v>
          </cell>
        </row>
        <row r="17">
          <cell r="H17" t="str">
            <v>高二1班</v>
          </cell>
        </row>
        <row r="18">
          <cell r="H18" t="str">
            <v>高二1班</v>
          </cell>
        </row>
        <row r="19">
          <cell r="H19" t="str">
            <v>高二1班</v>
          </cell>
        </row>
        <row r="20">
          <cell r="H20" t="str">
            <v>高二1班</v>
          </cell>
        </row>
        <row r="21">
          <cell r="H21" t="str">
            <v>高二1班</v>
          </cell>
        </row>
        <row r="22">
          <cell r="H22" t="str">
            <v>高二1班</v>
          </cell>
        </row>
        <row r="23">
          <cell r="H23" t="str">
            <v>高二1班</v>
          </cell>
        </row>
        <row r="24">
          <cell r="H24" t="str">
            <v>高二1班</v>
          </cell>
        </row>
        <row r="25">
          <cell r="H25" t="str">
            <v>高二1班</v>
          </cell>
        </row>
        <row r="26">
          <cell r="H26" t="str">
            <v>高二1班</v>
          </cell>
        </row>
        <row r="27">
          <cell r="H27" t="str">
            <v>高二1班</v>
          </cell>
        </row>
        <row r="28">
          <cell r="H28" t="str">
            <v>高二1班</v>
          </cell>
        </row>
        <row r="29">
          <cell r="H29" t="str">
            <v>高二1班</v>
          </cell>
        </row>
        <row r="30">
          <cell r="H30" t="str">
            <v>高二1班</v>
          </cell>
        </row>
        <row r="31">
          <cell r="H31" t="str">
            <v>高二1班</v>
          </cell>
        </row>
        <row r="32">
          <cell r="H32" t="str">
            <v>高二1班</v>
          </cell>
        </row>
        <row r="33">
          <cell r="H33" t="str">
            <v>高二1班</v>
          </cell>
        </row>
        <row r="34">
          <cell r="H34" t="str">
            <v>高二1班</v>
          </cell>
        </row>
        <row r="35">
          <cell r="H35" t="str">
            <v>高二1班</v>
          </cell>
        </row>
        <row r="36">
          <cell r="H36" t="str">
            <v>高二1班</v>
          </cell>
        </row>
        <row r="37">
          <cell r="H37" t="str">
            <v>高二1班</v>
          </cell>
        </row>
        <row r="38">
          <cell r="H38" t="str">
            <v>高二1班</v>
          </cell>
        </row>
        <row r="39">
          <cell r="H39" t="str">
            <v>高二1班</v>
          </cell>
        </row>
        <row r="40">
          <cell r="H40" t="str">
            <v>高二1班</v>
          </cell>
        </row>
        <row r="41">
          <cell r="H41" t="str">
            <v>高二1班</v>
          </cell>
        </row>
        <row r="42">
          <cell r="H42" t="str">
            <v>高二1班</v>
          </cell>
        </row>
        <row r="43">
          <cell r="H43" t="str">
            <v>高二1班</v>
          </cell>
        </row>
        <row r="44">
          <cell r="H44" t="str">
            <v>高二2班</v>
          </cell>
        </row>
        <row r="45">
          <cell r="H45" t="str">
            <v>高二2班</v>
          </cell>
        </row>
        <row r="46">
          <cell r="H46" t="str">
            <v>高二2班</v>
          </cell>
        </row>
        <row r="47">
          <cell r="H47" t="str">
            <v>高二2班</v>
          </cell>
        </row>
        <row r="48">
          <cell r="H48" t="str">
            <v>高二2班</v>
          </cell>
        </row>
        <row r="49">
          <cell r="H49" t="str">
            <v>高二2班</v>
          </cell>
        </row>
        <row r="50">
          <cell r="H50" t="str">
            <v>高二2班</v>
          </cell>
        </row>
        <row r="51">
          <cell r="H51" t="str">
            <v>高二2班</v>
          </cell>
        </row>
        <row r="52">
          <cell r="H52" t="str">
            <v>高二2班</v>
          </cell>
        </row>
        <row r="53">
          <cell r="H53" t="str">
            <v>高二2班</v>
          </cell>
        </row>
        <row r="54">
          <cell r="H54" t="str">
            <v>高二2班</v>
          </cell>
        </row>
        <row r="55">
          <cell r="H55" t="str">
            <v>高二2班</v>
          </cell>
        </row>
        <row r="56">
          <cell r="H56" t="str">
            <v>高二2班</v>
          </cell>
        </row>
        <row r="57">
          <cell r="H57" t="str">
            <v>高二2班</v>
          </cell>
        </row>
        <row r="58">
          <cell r="H58" t="str">
            <v>高二2班</v>
          </cell>
        </row>
        <row r="59">
          <cell r="H59" t="str">
            <v>高二2班</v>
          </cell>
        </row>
        <row r="60">
          <cell r="H60" t="str">
            <v>高二2班</v>
          </cell>
        </row>
        <row r="61">
          <cell r="H61" t="str">
            <v>高二2班</v>
          </cell>
        </row>
        <row r="62">
          <cell r="H62" t="str">
            <v>高二2班</v>
          </cell>
        </row>
        <row r="63">
          <cell r="H63" t="str">
            <v>高二2班</v>
          </cell>
        </row>
        <row r="64">
          <cell r="H64" t="str">
            <v>高二2班</v>
          </cell>
        </row>
        <row r="65">
          <cell r="H65" t="str">
            <v>高二2班</v>
          </cell>
        </row>
        <row r="66">
          <cell r="H66" t="str">
            <v>高二2班</v>
          </cell>
        </row>
        <row r="67">
          <cell r="H67" t="str">
            <v>高二2班</v>
          </cell>
        </row>
        <row r="68">
          <cell r="H68" t="str">
            <v>高二2班</v>
          </cell>
        </row>
        <row r="69">
          <cell r="H69" t="str">
            <v>高二2班</v>
          </cell>
        </row>
        <row r="70">
          <cell r="H70" t="str">
            <v>高二2班</v>
          </cell>
        </row>
        <row r="71">
          <cell r="H71" t="str">
            <v>高二2班</v>
          </cell>
        </row>
        <row r="72">
          <cell r="H72" t="str">
            <v>高二2班</v>
          </cell>
        </row>
        <row r="73">
          <cell r="H73" t="str">
            <v>高二2班</v>
          </cell>
        </row>
        <row r="74">
          <cell r="H74" t="str">
            <v>高二2班</v>
          </cell>
        </row>
        <row r="75">
          <cell r="H75" t="str">
            <v>高二2班</v>
          </cell>
        </row>
        <row r="76">
          <cell r="H76" t="str">
            <v>高二2班</v>
          </cell>
        </row>
        <row r="77">
          <cell r="H77" t="str">
            <v>高二2班</v>
          </cell>
        </row>
        <row r="78">
          <cell r="H78" t="str">
            <v>高二2班</v>
          </cell>
        </row>
        <row r="79">
          <cell r="H79" t="str">
            <v>高二2班</v>
          </cell>
        </row>
        <row r="80">
          <cell r="H80" t="str">
            <v>高二2班</v>
          </cell>
        </row>
        <row r="81">
          <cell r="H81" t="str">
            <v>高二2班</v>
          </cell>
        </row>
        <row r="82">
          <cell r="H82" t="str">
            <v>高二2班</v>
          </cell>
        </row>
        <row r="83">
          <cell r="H83" t="str">
            <v>高二2班</v>
          </cell>
        </row>
        <row r="84">
          <cell r="H84" t="str">
            <v>高二2班</v>
          </cell>
        </row>
        <row r="85">
          <cell r="H85" t="str">
            <v>高二2班</v>
          </cell>
        </row>
        <row r="86">
          <cell r="H86" t="str">
            <v>高二3班</v>
          </cell>
        </row>
        <row r="87">
          <cell r="H87" t="str">
            <v>高二3班</v>
          </cell>
        </row>
        <row r="88">
          <cell r="H88" t="str">
            <v>高二3班</v>
          </cell>
        </row>
        <row r="89">
          <cell r="H89" t="str">
            <v>高二3班</v>
          </cell>
        </row>
        <row r="90">
          <cell r="H90" t="str">
            <v>高二3班</v>
          </cell>
        </row>
        <row r="91">
          <cell r="H91" t="str">
            <v>高二3班</v>
          </cell>
        </row>
        <row r="92">
          <cell r="H92" t="str">
            <v>高二3班</v>
          </cell>
        </row>
        <row r="93">
          <cell r="H93" t="str">
            <v>高二3班</v>
          </cell>
        </row>
        <row r="94">
          <cell r="H94" t="str">
            <v>高二3班</v>
          </cell>
        </row>
        <row r="95">
          <cell r="H95" t="str">
            <v>高二3班</v>
          </cell>
        </row>
        <row r="96">
          <cell r="H96" t="str">
            <v>高二3班</v>
          </cell>
        </row>
        <row r="97">
          <cell r="H97" t="str">
            <v>高二3班</v>
          </cell>
        </row>
        <row r="98">
          <cell r="H98" t="str">
            <v>高二3班</v>
          </cell>
        </row>
        <row r="99">
          <cell r="H99" t="str">
            <v>高二3班</v>
          </cell>
        </row>
        <row r="100">
          <cell r="H100" t="str">
            <v>高二3班</v>
          </cell>
        </row>
        <row r="101">
          <cell r="H101" t="str">
            <v>高二3班</v>
          </cell>
        </row>
        <row r="102">
          <cell r="H102" t="str">
            <v>高二3班</v>
          </cell>
        </row>
        <row r="103">
          <cell r="H103" t="str">
            <v>高二3班</v>
          </cell>
        </row>
        <row r="104">
          <cell r="H104" t="str">
            <v>高二3班</v>
          </cell>
        </row>
        <row r="105">
          <cell r="H105" t="str">
            <v>高二3班</v>
          </cell>
        </row>
        <row r="106">
          <cell r="H106" t="str">
            <v>高二3班</v>
          </cell>
        </row>
        <row r="107">
          <cell r="H107" t="str">
            <v>高二3班</v>
          </cell>
        </row>
        <row r="108">
          <cell r="H108" t="str">
            <v>高二3班</v>
          </cell>
        </row>
        <row r="109">
          <cell r="H109" t="str">
            <v>高二3班</v>
          </cell>
        </row>
        <row r="110">
          <cell r="H110" t="str">
            <v>高二3班</v>
          </cell>
        </row>
        <row r="111">
          <cell r="H111" t="str">
            <v>高二3班</v>
          </cell>
        </row>
        <row r="112">
          <cell r="H112" t="str">
            <v>高二3班</v>
          </cell>
        </row>
        <row r="113">
          <cell r="H113" t="str">
            <v>高二3班</v>
          </cell>
        </row>
        <row r="114">
          <cell r="H114" t="str">
            <v>高二3班</v>
          </cell>
        </row>
        <row r="115">
          <cell r="H115" t="str">
            <v>高二3班</v>
          </cell>
        </row>
        <row r="116">
          <cell r="H116" t="str">
            <v>高二3班</v>
          </cell>
        </row>
        <row r="117">
          <cell r="H117" t="str">
            <v>高二3班</v>
          </cell>
        </row>
        <row r="118">
          <cell r="H118" t="str">
            <v>高二3班</v>
          </cell>
        </row>
        <row r="119">
          <cell r="H119" t="str">
            <v>高二3班</v>
          </cell>
        </row>
        <row r="120">
          <cell r="H120" t="str">
            <v>高二3班</v>
          </cell>
        </row>
        <row r="121">
          <cell r="H121" t="str">
            <v>高二3班</v>
          </cell>
        </row>
        <row r="122">
          <cell r="H122" t="str">
            <v>高二3班</v>
          </cell>
        </row>
        <row r="123">
          <cell r="H123" t="str">
            <v>高二3班</v>
          </cell>
        </row>
        <row r="124">
          <cell r="H124" t="str">
            <v>高二3班</v>
          </cell>
        </row>
        <row r="125">
          <cell r="H125" t="str">
            <v>高二3班</v>
          </cell>
        </row>
        <row r="126">
          <cell r="H126" t="str">
            <v>高二3班</v>
          </cell>
        </row>
        <row r="127">
          <cell r="H127" t="str">
            <v>高二3班</v>
          </cell>
        </row>
        <row r="128">
          <cell r="H128" t="str">
            <v>高二4班</v>
          </cell>
        </row>
        <row r="129">
          <cell r="H129" t="str">
            <v>高二4班</v>
          </cell>
        </row>
        <row r="130">
          <cell r="H130" t="str">
            <v>高二4班</v>
          </cell>
        </row>
        <row r="131">
          <cell r="H131" t="str">
            <v>高二4班</v>
          </cell>
        </row>
        <row r="132">
          <cell r="H132" t="str">
            <v>高二4班</v>
          </cell>
        </row>
        <row r="133">
          <cell r="H133" t="str">
            <v>高二4班</v>
          </cell>
        </row>
        <row r="134">
          <cell r="H134" t="str">
            <v>高二4班</v>
          </cell>
        </row>
        <row r="135">
          <cell r="H135" t="str">
            <v>高二4班</v>
          </cell>
        </row>
        <row r="136">
          <cell r="H136" t="str">
            <v>高二4班</v>
          </cell>
        </row>
        <row r="137">
          <cell r="H137" t="str">
            <v>高二4班</v>
          </cell>
        </row>
        <row r="138">
          <cell r="H138" t="str">
            <v>高二4班</v>
          </cell>
        </row>
        <row r="139">
          <cell r="H139" t="str">
            <v>高二4班</v>
          </cell>
        </row>
        <row r="140">
          <cell r="H140" t="str">
            <v>高二4班</v>
          </cell>
        </row>
        <row r="141">
          <cell r="H141" t="str">
            <v>高二4班</v>
          </cell>
        </row>
        <row r="142">
          <cell r="H142" t="str">
            <v>高二4班</v>
          </cell>
        </row>
        <row r="143">
          <cell r="H143" t="str">
            <v>高二4班</v>
          </cell>
        </row>
        <row r="144">
          <cell r="H144" t="str">
            <v>高二4班</v>
          </cell>
        </row>
        <row r="145">
          <cell r="H145" t="str">
            <v>高二4班</v>
          </cell>
        </row>
        <row r="146">
          <cell r="H146" t="str">
            <v>高二4班</v>
          </cell>
        </row>
        <row r="147">
          <cell r="H147" t="str">
            <v>高二4班</v>
          </cell>
        </row>
        <row r="148">
          <cell r="H148" t="str">
            <v>高二4班</v>
          </cell>
        </row>
        <row r="149">
          <cell r="H149" t="str">
            <v>高二4班</v>
          </cell>
        </row>
        <row r="150">
          <cell r="H150" t="str">
            <v>高二4班</v>
          </cell>
        </row>
        <row r="151">
          <cell r="H151" t="str">
            <v>高二4班</v>
          </cell>
        </row>
        <row r="152">
          <cell r="H152" t="str">
            <v>高二4班</v>
          </cell>
        </row>
        <row r="153">
          <cell r="H153" t="str">
            <v>高二4班</v>
          </cell>
        </row>
        <row r="154">
          <cell r="H154" t="str">
            <v>高二4班</v>
          </cell>
        </row>
        <row r="155">
          <cell r="H155" t="str">
            <v>高二4班</v>
          </cell>
        </row>
        <row r="156">
          <cell r="H156" t="str">
            <v>高二4班</v>
          </cell>
        </row>
        <row r="157">
          <cell r="H157" t="str">
            <v>高二4班</v>
          </cell>
        </row>
        <row r="158">
          <cell r="H158" t="str">
            <v>高二4班</v>
          </cell>
        </row>
        <row r="159">
          <cell r="H159" t="str">
            <v>高二4班</v>
          </cell>
        </row>
        <row r="160">
          <cell r="H160" t="str">
            <v>高二4班</v>
          </cell>
        </row>
        <row r="161">
          <cell r="H161" t="str">
            <v>高二4班</v>
          </cell>
        </row>
        <row r="162">
          <cell r="H162" t="str">
            <v>高二4班</v>
          </cell>
        </row>
        <row r="163">
          <cell r="H163" t="str">
            <v>高二4班</v>
          </cell>
        </row>
        <row r="164">
          <cell r="H164" t="str">
            <v>高二4班</v>
          </cell>
        </row>
        <row r="165">
          <cell r="H165" t="str">
            <v>高二4班</v>
          </cell>
        </row>
        <row r="166">
          <cell r="H166" t="str">
            <v>高二4班</v>
          </cell>
        </row>
        <row r="167">
          <cell r="H167" t="str">
            <v>高二4班</v>
          </cell>
        </row>
        <row r="168">
          <cell r="H168" t="str">
            <v>高二4班</v>
          </cell>
        </row>
        <row r="169">
          <cell r="H169" t="str">
            <v>高二4班</v>
          </cell>
        </row>
        <row r="170">
          <cell r="H170" t="str">
            <v>高二5班</v>
          </cell>
        </row>
        <row r="171">
          <cell r="H171" t="str">
            <v>高二5班</v>
          </cell>
        </row>
        <row r="172">
          <cell r="H172" t="str">
            <v>高二5班</v>
          </cell>
        </row>
        <row r="173">
          <cell r="H173" t="str">
            <v>高二5班</v>
          </cell>
        </row>
        <row r="174">
          <cell r="H174" t="str">
            <v>高二5班</v>
          </cell>
        </row>
        <row r="175">
          <cell r="H175" t="str">
            <v>高二5班</v>
          </cell>
        </row>
        <row r="176">
          <cell r="H176" t="str">
            <v>高二5班</v>
          </cell>
        </row>
        <row r="177">
          <cell r="H177" t="str">
            <v>高二5班</v>
          </cell>
        </row>
        <row r="178">
          <cell r="H178" t="str">
            <v>高二5班</v>
          </cell>
        </row>
        <row r="179">
          <cell r="H179" t="str">
            <v>高二5班</v>
          </cell>
        </row>
        <row r="180">
          <cell r="H180" t="str">
            <v>高二5班</v>
          </cell>
        </row>
        <row r="181">
          <cell r="H181" t="str">
            <v>高二5班</v>
          </cell>
        </row>
        <row r="182">
          <cell r="H182" t="str">
            <v>高二5班</v>
          </cell>
        </row>
        <row r="183">
          <cell r="H183" t="str">
            <v>高二5班</v>
          </cell>
        </row>
        <row r="184">
          <cell r="H184" t="str">
            <v>高二5班</v>
          </cell>
        </row>
        <row r="185">
          <cell r="H185" t="str">
            <v>高二5班</v>
          </cell>
        </row>
        <row r="186">
          <cell r="H186" t="str">
            <v>高二5班</v>
          </cell>
        </row>
        <row r="187">
          <cell r="H187" t="str">
            <v>高二5班</v>
          </cell>
        </row>
        <row r="188">
          <cell r="H188" t="str">
            <v>高二5班</v>
          </cell>
        </row>
        <row r="189">
          <cell r="H189" t="str">
            <v>高二5班</v>
          </cell>
        </row>
        <row r="190">
          <cell r="H190" t="str">
            <v>高二5班</v>
          </cell>
        </row>
        <row r="191">
          <cell r="H191" t="str">
            <v>高二5班</v>
          </cell>
        </row>
        <row r="192">
          <cell r="H192" t="str">
            <v>高二5班</v>
          </cell>
        </row>
        <row r="193">
          <cell r="H193" t="str">
            <v>高二5班</v>
          </cell>
        </row>
        <row r="194">
          <cell r="H194" t="str">
            <v>高二5班</v>
          </cell>
        </row>
        <row r="195">
          <cell r="H195" t="str">
            <v>高二5班</v>
          </cell>
        </row>
        <row r="196">
          <cell r="H196" t="str">
            <v>高二5班</v>
          </cell>
        </row>
        <row r="197">
          <cell r="H197" t="str">
            <v>高二5班</v>
          </cell>
        </row>
        <row r="198">
          <cell r="H198" t="str">
            <v>高二5班</v>
          </cell>
        </row>
        <row r="199">
          <cell r="H199" t="str">
            <v>高二5班</v>
          </cell>
        </row>
        <row r="200">
          <cell r="H200" t="str">
            <v>高二5班</v>
          </cell>
        </row>
        <row r="201">
          <cell r="H201" t="str">
            <v>高二5班</v>
          </cell>
        </row>
        <row r="202">
          <cell r="H202" t="str">
            <v>高二5班</v>
          </cell>
        </row>
        <row r="203">
          <cell r="H203" t="str">
            <v>高二5班</v>
          </cell>
        </row>
        <row r="204">
          <cell r="H204" t="str">
            <v>高二5班</v>
          </cell>
        </row>
        <row r="205">
          <cell r="H205" t="str">
            <v>高二5班</v>
          </cell>
        </row>
        <row r="206">
          <cell r="H206" t="str">
            <v>高二5班</v>
          </cell>
        </row>
        <row r="207">
          <cell r="H207" t="str">
            <v>高二5班</v>
          </cell>
        </row>
        <row r="208">
          <cell r="H208" t="str">
            <v>高二5班</v>
          </cell>
        </row>
        <row r="209">
          <cell r="H209" t="str">
            <v>高二5班</v>
          </cell>
        </row>
        <row r="210">
          <cell r="H210" t="str">
            <v>高二5班</v>
          </cell>
        </row>
        <row r="211">
          <cell r="H211" t="str">
            <v>高二5班</v>
          </cell>
        </row>
        <row r="212">
          <cell r="H212" t="str">
            <v>高二6班</v>
          </cell>
        </row>
        <row r="213">
          <cell r="H213" t="str">
            <v>高二6班</v>
          </cell>
        </row>
        <row r="214">
          <cell r="H214" t="str">
            <v>高二6班</v>
          </cell>
        </row>
        <row r="215">
          <cell r="H215" t="str">
            <v>高二6班</v>
          </cell>
        </row>
        <row r="216">
          <cell r="H216" t="str">
            <v>高二6班</v>
          </cell>
        </row>
        <row r="217">
          <cell r="H217" t="str">
            <v>高二6班</v>
          </cell>
        </row>
        <row r="218">
          <cell r="H218" t="str">
            <v>高二6班</v>
          </cell>
        </row>
        <row r="219">
          <cell r="H219" t="str">
            <v>高二6班</v>
          </cell>
        </row>
        <row r="220">
          <cell r="H220" t="str">
            <v>高二6班</v>
          </cell>
        </row>
        <row r="221">
          <cell r="H221" t="str">
            <v>高二6班</v>
          </cell>
        </row>
        <row r="222">
          <cell r="H222" t="str">
            <v>高二6班</v>
          </cell>
        </row>
        <row r="223">
          <cell r="H223" t="str">
            <v>高二6班</v>
          </cell>
        </row>
        <row r="224">
          <cell r="H224" t="str">
            <v>高二6班</v>
          </cell>
        </row>
        <row r="225">
          <cell r="H225" t="str">
            <v>高二6班</v>
          </cell>
        </row>
        <row r="226">
          <cell r="H226" t="str">
            <v>高二6班</v>
          </cell>
        </row>
        <row r="227">
          <cell r="H227" t="str">
            <v>高二6班</v>
          </cell>
        </row>
        <row r="228">
          <cell r="H228" t="str">
            <v>高二6班</v>
          </cell>
        </row>
        <row r="229">
          <cell r="H229" t="str">
            <v>高二6班</v>
          </cell>
        </row>
        <row r="230">
          <cell r="H230" t="str">
            <v>高二6班</v>
          </cell>
        </row>
        <row r="231">
          <cell r="H231" t="str">
            <v>高二6班</v>
          </cell>
        </row>
        <row r="232">
          <cell r="H232" t="str">
            <v>高二6班</v>
          </cell>
        </row>
        <row r="233">
          <cell r="H233" t="str">
            <v>高二6班</v>
          </cell>
        </row>
        <row r="234">
          <cell r="H234" t="str">
            <v>高二6班</v>
          </cell>
        </row>
        <row r="235">
          <cell r="H235" t="str">
            <v>高二6班</v>
          </cell>
        </row>
        <row r="236">
          <cell r="H236" t="str">
            <v>高二6班</v>
          </cell>
        </row>
        <row r="237">
          <cell r="H237" t="str">
            <v>高二6班</v>
          </cell>
        </row>
        <row r="238">
          <cell r="H238" t="str">
            <v>高二6班</v>
          </cell>
        </row>
        <row r="239">
          <cell r="H239" t="str">
            <v>高二6班</v>
          </cell>
        </row>
        <row r="240">
          <cell r="H240" t="str">
            <v>高二6班</v>
          </cell>
        </row>
        <row r="241">
          <cell r="H241" t="str">
            <v>高二6班</v>
          </cell>
        </row>
        <row r="242">
          <cell r="H242" t="str">
            <v>高二6班</v>
          </cell>
        </row>
        <row r="243">
          <cell r="H243" t="str">
            <v>高二6班</v>
          </cell>
        </row>
        <row r="244">
          <cell r="H244" t="str">
            <v>高二6班</v>
          </cell>
        </row>
        <row r="245">
          <cell r="H245" t="str">
            <v>高二6班</v>
          </cell>
        </row>
        <row r="246">
          <cell r="H246" t="str">
            <v>高二6班</v>
          </cell>
        </row>
        <row r="247">
          <cell r="H247" t="str">
            <v>高二6班</v>
          </cell>
        </row>
        <row r="248">
          <cell r="H248" t="str">
            <v>高二6班</v>
          </cell>
        </row>
        <row r="249">
          <cell r="H249" t="str">
            <v>高二6班</v>
          </cell>
        </row>
        <row r="250">
          <cell r="H250" t="str">
            <v>高二6班</v>
          </cell>
        </row>
        <row r="251">
          <cell r="H251" t="str">
            <v>高二6班</v>
          </cell>
        </row>
        <row r="252">
          <cell r="H252" t="str">
            <v>高二6班</v>
          </cell>
        </row>
        <row r="253">
          <cell r="H253" t="str">
            <v>高二6班</v>
          </cell>
        </row>
        <row r="254">
          <cell r="H254" t="str">
            <v>高二7班</v>
          </cell>
        </row>
        <row r="255">
          <cell r="H255" t="str">
            <v>高二7班</v>
          </cell>
        </row>
        <row r="256">
          <cell r="H256" t="str">
            <v>高二7班</v>
          </cell>
        </row>
        <row r="257">
          <cell r="H257" t="str">
            <v>高二7班</v>
          </cell>
        </row>
        <row r="258">
          <cell r="H258" t="str">
            <v>高二7班</v>
          </cell>
        </row>
        <row r="259">
          <cell r="H259" t="str">
            <v>高二7班</v>
          </cell>
        </row>
        <row r="260">
          <cell r="H260" t="str">
            <v>高二7班</v>
          </cell>
        </row>
        <row r="261">
          <cell r="H261" t="str">
            <v>高二7班</v>
          </cell>
        </row>
        <row r="262">
          <cell r="H262" t="str">
            <v>高二7班</v>
          </cell>
        </row>
        <row r="263">
          <cell r="H263" t="str">
            <v>高二7班</v>
          </cell>
        </row>
        <row r="264">
          <cell r="H264" t="str">
            <v>高二7班</v>
          </cell>
        </row>
        <row r="265">
          <cell r="H265" t="str">
            <v>高二7班</v>
          </cell>
        </row>
        <row r="266">
          <cell r="H266" t="str">
            <v>高二7班</v>
          </cell>
        </row>
        <row r="267">
          <cell r="H267" t="str">
            <v>高二7班</v>
          </cell>
        </row>
        <row r="268">
          <cell r="H268" t="str">
            <v>高二7班</v>
          </cell>
        </row>
        <row r="269">
          <cell r="H269" t="str">
            <v>高二7班</v>
          </cell>
        </row>
        <row r="270">
          <cell r="H270" t="str">
            <v>高二7班</v>
          </cell>
        </row>
        <row r="271">
          <cell r="H271" t="str">
            <v>高二7班</v>
          </cell>
        </row>
        <row r="272">
          <cell r="H272" t="str">
            <v>高二7班</v>
          </cell>
        </row>
        <row r="273">
          <cell r="H273" t="str">
            <v>高二7班</v>
          </cell>
        </row>
        <row r="274">
          <cell r="H274" t="str">
            <v>高二7班</v>
          </cell>
        </row>
        <row r="275">
          <cell r="H275" t="str">
            <v>高二7班</v>
          </cell>
        </row>
        <row r="276">
          <cell r="H276" t="str">
            <v>高二7班</v>
          </cell>
        </row>
        <row r="277">
          <cell r="H277" t="str">
            <v>高二7班</v>
          </cell>
        </row>
        <row r="278">
          <cell r="H278" t="str">
            <v>高二7班</v>
          </cell>
        </row>
        <row r="279">
          <cell r="H279" t="str">
            <v>高二7班</v>
          </cell>
        </row>
        <row r="280">
          <cell r="H280" t="str">
            <v>高二7班</v>
          </cell>
        </row>
        <row r="281">
          <cell r="H281" t="str">
            <v>高二7班</v>
          </cell>
        </row>
        <row r="282">
          <cell r="H282" t="str">
            <v>高二7班</v>
          </cell>
        </row>
        <row r="283">
          <cell r="H283" t="str">
            <v>高二7班</v>
          </cell>
        </row>
        <row r="284">
          <cell r="H284" t="str">
            <v>高二7班</v>
          </cell>
        </row>
        <row r="285">
          <cell r="H285" t="str">
            <v>高二7班</v>
          </cell>
        </row>
        <row r="286">
          <cell r="H286" t="str">
            <v>高二7班</v>
          </cell>
        </row>
        <row r="287">
          <cell r="H287" t="str">
            <v>高二7班</v>
          </cell>
        </row>
        <row r="288">
          <cell r="H288" t="str">
            <v>高二7班</v>
          </cell>
        </row>
        <row r="289">
          <cell r="H289" t="str">
            <v>高二7班</v>
          </cell>
        </row>
        <row r="290">
          <cell r="H290" t="str">
            <v>高二7班</v>
          </cell>
        </row>
        <row r="291">
          <cell r="H291" t="str">
            <v>高二7班</v>
          </cell>
        </row>
        <row r="292">
          <cell r="H292" t="str">
            <v>高二7班</v>
          </cell>
        </row>
        <row r="293">
          <cell r="H293" t="str">
            <v>高二7班</v>
          </cell>
        </row>
        <row r="294">
          <cell r="H294" t="str">
            <v>高二7班</v>
          </cell>
        </row>
        <row r="295">
          <cell r="H295" t="str">
            <v>高二7班</v>
          </cell>
        </row>
        <row r="296">
          <cell r="H296" t="str">
            <v>高二8班</v>
          </cell>
        </row>
        <row r="297">
          <cell r="H297" t="str">
            <v>高二8班</v>
          </cell>
        </row>
        <row r="298">
          <cell r="H298" t="str">
            <v>高二8班</v>
          </cell>
        </row>
        <row r="299">
          <cell r="H299" t="str">
            <v>高二8班</v>
          </cell>
        </row>
        <row r="300">
          <cell r="H300" t="str">
            <v>高二8班</v>
          </cell>
        </row>
        <row r="301">
          <cell r="H301" t="str">
            <v>高二8班</v>
          </cell>
        </row>
        <row r="302">
          <cell r="H302" t="str">
            <v>高二8班</v>
          </cell>
        </row>
        <row r="303">
          <cell r="H303" t="str">
            <v>高二8班</v>
          </cell>
        </row>
        <row r="304">
          <cell r="H304" t="str">
            <v>高二8班</v>
          </cell>
        </row>
        <row r="305">
          <cell r="H305" t="str">
            <v>高二8班</v>
          </cell>
        </row>
        <row r="306">
          <cell r="H306" t="str">
            <v>高二8班</v>
          </cell>
        </row>
        <row r="307">
          <cell r="H307" t="str">
            <v>高二8班</v>
          </cell>
        </row>
        <row r="308">
          <cell r="H308" t="str">
            <v>高二8班</v>
          </cell>
        </row>
        <row r="309">
          <cell r="H309" t="str">
            <v>高二8班</v>
          </cell>
        </row>
        <row r="310">
          <cell r="H310" t="str">
            <v>高二8班</v>
          </cell>
        </row>
        <row r="311">
          <cell r="H311" t="str">
            <v>高二8班</v>
          </cell>
        </row>
        <row r="312">
          <cell r="H312" t="str">
            <v>高二8班</v>
          </cell>
        </row>
        <row r="313">
          <cell r="H313" t="str">
            <v>高二8班</v>
          </cell>
        </row>
        <row r="314">
          <cell r="H314" t="str">
            <v>高二8班</v>
          </cell>
        </row>
        <row r="315">
          <cell r="H315" t="str">
            <v>高二8班</v>
          </cell>
        </row>
        <row r="316">
          <cell r="H316" t="str">
            <v>高二8班</v>
          </cell>
        </row>
        <row r="317">
          <cell r="H317" t="str">
            <v>高二8班</v>
          </cell>
        </row>
        <row r="318">
          <cell r="H318" t="str">
            <v>高二8班</v>
          </cell>
        </row>
        <row r="319">
          <cell r="H319" t="str">
            <v>高二8班</v>
          </cell>
        </row>
        <row r="320">
          <cell r="H320" t="str">
            <v>高二8班</v>
          </cell>
        </row>
        <row r="321">
          <cell r="H321" t="str">
            <v>高二8班</v>
          </cell>
        </row>
        <row r="322">
          <cell r="H322" t="str">
            <v>高二8班</v>
          </cell>
        </row>
        <row r="323">
          <cell r="H323" t="str">
            <v>高二8班</v>
          </cell>
        </row>
        <row r="324">
          <cell r="H324" t="str">
            <v>高二8班</v>
          </cell>
        </row>
        <row r="325">
          <cell r="H325" t="str">
            <v>高二8班</v>
          </cell>
        </row>
        <row r="326">
          <cell r="H326" t="str">
            <v>高二8班</v>
          </cell>
        </row>
        <row r="327">
          <cell r="H327" t="str">
            <v>高二8班</v>
          </cell>
        </row>
        <row r="328">
          <cell r="H328" t="str">
            <v>高二8班</v>
          </cell>
        </row>
        <row r="329">
          <cell r="H329" t="str">
            <v>高二8班</v>
          </cell>
        </row>
        <row r="330">
          <cell r="H330" t="str">
            <v>高二8班</v>
          </cell>
        </row>
        <row r="331">
          <cell r="H331" t="str">
            <v>高二8班</v>
          </cell>
        </row>
        <row r="332">
          <cell r="H332" t="str">
            <v>高二8班</v>
          </cell>
        </row>
        <row r="333">
          <cell r="H333" t="str">
            <v>高二8班</v>
          </cell>
        </row>
        <row r="334">
          <cell r="H334" t="str">
            <v>高二8班</v>
          </cell>
        </row>
        <row r="335">
          <cell r="H335" t="str">
            <v>高二8班</v>
          </cell>
        </row>
        <row r="336">
          <cell r="H336" t="str">
            <v>高二8班</v>
          </cell>
        </row>
        <row r="337">
          <cell r="H337" t="str">
            <v>高二8班</v>
          </cell>
        </row>
        <row r="338">
          <cell r="H338" t="str">
            <v>高二9班</v>
          </cell>
        </row>
        <row r="339">
          <cell r="H339" t="str">
            <v>高二9班</v>
          </cell>
        </row>
        <row r="340">
          <cell r="H340" t="str">
            <v>高二9班</v>
          </cell>
        </row>
        <row r="341">
          <cell r="H341" t="str">
            <v>高二9班</v>
          </cell>
        </row>
        <row r="342">
          <cell r="H342" t="str">
            <v>高二9班</v>
          </cell>
        </row>
        <row r="343">
          <cell r="H343" t="str">
            <v>高二9班</v>
          </cell>
        </row>
        <row r="344">
          <cell r="H344" t="str">
            <v>高二9班</v>
          </cell>
        </row>
        <row r="345">
          <cell r="H345" t="str">
            <v>高二9班</v>
          </cell>
        </row>
        <row r="346">
          <cell r="H346" t="str">
            <v>高二9班</v>
          </cell>
        </row>
        <row r="347">
          <cell r="H347" t="str">
            <v>高二9班</v>
          </cell>
        </row>
        <row r="348">
          <cell r="H348" t="str">
            <v>高二9班</v>
          </cell>
        </row>
        <row r="349">
          <cell r="H349" t="str">
            <v>高二9班</v>
          </cell>
        </row>
        <row r="350">
          <cell r="H350" t="str">
            <v>高二9班</v>
          </cell>
        </row>
        <row r="351">
          <cell r="H351" t="str">
            <v>高二9班</v>
          </cell>
        </row>
        <row r="352">
          <cell r="H352" t="str">
            <v>高二9班</v>
          </cell>
        </row>
        <row r="353">
          <cell r="H353" t="str">
            <v>高二9班</v>
          </cell>
        </row>
        <row r="354">
          <cell r="H354" t="str">
            <v>高二9班</v>
          </cell>
        </row>
        <row r="355">
          <cell r="H355" t="str">
            <v>高二9班</v>
          </cell>
        </row>
        <row r="356">
          <cell r="H356" t="str">
            <v>高二9班</v>
          </cell>
        </row>
        <row r="357">
          <cell r="H357" t="str">
            <v>高二9班</v>
          </cell>
        </row>
        <row r="358">
          <cell r="H358" t="str">
            <v>高二9班</v>
          </cell>
        </row>
        <row r="359">
          <cell r="H359" t="str">
            <v>高二9班</v>
          </cell>
        </row>
        <row r="360">
          <cell r="H360" t="str">
            <v>高二9班</v>
          </cell>
        </row>
        <row r="361">
          <cell r="H361" t="str">
            <v>高二9班</v>
          </cell>
        </row>
        <row r="362">
          <cell r="H362" t="str">
            <v>高二9班</v>
          </cell>
        </row>
        <row r="363">
          <cell r="H363" t="str">
            <v>高二9班</v>
          </cell>
        </row>
        <row r="364">
          <cell r="H364" t="str">
            <v>高二9班</v>
          </cell>
        </row>
        <row r="365">
          <cell r="H365" t="str">
            <v>高二9班</v>
          </cell>
        </row>
        <row r="366">
          <cell r="H366" t="str">
            <v>高二9班</v>
          </cell>
        </row>
        <row r="367">
          <cell r="H367" t="str">
            <v>高二9班</v>
          </cell>
        </row>
        <row r="368">
          <cell r="H368" t="str">
            <v>高二9班</v>
          </cell>
        </row>
        <row r="369">
          <cell r="H369" t="str">
            <v>高二9班</v>
          </cell>
        </row>
        <row r="370">
          <cell r="H370" t="str">
            <v>高二9班</v>
          </cell>
        </row>
        <row r="371">
          <cell r="H371" t="str">
            <v>高二9班</v>
          </cell>
        </row>
        <row r="372">
          <cell r="H372" t="str">
            <v>高二9班</v>
          </cell>
        </row>
        <row r="373">
          <cell r="H373" t="str">
            <v>高二9班</v>
          </cell>
        </row>
        <row r="374">
          <cell r="H374" t="str">
            <v>高二9班</v>
          </cell>
        </row>
        <row r="375">
          <cell r="H375" t="str">
            <v>高二9班</v>
          </cell>
        </row>
        <row r="376">
          <cell r="H376" t="str">
            <v>高二9班</v>
          </cell>
        </row>
        <row r="377">
          <cell r="H377" t="str">
            <v>高二9班</v>
          </cell>
        </row>
        <row r="378">
          <cell r="H378" t="str">
            <v>高二9班</v>
          </cell>
        </row>
        <row r="379">
          <cell r="H379" t="str">
            <v>高二9班</v>
          </cell>
        </row>
        <row r="380">
          <cell r="H380" t="str">
            <v>高二10班</v>
          </cell>
        </row>
        <row r="381">
          <cell r="H381" t="str">
            <v>高二10班</v>
          </cell>
        </row>
        <row r="382">
          <cell r="H382" t="str">
            <v>高二10班</v>
          </cell>
        </row>
        <row r="383">
          <cell r="H383" t="str">
            <v>高二10班</v>
          </cell>
        </row>
        <row r="384">
          <cell r="H384" t="str">
            <v>高二10班</v>
          </cell>
        </row>
        <row r="385">
          <cell r="H385" t="str">
            <v>高二10班</v>
          </cell>
        </row>
        <row r="386">
          <cell r="H386" t="str">
            <v>高二10班</v>
          </cell>
        </row>
        <row r="387">
          <cell r="H387" t="str">
            <v>高二10班</v>
          </cell>
        </row>
        <row r="388">
          <cell r="H388" t="str">
            <v>高二10班</v>
          </cell>
        </row>
        <row r="389">
          <cell r="H389" t="str">
            <v>高二10班</v>
          </cell>
        </row>
        <row r="390">
          <cell r="H390" t="str">
            <v>高二10班</v>
          </cell>
        </row>
        <row r="391">
          <cell r="H391" t="str">
            <v>高二10班</v>
          </cell>
        </row>
        <row r="392">
          <cell r="H392" t="str">
            <v>高二10班</v>
          </cell>
        </row>
        <row r="393">
          <cell r="H393" t="str">
            <v>高二10班</v>
          </cell>
        </row>
        <row r="394">
          <cell r="H394" t="str">
            <v>高二10班</v>
          </cell>
        </row>
        <row r="395">
          <cell r="H395" t="str">
            <v>高二10班</v>
          </cell>
        </row>
        <row r="396">
          <cell r="H396" t="str">
            <v>高二10班</v>
          </cell>
        </row>
        <row r="397">
          <cell r="H397" t="str">
            <v>高二10班</v>
          </cell>
        </row>
        <row r="398">
          <cell r="H398" t="str">
            <v>高二10班</v>
          </cell>
        </row>
        <row r="399">
          <cell r="H399" t="str">
            <v>高二10班</v>
          </cell>
        </row>
        <row r="400">
          <cell r="H400" t="str">
            <v>高二10班</v>
          </cell>
        </row>
        <row r="401">
          <cell r="H401" t="str">
            <v>高二10班</v>
          </cell>
        </row>
        <row r="402">
          <cell r="H402" t="str">
            <v>高二10班</v>
          </cell>
        </row>
        <row r="403">
          <cell r="H403" t="str">
            <v>高二10班</v>
          </cell>
        </row>
        <row r="404">
          <cell r="H404" t="str">
            <v>高二10班</v>
          </cell>
        </row>
        <row r="405">
          <cell r="H405" t="str">
            <v>高二10班</v>
          </cell>
        </row>
        <row r="406">
          <cell r="H406" t="str">
            <v>高二10班</v>
          </cell>
        </row>
        <row r="407">
          <cell r="H407" t="str">
            <v>高二10班</v>
          </cell>
        </row>
        <row r="408">
          <cell r="H408" t="str">
            <v>高二10班</v>
          </cell>
        </row>
        <row r="409">
          <cell r="H409" t="str">
            <v>高二10班</v>
          </cell>
        </row>
        <row r="410">
          <cell r="H410" t="str">
            <v>高二10班</v>
          </cell>
        </row>
        <row r="411">
          <cell r="H411" t="str">
            <v>高二10班</v>
          </cell>
        </row>
        <row r="412">
          <cell r="H412" t="str">
            <v>高二10班</v>
          </cell>
        </row>
        <row r="413">
          <cell r="H413" t="str">
            <v>高二10班</v>
          </cell>
        </row>
        <row r="414">
          <cell r="H414" t="str">
            <v>高二10班</v>
          </cell>
        </row>
        <row r="415">
          <cell r="H415" t="str">
            <v>高二10班</v>
          </cell>
        </row>
        <row r="416">
          <cell r="H416" t="str">
            <v>高二10班</v>
          </cell>
        </row>
        <row r="417">
          <cell r="H417" t="str">
            <v>高二10班</v>
          </cell>
        </row>
        <row r="418">
          <cell r="H418" t="str">
            <v>高二10班</v>
          </cell>
        </row>
        <row r="419">
          <cell r="H419" t="str">
            <v>高二10班</v>
          </cell>
        </row>
        <row r="420">
          <cell r="H420" t="str">
            <v>高二10班</v>
          </cell>
        </row>
        <row r="421">
          <cell r="H421" t="str">
            <v>高二10班</v>
          </cell>
        </row>
        <row r="422">
          <cell r="H422" t="str">
            <v>高二11班</v>
          </cell>
        </row>
        <row r="423">
          <cell r="H423" t="str">
            <v>高二11班</v>
          </cell>
        </row>
        <row r="424">
          <cell r="H424" t="str">
            <v>高二11班</v>
          </cell>
        </row>
        <row r="425">
          <cell r="H425" t="str">
            <v>高二11班</v>
          </cell>
        </row>
        <row r="426">
          <cell r="H426" t="str">
            <v>高二11班</v>
          </cell>
        </row>
        <row r="427">
          <cell r="H427" t="str">
            <v>高二11班</v>
          </cell>
        </row>
        <row r="428">
          <cell r="H428" t="str">
            <v>高二11班</v>
          </cell>
        </row>
        <row r="429">
          <cell r="H429" t="str">
            <v>高二11班</v>
          </cell>
        </row>
        <row r="430">
          <cell r="H430" t="str">
            <v>高二11班</v>
          </cell>
        </row>
        <row r="431">
          <cell r="H431" t="str">
            <v>高二11班</v>
          </cell>
        </row>
        <row r="432">
          <cell r="H432" t="str">
            <v>高二11班</v>
          </cell>
        </row>
        <row r="433">
          <cell r="H433" t="str">
            <v>高二11班</v>
          </cell>
        </row>
        <row r="434">
          <cell r="H434" t="str">
            <v>高二11班</v>
          </cell>
        </row>
        <row r="435">
          <cell r="H435" t="str">
            <v>高二11班</v>
          </cell>
        </row>
        <row r="436">
          <cell r="H436" t="str">
            <v>高二11班</v>
          </cell>
        </row>
        <row r="437">
          <cell r="H437" t="str">
            <v>高二11班</v>
          </cell>
        </row>
        <row r="438">
          <cell r="H438" t="str">
            <v>高二11班</v>
          </cell>
        </row>
        <row r="439">
          <cell r="H439" t="str">
            <v>高二11班</v>
          </cell>
        </row>
        <row r="440">
          <cell r="H440" t="str">
            <v>高二11班</v>
          </cell>
        </row>
        <row r="441">
          <cell r="H441" t="str">
            <v>高二11班</v>
          </cell>
        </row>
        <row r="442">
          <cell r="H442" t="str">
            <v>高二11班</v>
          </cell>
        </row>
        <row r="443">
          <cell r="H443" t="str">
            <v>高二11班</v>
          </cell>
        </row>
        <row r="444">
          <cell r="H444" t="str">
            <v>高二11班</v>
          </cell>
        </row>
        <row r="445">
          <cell r="H445" t="str">
            <v>高二11班</v>
          </cell>
        </row>
        <row r="446">
          <cell r="H446" t="str">
            <v>高二11班</v>
          </cell>
        </row>
        <row r="447">
          <cell r="H447" t="str">
            <v>高二11班</v>
          </cell>
        </row>
        <row r="448">
          <cell r="H448" t="str">
            <v>高二11班</v>
          </cell>
        </row>
        <row r="449">
          <cell r="H449" t="str">
            <v>高二11班</v>
          </cell>
        </row>
        <row r="450">
          <cell r="H450" t="str">
            <v>高二11班</v>
          </cell>
        </row>
        <row r="451">
          <cell r="H451" t="str">
            <v>高二11班</v>
          </cell>
        </row>
        <row r="452">
          <cell r="H452" t="str">
            <v>高二11班</v>
          </cell>
        </row>
        <row r="453">
          <cell r="H453" t="str">
            <v>高二11班</v>
          </cell>
        </row>
        <row r="454">
          <cell r="H454" t="str">
            <v>高二11班</v>
          </cell>
        </row>
        <row r="455">
          <cell r="H455" t="str">
            <v>高二11班</v>
          </cell>
        </row>
        <row r="456">
          <cell r="H456" t="str">
            <v>高二11班</v>
          </cell>
        </row>
        <row r="457">
          <cell r="H457" t="str">
            <v>高二11班</v>
          </cell>
        </row>
        <row r="458">
          <cell r="H458" t="str">
            <v>高二11班</v>
          </cell>
        </row>
        <row r="459">
          <cell r="H459" t="str">
            <v>高二11班</v>
          </cell>
        </row>
        <row r="460">
          <cell r="H460" t="str">
            <v>高二11班</v>
          </cell>
        </row>
        <row r="461">
          <cell r="H461" t="str">
            <v>高二11班</v>
          </cell>
        </row>
        <row r="462">
          <cell r="H462" t="str">
            <v>高二11班</v>
          </cell>
        </row>
        <row r="463">
          <cell r="H463" t="str">
            <v>高二11班</v>
          </cell>
        </row>
        <row r="464">
          <cell r="H464" t="str">
            <v>高二12班</v>
          </cell>
        </row>
        <row r="465">
          <cell r="H465" t="str">
            <v>高二12班</v>
          </cell>
        </row>
        <row r="466">
          <cell r="H466" t="str">
            <v>高二12班</v>
          </cell>
        </row>
        <row r="467">
          <cell r="H467" t="str">
            <v>高二12班</v>
          </cell>
        </row>
        <row r="468">
          <cell r="H468" t="str">
            <v>高二12班</v>
          </cell>
        </row>
        <row r="469">
          <cell r="H469" t="str">
            <v>高二12班</v>
          </cell>
        </row>
        <row r="470">
          <cell r="H470" t="str">
            <v>高二12班</v>
          </cell>
        </row>
        <row r="471">
          <cell r="H471" t="str">
            <v>高二12班</v>
          </cell>
        </row>
        <row r="472">
          <cell r="H472" t="str">
            <v>高二12班</v>
          </cell>
        </row>
        <row r="473">
          <cell r="H473" t="str">
            <v>高二12班</v>
          </cell>
        </row>
        <row r="474">
          <cell r="H474" t="str">
            <v>高二12班</v>
          </cell>
        </row>
        <row r="475">
          <cell r="H475" t="str">
            <v>高二12班</v>
          </cell>
        </row>
        <row r="476">
          <cell r="H476" t="str">
            <v>高二12班</v>
          </cell>
        </row>
        <row r="477">
          <cell r="H477" t="str">
            <v>高二12班</v>
          </cell>
        </row>
        <row r="478">
          <cell r="H478" t="str">
            <v>高二12班</v>
          </cell>
        </row>
        <row r="479">
          <cell r="H479" t="str">
            <v>高二12班</v>
          </cell>
        </row>
        <row r="480">
          <cell r="H480" t="str">
            <v>高二12班</v>
          </cell>
        </row>
        <row r="481">
          <cell r="H481" t="str">
            <v>高二12班</v>
          </cell>
        </row>
        <row r="482">
          <cell r="H482" t="str">
            <v>高二12班</v>
          </cell>
        </row>
        <row r="483">
          <cell r="H483" t="str">
            <v>高二12班</v>
          </cell>
        </row>
        <row r="484">
          <cell r="H484" t="str">
            <v>高二12班</v>
          </cell>
        </row>
        <row r="485">
          <cell r="H485" t="str">
            <v>高二12班</v>
          </cell>
        </row>
        <row r="486">
          <cell r="H486" t="str">
            <v>高二12班</v>
          </cell>
        </row>
        <row r="487">
          <cell r="H487" t="str">
            <v>高二12班</v>
          </cell>
        </row>
        <row r="488">
          <cell r="H488" t="str">
            <v>高二12班</v>
          </cell>
        </row>
        <row r="489">
          <cell r="H489" t="str">
            <v>高二12班</v>
          </cell>
        </row>
        <row r="490">
          <cell r="H490" t="str">
            <v>高二12班</v>
          </cell>
        </row>
        <row r="491">
          <cell r="H491" t="str">
            <v>高二12班</v>
          </cell>
        </row>
        <row r="492">
          <cell r="H492" t="str">
            <v>高二12班</v>
          </cell>
        </row>
        <row r="493">
          <cell r="H493" t="str">
            <v>高二12班</v>
          </cell>
        </row>
        <row r="494">
          <cell r="H494" t="str">
            <v>高二12班</v>
          </cell>
        </row>
        <row r="495">
          <cell r="H495" t="str">
            <v>高二12班</v>
          </cell>
        </row>
        <row r="496">
          <cell r="H496" t="str">
            <v>高二12班</v>
          </cell>
        </row>
        <row r="497">
          <cell r="H497" t="str">
            <v>高二12班</v>
          </cell>
        </row>
        <row r="498">
          <cell r="H498" t="str">
            <v>高二12班</v>
          </cell>
        </row>
        <row r="499">
          <cell r="H499" t="str">
            <v>高二12班</v>
          </cell>
        </row>
        <row r="500">
          <cell r="H500" t="str">
            <v>高二12班</v>
          </cell>
        </row>
        <row r="501">
          <cell r="H501" t="str">
            <v>高二12班</v>
          </cell>
        </row>
        <row r="502">
          <cell r="H502" t="str">
            <v>高二12班</v>
          </cell>
        </row>
        <row r="503">
          <cell r="H503" t="str">
            <v>高二12班</v>
          </cell>
        </row>
        <row r="504">
          <cell r="H504" t="str">
            <v>高二12班</v>
          </cell>
        </row>
        <row r="505">
          <cell r="H505" t="str">
            <v>高二12班</v>
          </cell>
        </row>
        <row r="506">
          <cell r="H506" t="str">
            <v>高二13班</v>
          </cell>
        </row>
        <row r="507">
          <cell r="H507" t="str">
            <v>高二13班</v>
          </cell>
        </row>
        <row r="508">
          <cell r="H508" t="str">
            <v>高二13班</v>
          </cell>
        </row>
        <row r="509">
          <cell r="H509" t="str">
            <v>高二13班</v>
          </cell>
        </row>
        <row r="510">
          <cell r="H510" t="str">
            <v>高二13班</v>
          </cell>
        </row>
        <row r="511">
          <cell r="H511" t="str">
            <v>高二13班</v>
          </cell>
        </row>
        <row r="512">
          <cell r="H512" t="str">
            <v>高二13班</v>
          </cell>
        </row>
        <row r="513">
          <cell r="H513" t="str">
            <v>高二13班</v>
          </cell>
        </row>
        <row r="514">
          <cell r="H514" t="str">
            <v>高二13班</v>
          </cell>
        </row>
        <row r="515">
          <cell r="H515" t="str">
            <v>高二13班</v>
          </cell>
        </row>
        <row r="516">
          <cell r="H516" t="str">
            <v>高二13班</v>
          </cell>
        </row>
        <row r="517">
          <cell r="H517" t="str">
            <v>高二13班</v>
          </cell>
        </row>
        <row r="518">
          <cell r="H518" t="str">
            <v>高二13班</v>
          </cell>
        </row>
        <row r="519">
          <cell r="H519" t="str">
            <v>高二13班</v>
          </cell>
        </row>
        <row r="520">
          <cell r="H520" t="str">
            <v>高二13班</v>
          </cell>
        </row>
        <row r="521">
          <cell r="H521" t="str">
            <v>高二13班</v>
          </cell>
        </row>
        <row r="522">
          <cell r="H522" t="str">
            <v>高二13班</v>
          </cell>
        </row>
        <row r="523">
          <cell r="H523" t="str">
            <v>高二13班</v>
          </cell>
        </row>
        <row r="524">
          <cell r="H524" t="str">
            <v>高二13班</v>
          </cell>
        </row>
        <row r="525">
          <cell r="H525" t="str">
            <v>高二13班</v>
          </cell>
        </row>
        <row r="526">
          <cell r="H526" t="str">
            <v>高二13班</v>
          </cell>
        </row>
        <row r="527">
          <cell r="H527" t="str">
            <v>高二13班</v>
          </cell>
        </row>
        <row r="528">
          <cell r="H528" t="str">
            <v>高二13班</v>
          </cell>
        </row>
        <row r="529">
          <cell r="H529" t="str">
            <v>高二13班</v>
          </cell>
        </row>
        <row r="530">
          <cell r="H530" t="str">
            <v>高二13班</v>
          </cell>
        </row>
        <row r="531">
          <cell r="H531" t="str">
            <v>高二13班</v>
          </cell>
        </row>
        <row r="532">
          <cell r="H532" t="str">
            <v>高二13班</v>
          </cell>
        </row>
        <row r="533">
          <cell r="H533" t="str">
            <v>高二13班</v>
          </cell>
        </row>
        <row r="534">
          <cell r="H534" t="str">
            <v>高二13班</v>
          </cell>
        </row>
        <row r="535">
          <cell r="H535" t="str">
            <v>高二13班</v>
          </cell>
        </row>
        <row r="536">
          <cell r="H536" t="str">
            <v>高二13班</v>
          </cell>
        </row>
        <row r="537">
          <cell r="H537" t="str">
            <v>高二13班</v>
          </cell>
        </row>
        <row r="538">
          <cell r="H538" t="str">
            <v>高二13班</v>
          </cell>
        </row>
        <row r="539">
          <cell r="H539" t="str">
            <v>高二13班</v>
          </cell>
        </row>
        <row r="540">
          <cell r="H540" t="str">
            <v>高二13班</v>
          </cell>
        </row>
        <row r="541">
          <cell r="H541" t="str">
            <v>高二13班</v>
          </cell>
        </row>
        <row r="542">
          <cell r="H542" t="str">
            <v>高二13班</v>
          </cell>
        </row>
        <row r="543">
          <cell r="H543" t="str">
            <v>高二13班</v>
          </cell>
        </row>
        <row r="544">
          <cell r="H544" t="str">
            <v>高二13班</v>
          </cell>
        </row>
        <row r="545">
          <cell r="H545" t="str">
            <v>高二13班</v>
          </cell>
        </row>
        <row r="546">
          <cell r="H546" t="str">
            <v>高二13班</v>
          </cell>
        </row>
        <row r="547">
          <cell r="H547" t="str">
            <v>高二13班</v>
          </cell>
        </row>
        <row r="548">
          <cell r="H548" t="str">
            <v>高二14班</v>
          </cell>
        </row>
        <row r="549">
          <cell r="H549" t="str">
            <v>高二14班</v>
          </cell>
        </row>
        <row r="550">
          <cell r="H550" t="str">
            <v>高二14班</v>
          </cell>
        </row>
        <row r="551">
          <cell r="H551" t="str">
            <v>高二14班</v>
          </cell>
        </row>
        <row r="552">
          <cell r="H552" t="str">
            <v>高二14班</v>
          </cell>
        </row>
        <row r="553">
          <cell r="H553" t="str">
            <v>高二14班</v>
          </cell>
        </row>
        <row r="554">
          <cell r="H554" t="str">
            <v>高二14班</v>
          </cell>
        </row>
        <row r="555">
          <cell r="H555" t="str">
            <v>高二14班</v>
          </cell>
        </row>
        <row r="556">
          <cell r="H556" t="str">
            <v>高二14班</v>
          </cell>
        </row>
        <row r="557">
          <cell r="H557" t="str">
            <v>高二14班</v>
          </cell>
        </row>
        <row r="558">
          <cell r="H558" t="str">
            <v>高二14班</v>
          </cell>
        </row>
        <row r="559">
          <cell r="H559" t="str">
            <v>高二14班</v>
          </cell>
        </row>
        <row r="560">
          <cell r="H560" t="str">
            <v>高二14班</v>
          </cell>
        </row>
        <row r="561">
          <cell r="H561" t="str">
            <v>高二14班</v>
          </cell>
        </row>
        <row r="562">
          <cell r="H562" t="str">
            <v>高二14班</v>
          </cell>
        </row>
        <row r="563">
          <cell r="H563" t="str">
            <v>高二14班</v>
          </cell>
        </row>
        <row r="564">
          <cell r="H564" t="str">
            <v>高二14班</v>
          </cell>
        </row>
        <row r="565">
          <cell r="H565" t="str">
            <v>高二14班</v>
          </cell>
        </row>
        <row r="566">
          <cell r="H566" t="str">
            <v>高二14班</v>
          </cell>
        </row>
        <row r="567">
          <cell r="H567" t="str">
            <v>高二14班</v>
          </cell>
        </row>
        <row r="568">
          <cell r="H568" t="str">
            <v>高二14班</v>
          </cell>
        </row>
        <row r="569">
          <cell r="H569" t="str">
            <v>高二14班</v>
          </cell>
        </row>
        <row r="570">
          <cell r="H570" t="str">
            <v>高二14班</v>
          </cell>
        </row>
        <row r="571">
          <cell r="H571" t="str">
            <v>高二14班</v>
          </cell>
        </row>
        <row r="572">
          <cell r="H572" t="str">
            <v>高二14班</v>
          </cell>
        </row>
        <row r="573">
          <cell r="H573" t="str">
            <v>高二14班</v>
          </cell>
        </row>
        <row r="574">
          <cell r="H574" t="str">
            <v>高二14班</v>
          </cell>
        </row>
        <row r="575">
          <cell r="H575" t="str">
            <v>高二14班</v>
          </cell>
        </row>
        <row r="576">
          <cell r="H576" t="str">
            <v>高二14班</v>
          </cell>
        </row>
        <row r="577">
          <cell r="H577" t="str">
            <v>高二14班</v>
          </cell>
        </row>
        <row r="578">
          <cell r="H578" t="str">
            <v>高二14班</v>
          </cell>
        </row>
        <row r="579">
          <cell r="H579" t="str">
            <v>高二14班</v>
          </cell>
        </row>
        <row r="580">
          <cell r="H580" t="str">
            <v>高二14班</v>
          </cell>
        </row>
        <row r="581">
          <cell r="H581" t="str">
            <v>高二14班</v>
          </cell>
        </row>
        <row r="582">
          <cell r="H582" t="str">
            <v>高二14班</v>
          </cell>
        </row>
        <row r="583">
          <cell r="H583" t="str">
            <v>高二14班</v>
          </cell>
        </row>
        <row r="584">
          <cell r="H584" t="str">
            <v>高二14班</v>
          </cell>
        </row>
        <row r="585">
          <cell r="H585" t="str">
            <v>高二14班</v>
          </cell>
        </row>
        <row r="586">
          <cell r="H586" t="str">
            <v>高二14班</v>
          </cell>
        </row>
        <row r="587">
          <cell r="H587" t="str">
            <v>高二14班</v>
          </cell>
        </row>
        <row r="588">
          <cell r="H588" t="str">
            <v>高二14班</v>
          </cell>
        </row>
        <row r="589">
          <cell r="H589" t="str">
            <v>高二14班</v>
          </cell>
        </row>
        <row r="590">
          <cell r="H590" t="str">
            <v>高二15班</v>
          </cell>
        </row>
        <row r="591">
          <cell r="H591" t="str">
            <v>高二15班</v>
          </cell>
        </row>
        <row r="592">
          <cell r="H592" t="str">
            <v>高二15班</v>
          </cell>
        </row>
        <row r="593">
          <cell r="H593" t="str">
            <v>高二15班</v>
          </cell>
        </row>
        <row r="594">
          <cell r="H594" t="str">
            <v>高二15班</v>
          </cell>
        </row>
        <row r="595">
          <cell r="H595" t="str">
            <v>高二15班</v>
          </cell>
        </row>
        <row r="596">
          <cell r="H596" t="str">
            <v>高二15班</v>
          </cell>
        </row>
        <row r="597">
          <cell r="H597" t="str">
            <v>高二15班</v>
          </cell>
        </row>
        <row r="598">
          <cell r="H598" t="str">
            <v>高二15班</v>
          </cell>
        </row>
        <row r="599">
          <cell r="H599" t="str">
            <v>高二15班</v>
          </cell>
        </row>
        <row r="600">
          <cell r="H600" t="str">
            <v>高二15班</v>
          </cell>
        </row>
        <row r="601">
          <cell r="H601" t="str">
            <v>高二15班</v>
          </cell>
        </row>
        <row r="602">
          <cell r="H602" t="str">
            <v>高二15班</v>
          </cell>
        </row>
        <row r="603">
          <cell r="H603" t="str">
            <v>高二15班</v>
          </cell>
        </row>
        <row r="604">
          <cell r="H604" t="str">
            <v>高二15班</v>
          </cell>
        </row>
        <row r="605">
          <cell r="H605" t="str">
            <v>高二15班</v>
          </cell>
        </row>
        <row r="606">
          <cell r="H606" t="str">
            <v>高二15班</v>
          </cell>
        </row>
        <row r="607">
          <cell r="H607" t="str">
            <v>高二15班</v>
          </cell>
        </row>
        <row r="608">
          <cell r="H608" t="str">
            <v>高二15班</v>
          </cell>
        </row>
        <row r="609">
          <cell r="H609" t="str">
            <v>高二15班</v>
          </cell>
        </row>
        <row r="610">
          <cell r="H610" t="str">
            <v>高二15班</v>
          </cell>
        </row>
        <row r="611">
          <cell r="H611" t="str">
            <v>高二15班</v>
          </cell>
        </row>
        <row r="612">
          <cell r="H612" t="str">
            <v>高二15班</v>
          </cell>
        </row>
        <row r="613">
          <cell r="H613" t="str">
            <v>高二15班</v>
          </cell>
        </row>
        <row r="614">
          <cell r="H614" t="str">
            <v>高二15班</v>
          </cell>
        </row>
        <row r="615">
          <cell r="H615" t="str">
            <v>高二15班</v>
          </cell>
        </row>
        <row r="616">
          <cell r="H616" t="str">
            <v>高二15班</v>
          </cell>
        </row>
        <row r="617">
          <cell r="H617" t="str">
            <v>高二15班</v>
          </cell>
        </row>
        <row r="618">
          <cell r="H618" t="str">
            <v>高二15班</v>
          </cell>
        </row>
        <row r="619">
          <cell r="H619" t="str">
            <v>高二15班</v>
          </cell>
        </row>
        <row r="620">
          <cell r="H620" t="str">
            <v>高二15班</v>
          </cell>
        </row>
        <row r="621">
          <cell r="H621" t="str">
            <v>高二15班</v>
          </cell>
        </row>
        <row r="622">
          <cell r="H622" t="str">
            <v>高二15班</v>
          </cell>
        </row>
        <row r="623">
          <cell r="H623" t="str">
            <v>高二15班</v>
          </cell>
        </row>
        <row r="624">
          <cell r="H624" t="str">
            <v>高二15班</v>
          </cell>
        </row>
        <row r="625">
          <cell r="H625" t="str">
            <v>高二15班</v>
          </cell>
        </row>
        <row r="626">
          <cell r="H626" t="str">
            <v>高二15班</v>
          </cell>
        </row>
        <row r="627">
          <cell r="H627" t="str">
            <v>高二15班</v>
          </cell>
        </row>
        <row r="628">
          <cell r="H628" t="str">
            <v>高二15班</v>
          </cell>
        </row>
        <row r="629">
          <cell r="H629" t="str">
            <v>高二15班</v>
          </cell>
        </row>
        <row r="630">
          <cell r="H630" t="str">
            <v>高二15班</v>
          </cell>
        </row>
        <row r="631">
          <cell r="H631" t="str">
            <v>高二15班</v>
          </cell>
        </row>
        <row r="632">
          <cell r="H632" t="str">
            <v>高二16班</v>
          </cell>
        </row>
        <row r="633">
          <cell r="H633" t="str">
            <v>高二16班</v>
          </cell>
        </row>
        <row r="634">
          <cell r="H634" t="str">
            <v>高二16班</v>
          </cell>
        </row>
        <row r="635">
          <cell r="H635" t="str">
            <v>高二16班</v>
          </cell>
        </row>
        <row r="636">
          <cell r="H636" t="str">
            <v>高二16班</v>
          </cell>
        </row>
        <row r="637">
          <cell r="H637" t="str">
            <v>高二16班</v>
          </cell>
        </row>
        <row r="638">
          <cell r="H638" t="str">
            <v>高二16班</v>
          </cell>
        </row>
        <row r="639">
          <cell r="H639" t="str">
            <v>高二16班</v>
          </cell>
        </row>
        <row r="640">
          <cell r="H640" t="str">
            <v>高二16班</v>
          </cell>
        </row>
        <row r="641">
          <cell r="H641" t="str">
            <v>高二16班</v>
          </cell>
        </row>
        <row r="642">
          <cell r="H642" t="str">
            <v>高二16班</v>
          </cell>
        </row>
        <row r="643">
          <cell r="H643" t="str">
            <v>高二16班</v>
          </cell>
        </row>
        <row r="644">
          <cell r="H644" t="str">
            <v>高二16班</v>
          </cell>
        </row>
        <row r="645">
          <cell r="H645" t="str">
            <v>高二16班</v>
          </cell>
        </row>
        <row r="646">
          <cell r="H646" t="str">
            <v>高二16班</v>
          </cell>
        </row>
        <row r="647">
          <cell r="H647" t="str">
            <v>高二16班</v>
          </cell>
        </row>
        <row r="648">
          <cell r="H648" t="str">
            <v>高二16班</v>
          </cell>
        </row>
        <row r="649">
          <cell r="H649" t="str">
            <v>高二16班</v>
          </cell>
        </row>
        <row r="650">
          <cell r="H650" t="str">
            <v>高二16班</v>
          </cell>
        </row>
        <row r="651">
          <cell r="H651" t="str">
            <v>高二16班</v>
          </cell>
        </row>
        <row r="652">
          <cell r="H652" t="str">
            <v>高二16班</v>
          </cell>
        </row>
        <row r="653">
          <cell r="H653" t="str">
            <v>高二16班</v>
          </cell>
        </row>
        <row r="654">
          <cell r="H654" t="str">
            <v>高二16班</v>
          </cell>
        </row>
        <row r="655">
          <cell r="H655" t="str">
            <v>高二16班</v>
          </cell>
        </row>
        <row r="656">
          <cell r="H656" t="str">
            <v>高二16班</v>
          </cell>
        </row>
        <row r="657">
          <cell r="H657" t="str">
            <v>高二16班</v>
          </cell>
        </row>
        <row r="658">
          <cell r="H658" t="str">
            <v>高二16班</v>
          </cell>
        </row>
        <row r="659">
          <cell r="H659" t="str">
            <v>高二16班</v>
          </cell>
        </row>
        <row r="660">
          <cell r="H660" t="str">
            <v>高二16班</v>
          </cell>
        </row>
        <row r="661">
          <cell r="H661" t="str">
            <v>高二16班</v>
          </cell>
        </row>
        <row r="662">
          <cell r="H662" t="str">
            <v>高二16班</v>
          </cell>
        </row>
        <row r="663">
          <cell r="H663" t="str">
            <v>高二16班</v>
          </cell>
        </row>
        <row r="664">
          <cell r="H664" t="str">
            <v>高二16班</v>
          </cell>
        </row>
        <row r="665">
          <cell r="H665" t="str">
            <v>高二16班</v>
          </cell>
        </row>
        <row r="666">
          <cell r="H666" t="str">
            <v>高二16班</v>
          </cell>
        </row>
        <row r="667">
          <cell r="H667" t="str">
            <v>高二16班</v>
          </cell>
        </row>
        <row r="668">
          <cell r="H668" t="str">
            <v>高二16班</v>
          </cell>
        </row>
        <row r="669">
          <cell r="H669" t="str">
            <v>高二16班</v>
          </cell>
        </row>
        <row r="670">
          <cell r="H670" t="str">
            <v>高二16班</v>
          </cell>
        </row>
        <row r="671">
          <cell r="H671" t="str">
            <v>高二16班</v>
          </cell>
        </row>
        <row r="672">
          <cell r="H672" t="str">
            <v>高二16班</v>
          </cell>
        </row>
        <row r="673">
          <cell r="H673" t="str">
            <v>高二16班</v>
          </cell>
        </row>
        <row r="674">
          <cell r="H674" t="str">
            <v>公共课室3</v>
          </cell>
        </row>
        <row r="675">
          <cell r="H675" t="str">
            <v>公共课室3</v>
          </cell>
        </row>
        <row r="676">
          <cell r="H676" t="str">
            <v>公共课室3</v>
          </cell>
        </row>
        <row r="677">
          <cell r="H677" t="str">
            <v>公共课室3</v>
          </cell>
        </row>
        <row r="678">
          <cell r="H678" t="str">
            <v>公共课室3</v>
          </cell>
        </row>
        <row r="679">
          <cell r="H679" t="str">
            <v>公共课室3</v>
          </cell>
        </row>
        <row r="680">
          <cell r="H680" t="str">
            <v>公共课室3</v>
          </cell>
        </row>
        <row r="681">
          <cell r="H681" t="str">
            <v>公共课室3</v>
          </cell>
        </row>
        <row r="682">
          <cell r="H682" t="str">
            <v>公共课室3</v>
          </cell>
        </row>
        <row r="683">
          <cell r="H683" t="str">
            <v>公共课室3</v>
          </cell>
        </row>
        <row r="684">
          <cell r="H684" t="str">
            <v>公共课室3</v>
          </cell>
        </row>
        <row r="685">
          <cell r="H685" t="str">
            <v>公共课室3</v>
          </cell>
        </row>
        <row r="686">
          <cell r="H686" t="str">
            <v>公共课室3</v>
          </cell>
        </row>
        <row r="687">
          <cell r="H687" t="str">
            <v>公共课室3</v>
          </cell>
        </row>
        <row r="688">
          <cell r="H688" t="str">
            <v>公共课室3</v>
          </cell>
        </row>
        <row r="689">
          <cell r="H689" t="str">
            <v>公共课室3</v>
          </cell>
        </row>
        <row r="690">
          <cell r="H690" t="str">
            <v>公共课室3</v>
          </cell>
        </row>
        <row r="691">
          <cell r="H691" t="str">
            <v>公共课室3</v>
          </cell>
        </row>
        <row r="692">
          <cell r="H692" t="str">
            <v>公共课室3</v>
          </cell>
        </row>
        <row r="693">
          <cell r="H693" t="str">
            <v>公共课室3</v>
          </cell>
        </row>
        <row r="694">
          <cell r="H694" t="str">
            <v>公共课室3</v>
          </cell>
        </row>
        <row r="695">
          <cell r="H695" t="str">
            <v>公共课室3</v>
          </cell>
        </row>
        <row r="696">
          <cell r="H696" t="str">
            <v>公共课室3</v>
          </cell>
        </row>
        <row r="697">
          <cell r="H697" t="str">
            <v>公共课室3</v>
          </cell>
        </row>
        <row r="698">
          <cell r="H698" t="str">
            <v>公共课室3</v>
          </cell>
        </row>
        <row r="699">
          <cell r="H699" t="str">
            <v>公共课室3</v>
          </cell>
        </row>
        <row r="700">
          <cell r="H700" t="str">
            <v>公共课室3</v>
          </cell>
        </row>
        <row r="701">
          <cell r="H701" t="str">
            <v>公共课室3</v>
          </cell>
        </row>
        <row r="702">
          <cell r="H702" t="str">
            <v>公共课室3</v>
          </cell>
        </row>
        <row r="703">
          <cell r="H703" t="str">
            <v>公共课室3</v>
          </cell>
        </row>
        <row r="704">
          <cell r="H704" t="str">
            <v>公共课室3</v>
          </cell>
        </row>
        <row r="705">
          <cell r="H705" t="str">
            <v>公共课室3</v>
          </cell>
        </row>
        <row r="706">
          <cell r="H706" t="str">
            <v>公共课室3</v>
          </cell>
        </row>
        <row r="707">
          <cell r="H707" t="str">
            <v>公共课室3</v>
          </cell>
        </row>
        <row r="708">
          <cell r="H708" t="str">
            <v>公共课室3</v>
          </cell>
        </row>
        <row r="709">
          <cell r="H709" t="str">
            <v>公共课室3</v>
          </cell>
        </row>
        <row r="710">
          <cell r="H710" t="str">
            <v>公共课室3</v>
          </cell>
        </row>
        <row r="711">
          <cell r="H711" t="str">
            <v>公共课室3</v>
          </cell>
        </row>
        <row r="712">
          <cell r="H712" t="str">
            <v>公共课室3</v>
          </cell>
        </row>
        <row r="713">
          <cell r="H713" t="str">
            <v>公共课室3</v>
          </cell>
        </row>
        <row r="714">
          <cell r="H714" t="str">
            <v>公共课室3</v>
          </cell>
        </row>
        <row r="715">
          <cell r="H715" t="str">
            <v>公共课室3</v>
          </cell>
        </row>
        <row r="716">
          <cell r="H716" t="str">
            <v>公共课室4</v>
          </cell>
        </row>
        <row r="717">
          <cell r="H717" t="str">
            <v>公共课室4</v>
          </cell>
        </row>
        <row r="718">
          <cell r="H718" t="str">
            <v>公共课室4</v>
          </cell>
        </row>
        <row r="719">
          <cell r="H719" t="str">
            <v>公共课室4</v>
          </cell>
        </row>
        <row r="720">
          <cell r="H720" t="str">
            <v>公共课室4</v>
          </cell>
        </row>
        <row r="721">
          <cell r="H721" t="str">
            <v>公共课室4</v>
          </cell>
        </row>
        <row r="722">
          <cell r="H722" t="str">
            <v>公共课室4</v>
          </cell>
        </row>
        <row r="723">
          <cell r="H723" t="str">
            <v>公共课室4</v>
          </cell>
        </row>
        <row r="724">
          <cell r="H724" t="str">
            <v>公共课室4</v>
          </cell>
        </row>
        <row r="725">
          <cell r="H725" t="str">
            <v>公共课室4</v>
          </cell>
        </row>
        <row r="726">
          <cell r="H726" t="str">
            <v>公共课室4</v>
          </cell>
        </row>
        <row r="727">
          <cell r="H727" t="str">
            <v>公共课室4</v>
          </cell>
        </row>
        <row r="728">
          <cell r="H728" t="str">
            <v>公共课室4</v>
          </cell>
        </row>
        <row r="729">
          <cell r="H729" t="str">
            <v>公共课室4</v>
          </cell>
        </row>
        <row r="730">
          <cell r="H730" t="str">
            <v>公共课室4</v>
          </cell>
        </row>
        <row r="731">
          <cell r="H731" t="str">
            <v>公共课室4</v>
          </cell>
        </row>
        <row r="732">
          <cell r="H732" t="str">
            <v>公共课室4</v>
          </cell>
        </row>
        <row r="733">
          <cell r="H733" t="str">
            <v>公共课室4</v>
          </cell>
        </row>
        <row r="734">
          <cell r="H734" t="str">
            <v>公共课室4</v>
          </cell>
        </row>
        <row r="735">
          <cell r="H735" t="str">
            <v>公共课室4</v>
          </cell>
        </row>
        <row r="736">
          <cell r="H736" t="str">
            <v>公共课室4</v>
          </cell>
        </row>
        <row r="737">
          <cell r="H737" t="str">
            <v>公共课室4</v>
          </cell>
        </row>
        <row r="738">
          <cell r="H738" t="str">
            <v>公共课室4</v>
          </cell>
        </row>
        <row r="739">
          <cell r="H739" t="str">
            <v>公共课室4</v>
          </cell>
        </row>
        <row r="740">
          <cell r="H740" t="str">
            <v>公共课室4</v>
          </cell>
        </row>
        <row r="741">
          <cell r="H741" t="str">
            <v>公共课室4</v>
          </cell>
        </row>
        <row r="742">
          <cell r="H742" t="str">
            <v>公共课室4</v>
          </cell>
        </row>
        <row r="743">
          <cell r="H743" t="str">
            <v>公共课室4</v>
          </cell>
        </row>
        <row r="744">
          <cell r="H744" t="str">
            <v>公共课室4</v>
          </cell>
        </row>
        <row r="745">
          <cell r="H745" t="str">
            <v>公共课室4</v>
          </cell>
        </row>
        <row r="746">
          <cell r="H746" t="str">
            <v>公共课室4</v>
          </cell>
        </row>
        <row r="747">
          <cell r="H747" t="str">
            <v>公共课室4</v>
          </cell>
        </row>
        <row r="748">
          <cell r="H748" t="str">
            <v>公共课室4</v>
          </cell>
        </row>
        <row r="749">
          <cell r="H749" t="str">
            <v>公共课室4</v>
          </cell>
        </row>
        <row r="750">
          <cell r="H750" t="str">
            <v>公共课室4</v>
          </cell>
        </row>
        <row r="751">
          <cell r="H751" t="str">
            <v>公共课室4</v>
          </cell>
        </row>
        <row r="752">
          <cell r="H752" t="str">
            <v>公共课室4</v>
          </cell>
        </row>
        <row r="753">
          <cell r="H753" t="str">
            <v>公共课室4</v>
          </cell>
        </row>
        <row r="754">
          <cell r="H754" t="str">
            <v>公共课室4</v>
          </cell>
        </row>
        <row r="755">
          <cell r="H755" t="str">
            <v>公共课室4</v>
          </cell>
        </row>
        <row r="756">
          <cell r="H756" t="str">
            <v>公共课室4</v>
          </cell>
        </row>
        <row r="757">
          <cell r="H757" t="str">
            <v>公共课室4</v>
          </cell>
        </row>
        <row r="758">
          <cell r="H758" t="str">
            <v>公共课室5</v>
          </cell>
        </row>
        <row r="759">
          <cell r="H759" t="str">
            <v>公共课室5</v>
          </cell>
        </row>
        <row r="760">
          <cell r="H760" t="str">
            <v>公共课室5</v>
          </cell>
        </row>
        <row r="761">
          <cell r="H761" t="str">
            <v>公共课室5</v>
          </cell>
        </row>
        <row r="762">
          <cell r="H762" t="str">
            <v>公共课室5</v>
          </cell>
        </row>
        <row r="763">
          <cell r="H763" t="str">
            <v>公共课室5</v>
          </cell>
        </row>
        <row r="764">
          <cell r="H764" t="str">
            <v>公共课室5</v>
          </cell>
        </row>
        <row r="765">
          <cell r="H765" t="str">
            <v>公共课室5</v>
          </cell>
        </row>
        <row r="766">
          <cell r="H766" t="str">
            <v>公共课室5</v>
          </cell>
        </row>
        <row r="767">
          <cell r="H767" t="str">
            <v>公共课室5</v>
          </cell>
        </row>
        <row r="768">
          <cell r="H768" t="str">
            <v>公共课室5</v>
          </cell>
        </row>
        <row r="769">
          <cell r="H769" t="str">
            <v>公共课室5</v>
          </cell>
        </row>
        <row r="770">
          <cell r="H770" t="str">
            <v>公共课室5</v>
          </cell>
        </row>
        <row r="771">
          <cell r="H771" t="str">
            <v>公共课室5</v>
          </cell>
        </row>
        <row r="772">
          <cell r="H772" t="str">
            <v>公共课室5</v>
          </cell>
        </row>
        <row r="773">
          <cell r="H773" t="str">
            <v>公共课室5</v>
          </cell>
        </row>
        <row r="774">
          <cell r="H774" t="str">
            <v>公共课室5</v>
          </cell>
        </row>
        <row r="775">
          <cell r="H775" t="str">
            <v>公共课室5</v>
          </cell>
        </row>
        <row r="776">
          <cell r="H776" t="str">
            <v>公共课室5</v>
          </cell>
        </row>
        <row r="777">
          <cell r="H777" t="str">
            <v>公共课室5</v>
          </cell>
        </row>
        <row r="778">
          <cell r="H778" t="str">
            <v>公共课室5</v>
          </cell>
        </row>
        <row r="779">
          <cell r="H779" t="str">
            <v>公共课室5</v>
          </cell>
        </row>
        <row r="780">
          <cell r="H780" t="str">
            <v>公共课室5</v>
          </cell>
        </row>
        <row r="781">
          <cell r="H781" t="str">
            <v>公共课室5</v>
          </cell>
        </row>
        <row r="782">
          <cell r="H782" t="str">
            <v>公共课室5</v>
          </cell>
        </row>
        <row r="783">
          <cell r="H783" t="str">
            <v>公共课室5</v>
          </cell>
        </row>
        <row r="784">
          <cell r="H784" t="str">
            <v>公共课室5</v>
          </cell>
        </row>
        <row r="785">
          <cell r="H785" t="str">
            <v>公共课室5</v>
          </cell>
        </row>
        <row r="786">
          <cell r="H786" t="str">
            <v>公共课室5</v>
          </cell>
        </row>
        <row r="787">
          <cell r="H787" t="str">
            <v>公共课室5</v>
          </cell>
        </row>
        <row r="788">
          <cell r="H788" t="str">
            <v>公共课室5</v>
          </cell>
        </row>
        <row r="789">
          <cell r="H789" t="str">
            <v>公共课室5</v>
          </cell>
        </row>
        <row r="790">
          <cell r="H790" t="str">
            <v>公共课室5</v>
          </cell>
        </row>
        <row r="791">
          <cell r="H791" t="str">
            <v>公共课室5</v>
          </cell>
        </row>
        <row r="792">
          <cell r="H792" t="str">
            <v>公共课室5</v>
          </cell>
        </row>
        <row r="793">
          <cell r="H793" t="str">
            <v>公共课室5</v>
          </cell>
        </row>
        <row r="794">
          <cell r="H794" t="str">
            <v>公共课室6</v>
          </cell>
        </row>
        <row r="795">
          <cell r="H795" t="str">
            <v>公共课室6</v>
          </cell>
        </row>
        <row r="796">
          <cell r="H796" t="str">
            <v>公共课室6</v>
          </cell>
        </row>
        <row r="797">
          <cell r="H797" t="str">
            <v>公共课室6</v>
          </cell>
        </row>
        <row r="798">
          <cell r="H798" t="str">
            <v>公共课室6</v>
          </cell>
        </row>
        <row r="799">
          <cell r="H799" t="str">
            <v>公共课室6</v>
          </cell>
        </row>
        <row r="800">
          <cell r="H800" t="str">
            <v>公共课室6</v>
          </cell>
        </row>
        <row r="801">
          <cell r="H801" t="str">
            <v>公共课室6</v>
          </cell>
        </row>
        <row r="802">
          <cell r="H802" t="str">
            <v>公共课室6</v>
          </cell>
        </row>
        <row r="803">
          <cell r="H803" t="str">
            <v>公共课室6</v>
          </cell>
        </row>
        <row r="804">
          <cell r="H804" t="str">
            <v>公共课室6</v>
          </cell>
        </row>
        <row r="805">
          <cell r="H805" t="str">
            <v>公共课室6</v>
          </cell>
        </row>
        <row r="806">
          <cell r="H806" t="str">
            <v>公共课室6</v>
          </cell>
        </row>
        <row r="807">
          <cell r="H807" t="str">
            <v>公共课室6</v>
          </cell>
        </row>
        <row r="808">
          <cell r="H808" t="str">
            <v>公共课室6</v>
          </cell>
        </row>
        <row r="809">
          <cell r="H809" t="str">
            <v>公共课室6</v>
          </cell>
        </row>
        <row r="810">
          <cell r="H810" t="str">
            <v>公共课室6</v>
          </cell>
        </row>
        <row r="811">
          <cell r="H811" t="str">
            <v>公共课室6</v>
          </cell>
        </row>
        <row r="812">
          <cell r="H812" t="str">
            <v>公共课室6</v>
          </cell>
        </row>
        <row r="813">
          <cell r="H813" t="str">
            <v>公共课室6</v>
          </cell>
        </row>
        <row r="814">
          <cell r="H814" t="str">
            <v>公共课室6</v>
          </cell>
        </row>
        <row r="815">
          <cell r="H815" t="str">
            <v>公共课室6</v>
          </cell>
        </row>
        <row r="816">
          <cell r="H816" t="str">
            <v>公共课室6</v>
          </cell>
        </row>
        <row r="817">
          <cell r="H817" t="str">
            <v>公共课室6</v>
          </cell>
        </row>
        <row r="818">
          <cell r="H818" t="str">
            <v>公共课室6</v>
          </cell>
        </row>
      </sheetData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E12"/>
  <sheetViews>
    <sheetView zoomScale="130" zoomScaleNormal="130" workbookViewId="0">
      <selection activeCell="F8" sqref="F8"/>
    </sheetView>
  </sheetViews>
  <sheetFormatPr defaultColWidth="9" defaultRowHeight="14.25" outlineLevelCol="4"/>
  <cols>
    <col min="1" max="1" width="19.5" style="112" customWidth="1"/>
    <col min="2" max="2" width="15.8833333333333" style="112" customWidth="1"/>
    <col min="3" max="3" width="19.25" style="112" customWidth="1"/>
    <col min="4" max="4" width="24.75" style="112" customWidth="1"/>
    <col min="5" max="5" width="2.88333333333333" style="112" customWidth="1"/>
    <col min="6" max="16384" width="9" style="112"/>
  </cols>
  <sheetData>
    <row r="1" ht="20.25" spans="1:5">
      <c r="A1" s="113" t="s">
        <v>0</v>
      </c>
      <c r="B1" s="113"/>
      <c r="C1" s="113"/>
      <c r="D1" s="113"/>
      <c r="E1" s="113"/>
    </row>
    <row r="2" ht="18.75" spans="1:5">
      <c r="A2" s="114" t="s">
        <v>1</v>
      </c>
      <c r="B2" s="114"/>
      <c r="C2" s="114"/>
      <c r="D2" s="114"/>
      <c r="E2" s="115"/>
    </row>
    <row r="3" ht="18" customHeight="1" spans="1:5">
      <c r="A3" s="116" t="s">
        <v>2</v>
      </c>
      <c r="B3" s="117" t="s">
        <v>3</v>
      </c>
      <c r="C3" s="116"/>
      <c r="D3" s="116"/>
      <c r="E3" s="116"/>
    </row>
    <row r="4" ht="18" customHeight="1" spans="1:5">
      <c r="A4" s="118" t="s">
        <v>4</v>
      </c>
      <c r="B4" s="117" t="s">
        <v>5</v>
      </c>
      <c r="C4" s="116"/>
      <c r="D4" s="116"/>
      <c r="E4" s="116"/>
    </row>
    <row r="5" ht="18" customHeight="1" spans="1:5">
      <c r="A5" s="118" t="s">
        <v>6</v>
      </c>
      <c r="B5" s="119" t="s">
        <v>7</v>
      </c>
      <c r="C5" s="120"/>
      <c r="D5" s="120"/>
      <c r="E5" s="121"/>
    </row>
    <row r="6" ht="18" customHeight="1" spans="1:5">
      <c r="A6" s="122" t="s">
        <v>8</v>
      </c>
      <c r="B6" s="116" t="s">
        <v>9</v>
      </c>
      <c r="C6" s="123" t="s">
        <v>10</v>
      </c>
      <c r="D6" s="124"/>
      <c r="E6" s="125"/>
    </row>
    <row r="7" ht="18" customHeight="1" spans="1:5">
      <c r="A7" s="126"/>
      <c r="B7" s="116" t="s">
        <v>11</v>
      </c>
      <c r="C7" s="116" t="s">
        <v>12</v>
      </c>
      <c r="D7" s="116"/>
      <c r="E7" s="116"/>
    </row>
    <row r="8" ht="45.75" customHeight="1" spans="1:5">
      <c r="A8" s="127" t="s">
        <v>13</v>
      </c>
      <c r="B8" s="127"/>
      <c r="C8" s="127"/>
      <c r="D8" s="127"/>
      <c r="E8" s="127"/>
    </row>
    <row r="9" ht="36.75" customHeight="1" spans="1:5">
      <c r="A9" s="128" t="s">
        <v>14</v>
      </c>
      <c r="B9" s="128"/>
      <c r="C9" s="128"/>
      <c r="D9" s="128"/>
      <c r="E9" s="128"/>
    </row>
    <row r="10" ht="162.75" customHeight="1" spans="1:5">
      <c r="A10" s="129" t="s">
        <v>15</v>
      </c>
      <c r="B10" s="129"/>
      <c r="C10" s="129"/>
      <c r="D10" s="129"/>
      <c r="E10" s="129"/>
    </row>
    <row r="11" ht="18.75" customHeight="1" spans="1:5">
      <c r="A11" s="128" t="s">
        <v>16</v>
      </c>
      <c r="B11" s="128"/>
      <c r="C11" s="128"/>
      <c r="D11" s="128"/>
      <c r="E11" s="128"/>
    </row>
    <row r="12" ht="111" customHeight="1" spans="1:5">
      <c r="A12" s="130" t="s">
        <v>17</v>
      </c>
      <c r="B12" s="130"/>
      <c r="C12" s="130"/>
      <c r="D12" s="130"/>
      <c r="E12" s="130"/>
    </row>
  </sheetData>
  <mergeCells count="13">
    <mergeCell ref="A1:E1"/>
    <mergeCell ref="A2:D2"/>
    <mergeCell ref="B3:E3"/>
    <mergeCell ref="B4:E4"/>
    <mergeCell ref="B5:E5"/>
    <mergeCell ref="C6:E6"/>
    <mergeCell ref="C7:E7"/>
    <mergeCell ref="A8:E8"/>
    <mergeCell ref="A9:E9"/>
    <mergeCell ref="A10:E10"/>
    <mergeCell ref="A11:E11"/>
    <mergeCell ref="A12:E12"/>
    <mergeCell ref="A6:A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pageSetUpPr fitToPage="1"/>
  </sheetPr>
  <dimension ref="A1:XFD50"/>
  <sheetViews>
    <sheetView zoomScale="115" zoomScaleNormal="115" workbookViewId="0">
      <selection activeCell="E49" sqref="A1:E49"/>
    </sheetView>
  </sheetViews>
  <sheetFormatPr defaultColWidth="9" defaultRowHeight="14.25"/>
  <cols>
    <col min="1" max="1" width="10.6333333333333" style="77" customWidth="1"/>
    <col min="2" max="2" width="32.6333333333333" style="78" customWidth="1"/>
    <col min="3" max="3" width="9" style="22"/>
    <col min="4" max="4" width="8.63333333333333" style="22" customWidth="1"/>
    <col min="5" max="5" width="32.6333333333333" style="22" customWidth="1"/>
    <col min="6" max="6" width="9" style="22"/>
    <col min="7" max="7" width="12.6333333333333" style="79"/>
    <col min="8" max="16373" width="9" style="22"/>
    <col min="16374" max="16384" width="9" style="6"/>
  </cols>
  <sheetData>
    <row r="1" s="74" customFormat="1" ht="30" customHeight="1" spans="1:7">
      <c r="A1" s="80" t="str">
        <f>巡视!A1&amp;"铃声安排"</f>
        <v>2025-2026学年高二第一学期期中考铃声安排</v>
      </c>
      <c r="B1" s="80"/>
      <c r="C1" s="80"/>
      <c r="D1" s="80"/>
      <c r="E1" s="80"/>
      <c r="G1" s="81"/>
    </row>
    <row r="2" s="75" customFormat="1" ht="25" customHeight="1" spans="1:16384">
      <c r="A2" s="82" t="s">
        <v>18</v>
      </c>
      <c r="B2" s="82"/>
      <c r="C2" s="82"/>
      <c r="D2" s="82" t="s">
        <v>19</v>
      </c>
      <c r="E2" s="82"/>
      <c r="G2" s="83"/>
      <c r="XEW2" s="110"/>
      <c r="XEX2" s="110"/>
      <c r="XEY2" s="110"/>
      <c r="XEZ2" s="110"/>
      <c r="XFA2" s="110"/>
      <c r="XFB2" s="110"/>
      <c r="XFC2" s="110"/>
      <c r="XFD2" s="110"/>
    </row>
    <row r="3" s="76" customFormat="1" ht="20" customHeight="1" spans="1:16384">
      <c r="A3" s="59" t="s">
        <v>20</v>
      </c>
      <c r="B3" s="59"/>
      <c r="C3" s="59"/>
      <c r="D3" s="59"/>
      <c r="E3" s="59"/>
      <c r="G3" s="84"/>
      <c r="XEW3" s="111"/>
      <c r="XEX3" s="111"/>
      <c r="XEY3" s="111"/>
      <c r="XEZ3" s="111"/>
      <c r="XFA3" s="111"/>
      <c r="XFB3" s="111"/>
      <c r="XFC3" s="111"/>
      <c r="XFD3" s="111"/>
    </row>
    <row r="4" s="76" customFormat="1" ht="20" customHeight="1" spans="1:16384">
      <c r="A4" s="59" t="s">
        <v>21</v>
      </c>
      <c r="B4" s="59"/>
      <c r="C4" s="59"/>
      <c r="D4" s="59"/>
      <c r="E4" s="59"/>
      <c r="G4" s="84"/>
      <c r="XEW4" s="111"/>
      <c r="XEX4" s="111"/>
      <c r="XEY4" s="111"/>
      <c r="XEZ4" s="111"/>
      <c r="XFA4" s="111"/>
      <c r="XFB4" s="111"/>
      <c r="XFC4" s="111"/>
      <c r="XFD4" s="111"/>
    </row>
    <row r="5" s="76" customFormat="1" ht="20" customHeight="1" spans="1:16384">
      <c r="A5" s="85" t="s">
        <v>22</v>
      </c>
      <c r="B5" s="86" t="s">
        <v>23</v>
      </c>
      <c r="C5" s="87"/>
      <c r="D5" s="85" t="s">
        <v>22</v>
      </c>
      <c r="E5" s="86" t="s">
        <v>23</v>
      </c>
      <c r="G5" s="84"/>
      <c r="XEW5" s="111"/>
      <c r="XEX5" s="111"/>
      <c r="XEY5" s="111"/>
      <c r="XEZ5" s="111"/>
      <c r="XFA5" s="111"/>
      <c r="XFB5" s="111"/>
      <c r="XFC5" s="111"/>
      <c r="XFD5" s="111"/>
    </row>
    <row r="6" s="74" customFormat="1" ht="20" customHeight="1" spans="1:7">
      <c r="A6" s="88" t="s">
        <v>24</v>
      </c>
      <c r="B6" s="88"/>
      <c r="C6" s="80"/>
      <c r="D6" s="88" t="s">
        <v>25</v>
      </c>
      <c r="E6" s="88"/>
      <c r="G6" s="81"/>
    </row>
    <row r="7" s="6" customFormat="1" ht="20" customHeight="1" spans="1:7">
      <c r="A7" s="88">
        <v>0.333333333333333</v>
      </c>
      <c r="B7" s="89">
        <v>0.4375</v>
      </c>
      <c r="C7" s="90"/>
      <c r="D7" s="88">
        <v>0.333333333333333</v>
      </c>
      <c r="E7" s="89">
        <v>0.447916666666667</v>
      </c>
      <c r="G7" s="79"/>
    </row>
    <row r="8" ht="15" customHeight="1" spans="1:5">
      <c r="A8" s="91">
        <f>A7-"0:20"</f>
        <v>0.319444444444444</v>
      </c>
      <c r="B8" s="92" t="s">
        <v>26</v>
      </c>
      <c r="C8" s="93"/>
      <c r="D8" s="91">
        <f>D7-"0:20"</f>
        <v>0.319444444444444</v>
      </c>
      <c r="E8" s="92" t="s">
        <v>26</v>
      </c>
    </row>
    <row r="9" ht="15" customHeight="1" spans="1:5">
      <c r="A9" s="91">
        <f>A8+"0:05"</f>
        <v>0.322916666666667</v>
      </c>
      <c r="B9" s="92" t="s">
        <v>27</v>
      </c>
      <c r="C9" s="93"/>
      <c r="D9" s="91">
        <f>D8+"0:05"</f>
        <v>0.322916666666667</v>
      </c>
      <c r="E9" s="92" t="s">
        <v>27</v>
      </c>
    </row>
    <row r="10" ht="15" customHeight="1" spans="1:5">
      <c r="A10" s="91">
        <f>A9+"0:05"</f>
        <v>0.326388888888889</v>
      </c>
      <c r="B10" s="92" t="s">
        <v>28</v>
      </c>
      <c r="C10" s="93"/>
      <c r="D10" s="91">
        <f>D9+"0:05"</f>
        <v>0.326388888888889</v>
      </c>
      <c r="E10" s="92" t="s">
        <v>28</v>
      </c>
    </row>
    <row r="11" ht="15" customHeight="1" spans="1:5">
      <c r="A11" s="91">
        <f>A10+"0:05"</f>
        <v>0.329861111111111</v>
      </c>
      <c r="B11" s="92" t="s">
        <v>29</v>
      </c>
      <c r="C11" s="93"/>
      <c r="D11" s="91">
        <f>D10+"0:05"</f>
        <v>0.329861111111111</v>
      </c>
      <c r="E11" s="92" t="s">
        <v>29</v>
      </c>
    </row>
    <row r="12" ht="15" customHeight="1" spans="1:5">
      <c r="A12" s="91">
        <f>A11+"0:05"</f>
        <v>0.333333333333333</v>
      </c>
      <c r="B12" s="92" t="s">
        <v>30</v>
      </c>
      <c r="C12" s="93"/>
      <c r="D12" s="91">
        <f>D11+"0:05"</f>
        <v>0.333333333333333</v>
      </c>
      <c r="E12" s="92" t="s">
        <v>30</v>
      </c>
    </row>
    <row r="13" ht="15" customHeight="1" spans="1:5">
      <c r="A13" s="91">
        <f>A14-"0:15"</f>
        <v>0.427083333333333</v>
      </c>
      <c r="B13" s="92" t="s">
        <v>31</v>
      </c>
      <c r="C13" s="93"/>
      <c r="D13" s="91">
        <f>D14-"0:15"</f>
        <v>0.375</v>
      </c>
      <c r="E13" s="92" t="s">
        <v>31</v>
      </c>
    </row>
    <row r="14" ht="15" customHeight="1" spans="1:5">
      <c r="A14" s="91">
        <f>B7</f>
        <v>0.4375</v>
      </c>
      <c r="B14" s="92" t="s">
        <v>32</v>
      </c>
      <c r="C14" s="93"/>
      <c r="D14" s="91">
        <v>0.385416666666667</v>
      </c>
      <c r="E14" s="92" t="s">
        <v>32</v>
      </c>
    </row>
    <row r="15" ht="15" customHeight="1" spans="1:5">
      <c r="A15" s="94"/>
      <c r="B15" s="95"/>
      <c r="C15" s="96"/>
      <c r="D15" s="91">
        <f>D14+"0:05"</f>
        <v>0.388888888888889</v>
      </c>
      <c r="E15" s="92" t="s">
        <v>27</v>
      </c>
    </row>
    <row r="16" ht="15" customHeight="1" spans="1:5">
      <c r="A16" s="97"/>
      <c r="B16" s="98"/>
      <c r="C16" s="99"/>
      <c r="D16" s="91">
        <v>0.392361111111111</v>
      </c>
      <c r="E16" s="92" t="s">
        <v>29</v>
      </c>
    </row>
    <row r="17" ht="15" customHeight="1" spans="1:5">
      <c r="A17" s="97"/>
      <c r="B17" s="98"/>
      <c r="C17" s="99"/>
      <c r="D17" s="91">
        <f>D16+"0:05"</f>
        <v>0.395833333333333</v>
      </c>
      <c r="E17" s="92" t="s">
        <v>30</v>
      </c>
    </row>
    <row r="18" ht="15" customHeight="1" spans="1:5">
      <c r="A18" s="97"/>
      <c r="B18" s="98"/>
      <c r="C18" s="99"/>
      <c r="D18" s="91">
        <f>D19-"0:15"</f>
        <v>0.4375</v>
      </c>
      <c r="E18" s="92" t="s">
        <v>31</v>
      </c>
    </row>
    <row r="19" ht="15" customHeight="1" spans="1:5">
      <c r="A19" s="97"/>
      <c r="B19" s="98"/>
      <c r="C19" s="99"/>
      <c r="D19" s="91">
        <v>0.447916666666667</v>
      </c>
      <c r="E19" s="92" t="s">
        <v>32</v>
      </c>
    </row>
    <row r="20" ht="15" customHeight="1" spans="1:5">
      <c r="A20" s="100"/>
      <c r="B20" s="101"/>
      <c r="C20" s="102"/>
      <c r="D20" s="103"/>
      <c r="E20" s="104"/>
    </row>
    <row r="21" ht="20" customHeight="1" spans="1:5">
      <c r="A21" s="88" t="s">
        <v>33</v>
      </c>
      <c r="B21" s="88"/>
      <c r="C21" s="80"/>
      <c r="D21" s="88" t="s">
        <v>34</v>
      </c>
      <c r="E21" s="88"/>
    </row>
    <row r="22" ht="20" customHeight="1" spans="1:5">
      <c r="A22" s="88">
        <v>0.458333333333333</v>
      </c>
      <c r="B22" s="89">
        <v>0.510416666666667</v>
      </c>
      <c r="C22" s="105"/>
      <c r="D22" s="88">
        <v>0.46875</v>
      </c>
      <c r="E22" s="89">
        <v>0.510416666666667</v>
      </c>
    </row>
    <row r="23" ht="15" customHeight="1" spans="1:5">
      <c r="A23" s="91">
        <f>A22-"0:20"</f>
        <v>0.444444444444444</v>
      </c>
      <c r="B23" s="92" t="s">
        <v>26</v>
      </c>
      <c r="C23" s="106"/>
      <c r="D23" s="91">
        <f>D22</f>
        <v>0.46875</v>
      </c>
      <c r="E23" s="92" t="s">
        <v>35</v>
      </c>
    </row>
    <row r="24" ht="15" customHeight="1" spans="1:5">
      <c r="A24" s="91">
        <f>A23+"0:05"</f>
        <v>0.447916666666667</v>
      </c>
      <c r="B24" s="92" t="s">
        <v>27</v>
      </c>
      <c r="C24" s="106"/>
      <c r="D24" s="91"/>
      <c r="E24" s="92"/>
    </row>
    <row r="25" ht="15" customHeight="1" spans="1:5">
      <c r="A25" s="91">
        <f>A24+"0:05"</f>
        <v>0.451388888888889</v>
      </c>
      <c r="B25" s="92" t="s">
        <v>28</v>
      </c>
      <c r="C25" s="106"/>
      <c r="D25" s="91"/>
      <c r="E25" s="92"/>
    </row>
    <row r="26" ht="15" customHeight="1" spans="1:5">
      <c r="A26" s="91">
        <f>A25+"0:05"</f>
        <v>0.454861111111111</v>
      </c>
      <c r="B26" s="92" t="s">
        <v>29</v>
      </c>
      <c r="C26" s="106"/>
      <c r="D26" s="91"/>
      <c r="E26" s="92"/>
    </row>
    <row r="27" ht="15" customHeight="1" spans="1:5">
      <c r="A27" s="91">
        <f>A26+"0:05"</f>
        <v>0.458333333333333</v>
      </c>
      <c r="B27" s="92" t="s">
        <v>30</v>
      </c>
      <c r="C27" s="106"/>
      <c r="D27" s="91"/>
      <c r="E27" s="92"/>
    </row>
    <row r="28" ht="15" customHeight="1" spans="1:5">
      <c r="A28" s="91">
        <f>A29-"0:15"</f>
        <v>0.5</v>
      </c>
      <c r="B28" s="92" t="s">
        <v>31</v>
      </c>
      <c r="C28" s="106"/>
      <c r="D28" s="91"/>
      <c r="E28" s="92"/>
    </row>
    <row r="29" ht="15" customHeight="1" spans="1:5">
      <c r="A29" s="91">
        <f>B22</f>
        <v>0.510416666666667</v>
      </c>
      <c r="B29" s="92" t="s">
        <v>32</v>
      </c>
      <c r="C29" s="106"/>
      <c r="D29" s="91">
        <f>E22</f>
        <v>0.510416666666667</v>
      </c>
      <c r="E29" s="92" t="s">
        <v>36</v>
      </c>
    </row>
    <row r="30" ht="15" customHeight="1" spans="1:5">
      <c r="A30" s="107"/>
      <c r="B30" s="108"/>
      <c r="C30" s="109"/>
      <c r="D30" s="103"/>
      <c r="E30" s="104"/>
    </row>
    <row r="31" ht="20" customHeight="1" spans="1:5">
      <c r="A31" s="88" t="s">
        <v>37</v>
      </c>
      <c r="B31" s="88"/>
      <c r="C31" s="80"/>
      <c r="D31" s="88" t="s">
        <v>38</v>
      </c>
      <c r="E31" s="88"/>
    </row>
    <row r="32" ht="20" customHeight="1" spans="1:5">
      <c r="A32" s="88">
        <v>0.604166666666667</v>
      </c>
      <c r="B32" s="89">
        <v>0.6875</v>
      </c>
      <c r="C32" s="105"/>
      <c r="D32" s="88">
        <v>0.604166666666667</v>
      </c>
      <c r="E32" s="89">
        <v>0.6875</v>
      </c>
    </row>
    <row r="33" ht="15" customHeight="1" spans="1:5">
      <c r="A33" s="91">
        <f>A32-"0:20"</f>
        <v>0.590277777777778</v>
      </c>
      <c r="B33" s="92" t="s">
        <v>26</v>
      </c>
      <c r="C33" s="106"/>
      <c r="D33" s="91">
        <f>D32-"0:20"</f>
        <v>0.590277777777778</v>
      </c>
      <c r="E33" s="92" t="s">
        <v>26</v>
      </c>
    </row>
    <row r="34" ht="15" customHeight="1" spans="1:5">
      <c r="A34" s="91">
        <f>A33+"0:05"</f>
        <v>0.59375</v>
      </c>
      <c r="B34" s="92" t="s">
        <v>27</v>
      </c>
      <c r="C34" s="106"/>
      <c r="D34" s="91">
        <f>D33+"0:05"</f>
        <v>0.59375</v>
      </c>
      <c r="E34" s="92" t="s">
        <v>27</v>
      </c>
    </row>
    <row r="35" ht="15" customHeight="1" spans="1:5">
      <c r="A35" s="91">
        <f>A34+"0:05"</f>
        <v>0.597222222222222</v>
      </c>
      <c r="B35" s="92" t="s">
        <v>28</v>
      </c>
      <c r="C35" s="106"/>
      <c r="D35" s="91">
        <f>D34+"0:05"</f>
        <v>0.597222222222222</v>
      </c>
      <c r="E35" s="92" t="s">
        <v>28</v>
      </c>
    </row>
    <row r="36" ht="15" customHeight="1" spans="1:5">
      <c r="A36" s="91">
        <f>A35+"0:05"</f>
        <v>0.600694444444444</v>
      </c>
      <c r="B36" s="92" t="s">
        <v>29</v>
      </c>
      <c r="C36" s="106"/>
      <c r="D36" s="91">
        <f>D35+"0:05"</f>
        <v>0.600694444444444</v>
      </c>
      <c r="E36" s="92" t="s">
        <v>29</v>
      </c>
    </row>
    <row r="37" ht="15" customHeight="1" spans="1:5">
      <c r="A37" s="91">
        <f>A36+"0:05"</f>
        <v>0.604166666666667</v>
      </c>
      <c r="B37" s="92" t="s">
        <v>30</v>
      </c>
      <c r="C37" s="106"/>
      <c r="D37" s="91">
        <f>D36+"0:05"</f>
        <v>0.604166666666667</v>
      </c>
      <c r="E37" s="92" t="s">
        <v>30</v>
      </c>
    </row>
    <row r="38" ht="15" customHeight="1" spans="1:5">
      <c r="A38" s="91">
        <f>A39-"0:15"</f>
        <v>0.677083333333333</v>
      </c>
      <c r="B38" s="92" t="s">
        <v>31</v>
      </c>
      <c r="C38" s="106"/>
      <c r="D38" s="91">
        <f>D39-"0:15"</f>
        <v>0.677083333333333</v>
      </c>
      <c r="E38" s="92" t="s">
        <v>31</v>
      </c>
    </row>
    <row r="39" ht="15" customHeight="1" spans="1:5">
      <c r="A39" s="91">
        <f>B32</f>
        <v>0.6875</v>
      </c>
      <c r="B39" s="92" t="s">
        <v>32</v>
      </c>
      <c r="C39" s="106"/>
      <c r="D39" s="91">
        <f>E32</f>
        <v>0.6875</v>
      </c>
      <c r="E39" s="92" t="s">
        <v>32</v>
      </c>
    </row>
    <row r="40" ht="15" customHeight="1" spans="1:5">
      <c r="A40" s="107"/>
      <c r="B40" s="108"/>
      <c r="C40" s="109"/>
      <c r="D40" s="103"/>
      <c r="E40" s="104"/>
    </row>
    <row r="41" ht="20" customHeight="1" spans="1:5">
      <c r="A41" s="88" t="s">
        <v>39</v>
      </c>
      <c r="B41" s="88"/>
      <c r="C41" s="80"/>
      <c r="D41" s="88" t="s">
        <v>40</v>
      </c>
      <c r="E41" s="88"/>
    </row>
    <row r="42" ht="20" customHeight="1" spans="1:5">
      <c r="A42" s="88">
        <v>0.708333333333333</v>
      </c>
      <c r="B42" s="89">
        <v>0.75</v>
      </c>
      <c r="C42" s="105"/>
      <c r="D42" s="88">
        <v>0.708333333333333</v>
      </c>
      <c r="E42" s="89">
        <v>0.75</v>
      </c>
    </row>
    <row r="43" ht="15" customHeight="1" spans="1:5">
      <c r="A43" s="91">
        <f>A42-"0:20"</f>
        <v>0.694444444444445</v>
      </c>
      <c r="B43" s="92" t="s">
        <v>26</v>
      </c>
      <c r="C43" s="106"/>
      <c r="D43" s="91">
        <f>D42-"0:20"</f>
        <v>0.694444444444445</v>
      </c>
      <c r="E43" s="92" t="s">
        <v>26</v>
      </c>
    </row>
    <row r="44" ht="15" customHeight="1" spans="1:5">
      <c r="A44" s="91">
        <f>A43+"0:05"</f>
        <v>0.697916666666667</v>
      </c>
      <c r="B44" s="92" t="s">
        <v>27</v>
      </c>
      <c r="C44" s="106"/>
      <c r="D44" s="91">
        <f>D43+"0:05"</f>
        <v>0.697916666666667</v>
      </c>
      <c r="E44" s="92" t="s">
        <v>27</v>
      </c>
    </row>
    <row r="45" ht="15" customHeight="1" spans="1:5">
      <c r="A45" s="91">
        <f>A44+"0:05"</f>
        <v>0.701388888888889</v>
      </c>
      <c r="B45" s="92" t="s">
        <v>28</v>
      </c>
      <c r="C45" s="106"/>
      <c r="D45" s="91">
        <f>D44+"0:05"</f>
        <v>0.701388888888889</v>
      </c>
      <c r="E45" s="92" t="s">
        <v>28</v>
      </c>
    </row>
    <row r="46" ht="15" customHeight="1" spans="1:5">
      <c r="A46" s="91">
        <f>A45+"0:05"</f>
        <v>0.704861111111111</v>
      </c>
      <c r="B46" s="92" t="s">
        <v>29</v>
      </c>
      <c r="C46" s="106"/>
      <c r="D46" s="91">
        <f>D45+"0:05"</f>
        <v>0.704861111111111</v>
      </c>
      <c r="E46" s="92" t="s">
        <v>29</v>
      </c>
    </row>
    <row r="47" ht="15" customHeight="1" spans="1:5">
      <c r="A47" s="91">
        <f>A46+"0:05"</f>
        <v>0.708333333333333</v>
      </c>
      <c r="B47" s="92" t="s">
        <v>30</v>
      </c>
      <c r="C47" s="106"/>
      <c r="D47" s="91">
        <f>D46+"0:05"</f>
        <v>0.708333333333333</v>
      </c>
      <c r="E47" s="92" t="s">
        <v>30</v>
      </c>
    </row>
    <row r="48" ht="15" customHeight="1" spans="1:5">
      <c r="A48" s="91">
        <f>A49-"0:15"</f>
        <v>0.739583333333333</v>
      </c>
      <c r="B48" s="92" t="s">
        <v>31</v>
      </c>
      <c r="C48" s="106"/>
      <c r="D48" s="91">
        <f>D49-"0:15"</f>
        <v>0.739583333333333</v>
      </c>
      <c r="E48" s="92" t="s">
        <v>31</v>
      </c>
    </row>
    <row r="49" ht="15" customHeight="1" spans="1:5">
      <c r="A49" s="91">
        <f>B42</f>
        <v>0.75</v>
      </c>
      <c r="B49" s="92" t="s">
        <v>32</v>
      </c>
      <c r="C49" s="106"/>
      <c r="D49" s="91">
        <f>E42</f>
        <v>0.75</v>
      </c>
      <c r="E49" s="92" t="s">
        <v>32</v>
      </c>
    </row>
    <row r="50" ht="15" customHeight="1"/>
  </sheetData>
  <mergeCells count="13">
    <mergeCell ref="A1:E1"/>
    <mergeCell ref="A2:B2"/>
    <mergeCell ref="D2:E2"/>
    <mergeCell ref="A3:E3"/>
    <mergeCell ref="A4:E4"/>
    <mergeCell ref="A6:B6"/>
    <mergeCell ref="D6:E6"/>
    <mergeCell ref="A21:B21"/>
    <mergeCell ref="D21:E21"/>
    <mergeCell ref="A31:B31"/>
    <mergeCell ref="D31:E31"/>
    <mergeCell ref="A41:B41"/>
    <mergeCell ref="D41:E41"/>
  </mergeCells>
  <pageMargins left="0.7" right="0.7" top="0.75" bottom="0.75" header="0.3" footer="0.3"/>
  <pageSetup paperSize="9" scale="9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>
    <pageSetUpPr fitToPage="1"/>
  </sheetPr>
  <dimension ref="A1:AO62"/>
  <sheetViews>
    <sheetView tabSelected="1" zoomScale="85" zoomScaleNormal="85" workbookViewId="0">
      <pane ySplit="3" topLeftCell="A4" activePane="bottomLeft" state="frozen"/>
      <selection/>
      <selection pane="bottomLeft" activeCell="A1" sqref="A1:O1"/>
    </sheetView>
  </sheetViews>
  <sheetFormatPr defaultColWidth="9" defaultRowHeight="14.25"/>
  <cols>
    <col min="1" max="1" width="9.88333333333333" style="24" customWidth="1"/>
    <col min="2" max="2" width="5.63333333333333" style="24" customWidth="1"/>
    <col min="3" max="8" width="7.625" style="25" customWidth="1"/>
    <col min="9" max="9" width="14.625" style="25" customWidth="1"/>
    <col min="10" max="11" width="7.625" style="25" customWidth="1"/>
    <col min="12" max="12" width="14.625" style="25" customWidth="1"/>
    <col min="13" max="14" width="7.625" style="25" customWidth="1"/>
    <col min="15" max="15" width="14.625" style="25" customWidth="1"/>
    <col min="16" max="16" width="13.5" style="25" customWidth="1"/>
    <col min="17" max="17" width="10.6333333333333" style="46" customWidth="1"/>
    <col min="18" max="19" width="8.63333333333333" style="46" customWidth="1"/>
    <col min="20" max="27" width="8.63333333333333" style="47" customWidth="1"/>
    <col min="28" max="31" width="9" style="24"/>
    <col min="32" max="32" width="11.25" style="24" customWidth="1"/>
    <col min="33" max="33" width="18.8833333333333" style="24" customWidth="1"/>
    <col min="34" max="34" width="16.6333333333333" style="24" customWidth="1"/>
    <col min="35" max="35" width="23.25" style="24" customWidth="1"/>
    <col min="36" max="36" width="9" style="24"/>
    <col min="37" max="37" width="15.1333333333333" style="26" customWidth="1"/>
    <col min="38" max="16384" width="9" style="26"/>
  </cols>
  <sheetData>
    <row r="1" ht="27.75" spans="1:27">
      <c r="A1" s="27" t="str">
        <f>巡视!$A$1&amp;"监考安排"</f>
        <v>2025-2026学年高二第一学期期中考监考安排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54"/>
      <c r="Q1" s="58" t="b">
        <f>IF(COUNTIF(T4:AA53,"&gt;1")&gt;0,FALSE,TRUE)</f>
        <v>1</v>
      </c>
      <c r="R1" s="58"/>
      <c r="S1" s="58"/>
      <c r="T1" s="58" t="s">
        <v>18</v>
      </c>
      <c r="U1" s="58"/>
      <c r="V1" s="58"/>
      <c r="W1" s="58"/>
      <c r="X1" s="58" t="s">
        <v>19</v>
      </c>
      <c r="Y1" s="58"/>
      <c r="Z1" s="58"/>
      <c r="AA1" s="58"/>
    </row>
    <row r="2" ht="28.5" customHeight="1" spans="1:27">
      <c r="A2" s="48" t="s">
        <v>41</v>
      </c>
      <c r="B2" s="48" t="s">
        <v>42</v>
      </c>
      <c r="C2" s="49" t="s">
        <v>18</v>
      </c>
      <c r="D2" s="49"/>
      <c r="E2" s="49"/>
      <c r="F2" s="49"/>
      <c r="G2" s="49"/>
      <c r="H2" s="49"/>
      <c r="I2" s="55"/>
      <c r="J2" s="49" t="s">
        <v>19</v>
      </c>
      <c r="K2" s="49"/>
      <c r="L2" s="49"/>
      <c r="M2" s="49"/>
      <c r="N2" s="49"/>
      <c r="O2" s="55"/>
      <c r="P2" s="56"/>
      <c r="Q2" s="60"/>
      <c r="R2" s="71"/>
      <c r="S2" s="71"/>
      <c r="T2" s="61" t="s">
        <v>43</v>
      </c>
      <c r="U2" s="61" t="s">
        <v>44</v>
      </c>
      <c r="V2" s="61" t="s">
        <v>45</v>
      </c>
      <c r="W2" s="61" t="s">
        <v>39</v>
      </c>
      <c r="X2" s="61" t="s">
        <v>46</v>
      </c>
      <c r="Y2" s="61" t="s">
        <v>34</v>
      </c>
      <c r="Z2" s="61" t="s">
        <v>47</v>
      </c>
      <c r="AA2" s="61" t="s">
        <v>40</v>
      </c>
    </row>
    <row r="3" ht="33.75" customHeight="1" spans="1:41">
      <c r="A3" s="48"/>
      <c r="B3" s="48"/>
      <c r="C3" s="50" t="s">
        <v>48</v>
      </c>
      <c r="D3" s="50"/>
      <c r="E3" s="50" t="s">
        <v>49</v>
      </c>
      <c r="F3" s="50"/>
      <c r="G3" s="50" t="s">
        <v>50</v>
      </c>
      <c r="H3" s="50"/>
      <c r="I3" s="50" t="s">
        <v>51</v>
      </c>
      <c r="J3" s="50" t="s">
        <v>52</v>
      </c>
      <c r="K3" s="50"/>
      <c r="L3" s="50" t="s">
        <v>53</v>
      </c>
      <c r="M3" s="50" t="s">
        <v>54</v>
      </c>
      <c r="N3" s="50"/>
      <c r="O3" s="50" t="s">
        <v>55</v>
      </c>
      <c r="P3" s="57"/>
      <c r="Q3" s="58" t="s">
        <v>56</v>
      </c>
      <c r="R3" s="59" t="s">
        <v>57</v>
      </c>
      <c r="S3" s="60" t="s">
        <v>58</v>
      </c>
      <c r="T3" s="61" t="s">
        <v>59</v>
      </c>
      <c r="U3" s="61" t="s">
        <v>60</v>
      </c>
      <c r="V3" s="61" t="s">
        <v>61</v>
      </c>
      <c r="W3" s="61" t="s">
        <v>62</v>
      </c>
      <c r="X3" s="61" t="s">
        <v>63</v>
      </c>
      <c r="Y3" s="61" t="s">
        <v>64</v>
      </c>
      <c r="Z3" s="61" t="s">
        <v>61</v>
      </c>
      <c r="AA3" s="61" t="s">
        <v>62</v>
      </c>
      <c r="AC3" s="68"/>
      <c r="AD3" s="68" t="s">
        <v>65</v>
      </c>
      <c r="AE3" s="68" t="s">
        <v>66</v>
      </c>
      <c r="AF3" s="68" t="s">
        <v>67</v>
      </c>
      <c r="AG3" s="68" t="s">
        <v>68</v>
      </c>
      <c r="AH3" s="68" t="s">
        <v>69</v>
      </c>
      <c r="AI3" s="68" t="s">
        <v>70</v>
      </c>
      <c r="AK3" s="24" t="s">
        <v>71</v>
      </c>
      <c r="AL3" s="24" t="s">
        <v>72</v>
      </c>
      <c r="AM3" s="24">
        <f>20*45</f>
        <v>900</v>
      </c>
      <c r="AN3" s="24">
        <v>50</v>
      </c>
      <c r="AO3" s="24">
        <f>AM3+AN3</f>
        <v>950</v>
      </c>
    </row>
    <row r="4" ht="20" customHeight="1" spans="1:41">
      <c r="A4" s="51" t="s">
        <v>73</v>
      </c>
      <c r="B4" s="51">
        <f>COUNTIFS(学生编排结果!$H:$H,A4)</f>
        <v>42</v>
      </c>
      <c r="C4" s="52" t="s">
        <v>74</v>
      </c>
      <c r="D4" s="62" t="s">
        <v>75</v>
      </c>
      <c r="E4" s="52" t="s">
        <v>76</v>
      </c>
      <c r="F4" s="62" t="s">
        <v>77</v>
      </c>
      <c r="G4" s="52" t="s">
        <v>78</v>
      </c>
      <c r="H4" s="62" t="s">
        <v>79</v>
      </c>
      <c r="I4" s="69" t="s">
        <v>80</v>
      </c>
      <c r="J4" s="52" t="s">
        <v>81</v>
      </c>
      <c r="K4" s="62" t="s">
        <v>76</v>
      </c>
      <c r="L4" s="70" t="s">
        <v>76</v>
      </c>
      <c r="M4" s="52" t="s">
        <v>82</v>
      </c>
      <c r="N4" s="62" t="s">
        <v>79</v>
      </c>
      <c r="O4" s="69" t="s">
        <v>83</v>
      </c>
      <c r="Q4" s="62" t="s">
        <v>84</v>
      </c>
      <c r="R4" s="59">
        <f>COUNTIFS($C$4:$O$23,Q4)</f>
        <v>5</v>
      </c>
      <c r="S4" s="60">
        <f>+T4*150+U4*75+V4*120+W4*60+X4*165+Y4*60+Z4*120+AA4*60</f>
        <v>465</v>
      </c>
      <c r="T4" s="63">
        <f>COUNTIFS($C$4:$D$23,Q4)</f>
        <v>1</v>
      </c>
      <c r="U4" s="63">
        <f>COUNTIFS($E$4:$F$23,Q4)</f>
        <v>1</v>
      </c>
      <c r="V4" s="63">
        <f>COUNTIFS($G$4:$H$23,Q4)</f>
        <v>0</v>
      </c>
      <c r="W4" s="63">
        <f>COUNTIFS($I$4:$I$23,Q4)</f>
        <v>0</v>
      </c>
      <c r="X4" s="63">
        <f>COUNTIFS($J$4:$K$23,Q4)</f>
        <v>0</v>
      </c>
      <c r="Y4" s="63">
        <f>COUNTIFS($L$4:$L$23,Q4)</f>
        <v>1</v>
      </c>
      <c r="Z4" s="63">
        <f>COUNTIFS($M$4:$N$23,Q4)</f>
        <v>1</v>
      </c>
      <c r="AA4" s="63">
        <f>COUNTIFS($O$4:$O$23,Q4)</f>
        <v>1</v>
      </c>
      <c r="AC4" s="68" t="s">
        <v>73</v>
      </c>
      <c r="AD4" s="68">
        <v>42</v>
      </c>
      <c r="AE4" s="68">
        <v>0</v>
      </c>
      <c r="AF4" s="68">
        <v>42</v>
      </c>
      <c r="AG4" s="68">
        <v>42</v>
      </c>
      <c r="AH4" s="68">
        <v>0</v>
      </c>
      <c r="AI4" s="68">
        <v>0</v>
      </c>
      <c r="AK4" s="24" t="s">
        <v>85</v>
      </c>
      <c r="AL4" s="24" t="s">
        <v>72</v>
      </c>
      <c r="AM4" s="24">
        <f>20*45</f>
        <v>900</v>
      </c>
      <c r="AN4" s="24">
        <v>50</v>
      </c>
      <c r="AO4" s="24">
        <f>AM4+AN4</f>
        <v>950</v>
      </c>
    </row>
    <row r="5" ht="20" customHeight="1" spans="1:41">
      <c r="A5" s="51" t="s">
        <v>86</v>
      </c>
      <c r="B5" s="51">
        <f>COUNTIFS(学生编排结果!$H:$H,A5)</f>
        <v>42</v>
      </c>
      <c r="C5" s="52" t="s">
        <v>87</v>
      </c>
      <c r="D5" s="62"/>
      <c r="E5" s="52" t="s">
        <v>88</v>
      </c>
      <c r="F5" s="62"/>
      <c r="G5" s="52" t="s">
        <v>89</v>
      </c>
      <c r="H5" s="62"/>
      <c r="I5" s="69" t="s">
        <v>90</v>
      </c>
      <c r="J5" s="52" t="s">
        <v>91</v>
      </c>
      <c r="K5" s="62"/>
      <c r="L5" s="70" t="s">
        <v>92</v>
      </c>
      <c r="M5" s="52" t="s">
        <v>89</v>
      </c>
      <c r="N5" s="62"/>
      <c r="O5" s="69" t="s">
        <v>12</v>
      </c>
      <c r="Q5" s="64" t="s">
        <v>93</v>
      </c>
      <c r="R5" s="59">
        <f t="shared" ref="R5:R36" si="0">COUNTIFS($C$4:$O$23,Q5)</f>
        <v>5</v>
      </c>
      <c r="S5" s="60">
        <f t="shared" ref="S5:S36" si="1">+T5*150+U5*75+V5*120+W5*60+X5*165+Y5*60+Z5*120+AA5*60</f>
        <v>465</v>
      </c>
      <c r="T5" s="63">
        <f>COUNTIFS($C$4:$D$23,Q5)</f>
        <v>1</v>
      </c>
      <c r="U5" s="63">
        <f t="shared" ref="U4:U53" si="2">COUNTIFS($E$4:$F$23,Q5)</f>
        <v>1</v>
      </c>
      <c r="V5" s="63">
        <f t="shared" ref="V4:V53" si="3">COUNTIFS($G$4:$H$23,Q5)</f>
        <v>0</v>
      </c>
      <c r="W5" s="63">
        <f t="shared" ref="W4:W53" si="4">COUNTIFS($I$4:$I$23,Q5)</f>
        <v>0</v>
      </c>
      <c r="X5" s="63">
        <f t="shared" ref="X4:X53" si="5">COUNTIFS($J$4:$K$23,Q5)</f>
        <v>0</v>
      </c>
      <c r="Y5" s="63">
        <f t="shared" ref="Y4:Y53" si="6">COUNTIFS($L$4:$L$23,Q5)</f>
        <v>1</v>
      </c>
      <c r="Z5" s="63">
        <f t="shared" ref="Z5:Z36" si="7">COUNTIFS($M$4:$N$23,Q5)</f>
        <v>1</v>
      </c>
      <c r="AA5" s="63">
        <f t="shared" ref="AA5:AA36" si="8">COUNTIFS($O$4:$O$23,Q5)</f>
        <v>1</v>
      </c>
      <c r="AC5" s="68" t="s">
        <v>86</v>
      </c>
      <c r="AD5" s="68">
        <v>42</v>
      </c>
      <c r="AE5" s="68">
        <v>0</v>
      </c>
      <c r="AF5" s="68">
        <v>42</v>
      </c>
      <c r="AG5" s="68">
        <v>42</v>
      </c>
      <c r="AH5" s="68">
        <v>0</v>
      </c>
      <c r="AI5" s="68">
        <v>0</v>
      </c>
      <c r="AK5" s="24" t="s">
        <v>94</v>
      </c>
      <c r="AL5" s="24" t="s">
        <v>72</v>
      </c>
      <c r="AM5" s="24">
        <f>20*45</f>
        <v>900</v>
      </c>
      <c r="AN5" s="24">
        <v>50</v>
      </c>
      <c r="AO5" s="24">
        <f>AM5+AN5</f>
        <v>950</v>
      </c>
    </row>
    <row r="6" ht="20" customHeight="1" spans="1:41">
      <c r="A6" s="51" t="s">
        <v>95</v>
      </c>
      <c r="B6" s="51">
        <f>COUNTIFS(学生编排结果!$H:$H,A6)</f>
        <v>42</v>
      </c>
      <c r="C6" s="52" t="s">
        <v>83</v>
      </c>
      <c r="D6" s="62" t="s">
        <v>96</v>
      </c>
      <c r="E6" s="52" t="s">
        <v>97</v>
      </c>
      <c r="F6" s="62" t="s">
        <v>98</v>
      </c>
      <c r="G6" s="52" t="s">
        <v>99</v>
      </c>
      <c r="H6" s="62" t="s">
        <v>100</v>
      </c>
      <c r="I6" s="69" t="s">
        <v>74</v>
      </c>
      <c r="J6" s="52" t="s">
        <v>87</v>
      </c>
      <c r="K6" s="62" t="s">
        <v>101</v>
      </c>
      <c r="L6" s="70" t="s">
        <v>81</v>
      </c>
      <c r="M6" s="52" t="s">
        <v>99</v>
      </c>
      <c r="N6" s="62" t="s">
        <v>100</v>
      </c>
      <c r="O6" s="69" t="s">
        <v>93</v>
      </c>
      <c r="Q6" s="64" t="s">
        <v>74</v>
      </c>
      <c r="R6" s="59">
        <f t="shared" si="0"/>
        <v>5</v>
      </c>
      <c r="S6" s="60">
        <f t="shared" si="1"/>
        <v>465</v>
      </c>
      <c r="T6" s="63">
        <f t="shared" ref="T4:T53" si="9">COUNTIFS($C$4:$D$23,Q6)</f>
        <v>1</v>
      </c>
      <c r="U6" s="63">
        <f t="shared" si="2"/>
        <v>1</v>
      </c>
      <c r="V6" s="63">
        <f t="shared" si="3"/>
        <v>1</v>
      </c>
      <c r="W6" s="63">
        <f t="shared" si="4"/>
        <v>1</v>
      </c>
      <c r="X6" s="63">
        <f t="shared" si="5"/>
        <v>0</v>
      </c>
      <c r="Y6" s="63">
        <f t="shared" si="6"/>
        <v>1</v>
      </c>
      <c r="Z6" s="63">
        <f t="shared" si="7"/>
        <v>0</v>
      </c>
      <c r="AA6" s="63">
        <f t="shared" si="8"/>
        <v>0</v>
      </c>
      <c r="AC6" s="68" t="s">
        <v>95</v>
      </c>
      <c r="AD6" s="68">
        <v>42</v>
      </c>
      <c r="AE6" s="68">
        <v>0</v>
      </c>
      <c r="AF6" s="68">
        <v>42</v>
      </c>
      <c r="AG6" s="68">
        <v>42</v>
      </c>
      <c r="AH6" s="68">
        <v>0</v>
      </c>
      <c r="AI6" s="68">
        <v>0</v>
      </c>
      <c r="AK6" s="24" t="s">
        <v>102</v>
      </c>
      <c r="AL6" s="24" t="s">
        <v>103</v>
      </c>
      <c r="AM6" s="24">
        <f>15*45</f>
        <v>675</v>
      </c>
      <c r="AN6" s="24">
        <v>50</v>
      </c>
      <c r="AO6" s="24">
        <f>AM6+AN6</f>
        <v>725</v>
      </c>
    </row>
    <row r="7" ht="20" customHeight="1" spans="1:41">
      <c r="A7" s="51" t="s">
        <v>104</v>
      </c>
      <c r="B7" s="51">
        <f>COUNTIFS(学生编排结果!$H:$H,A7)</f>
        <v>42</v>
      </c>
      <c r="C7" s="52" t="s">
        <v>91</v>
      </c>
      <c r="D7" s="62"/>
      <c r="E7" s="52" t="s">
        <v>105</v>
      </c>
      <c r="F7" s="62"/>
      <c r="G7" s="52" t="s">
        <v>106</v>
      </c>
      <c r="H7" s="62"/>
      <c r="I7" s="69" t="s">
        <v>75</v>
      </c>
      <c r="J7" s="52" t="s">
        <v>92</v>
      </c>
      <c r="K7" s="62"/>
      <c r="L7" s="70" t="s">
        <v>77</v>
      </c>
      <c r="M7" s="52" t="s">
        <v>106</v>
      </c>
      <c r="N7" s="62"/>
      <c r="O7" s="69" t="s">
        <v>107</v>
      </c>
      <c r="Q7" s="64" t="s">
        <v>75</v>
      </c>
      <c r="R7" s="59">
        <f t="shared" si="0"/>
        <v>5</v>
      </c>
      <c r="S7" s="60">
        <f t="shared" si="1"/>
        <v>465</v>
      </c>
      <c r="T7" s="63">
        <f t="shared" si="9"/>
        <v>1</v>
      </c>
      <c r="U7" s="63">
        <f t="shared" si="2"/>
        <v>1</v>
      </c>
      <c r="V7" s="63">
        <f t="shared" si="3"/>
        <v>1</v>
      </c>
      <c r="W7" s="63">
        <f t="shared" si="4"/>
        <v>1</v>
      </c>
      <c r="X7" s="63">
        <f t="shared" si="5"/>
        <v>0</v>
      </c>
      <c r="Y7" s="63">
        <f t="shared" si="6"/>
        <v>1</v>
      </c>
      <c r="Z7" s="63">
        <f t="shared" si="7"/>
        <v>0</v>
      </c>
      <c r="AA7" s="63">
        <f t="shared" si="8"/>
        <v>0</v>
      </c>
      <c r="AC7" s="68" t="s">
        <v>104</v>
      </c>
      <c r="AD7" s="68">
        <v>42</v>
      </c>
      <c r="AE7" s="68">
        <v>0</v>
      </c>
      <c r="AF7" s="68">
        <v>42</v>
      </c>
      <c r="AG7" s="68">
        <v>42</v>
      </c>
      <c r="AH7" s="68">
        <v>0</v>
      </c>
      <c r="AI7" s="68">
        <v>0</v>
      </c>
      <c r="AK7" s="24" t="s">
        <v>108</v>
      </c>
      <c r="AL7" s="24" t="s">
        <v>109</v>
      </c>
      <c r="AM7" s="24">
        <f>5*45</f>
        <v>225</v>
      </c>
      <c r="AN7" s="24">
        <v>25</v>
      </c>
      <c r="AO7" s="24">
        <f>AM7+AN7</f>
        <v>250</v>
      </c>
    </row>
    <row r="8" ht="20" customHeight="1" spans="1:41">
      <c r="A8" s="51" t="s">
        <v>110</v>
      </c>
      <c r="B8" s="51">
        <f>COUNTIFS(学生编排结果!$H:$H,A8)</f>
        <v>42</v>
      </c>
      <c r="C8" s="52" t="s">
        <v>84</v>
      </c>
      <c r="D8" s="62" t="s">
        <v>101</v>
      </c>
      <c r="E8" s="52" t="s">
        <v>111</v>
      </c>
      <c r="F8" s="62" t="s">
        <v>83</v>
      </c>
      <c r="G8" s="52" t="s">
        <v>112</v>
      </c>
      <c r="H8" s="62" t="s">
        <v>113</v>
      </c>
      <c r="I8" s="69" t="s">
        <v>114</v>
      </c>
      <c r="J8" s="52" t="s">
        <v>77</v>
      </c>
      <c r="K8" s="62" t="s">
        <v>88</v>
      </c>
      <c r="L8" s="70" t="s">
        <v>88</v>
      </c>
      <c r="M8" s="52" t="s">
        <v>113</v>
      </c>
      <c r="N8" s="62" t="s">
        <v>115</v>
      </c>
      <c r="O8" s="69" t="s">
        <v>84</v>
      </c>
      <c r="Q8" s="64" t="s">
        <v>114</v>
      </c>
      <c r="R8" s="59">
        <f t="shared" si="0"/>
        <v>5</v>
      </c>
      <c r="S8" s="60">
        <f t="shared" si="1"/>
        <v>450</v>
      </c>
      <c r="T8" s="63">
        <f t="shared" si="9"/>
        <v>1</v>
      </c>
      <c r="U8" s="63">
        <f t="shared" si="2"/>
        <v>0</v>
      </c>
      <c r="V8" s="63">
        <f t="shared" si="3"/>
        <v>0</v>
      </c>
      <c r="W8" s="63">
        <f t="shared" si="4"/>
        <v>1</v>
      </c>
      <c r="X8" s="63">
        <f t="shared" si="5"/>
        <v>0</v>
      </c>
      <c r="Y8" s="63">
        <f t="shared" si="6"/>
        <v>1</v>
      </c>
      <c r="Z8" s="63">
        <f t="shared" si="7"/>
        <v>1</v>
      </c>
      <c r="AA8" s="63">
        <f t="shared" si="8"/>
        <v>1</v>
      </c>
      <c r="AC8" s="68" t="s">
        <v>110</v>
      </c>
      <c r="AD8" s="68">
        <v>42</v>
      </c>
      <c r="AE8" s="68">
        <v>0</v>
      </c>
      <c r="AF8" s="68">
        <v>42</v>
      </c>
      <c r="AG8" s="68">
        <v>42</v>
      </c>
      <c r="AH8" s="68">
        <v>0</v>
      </c>
      <c r="AI8" s="68">
        <v>0</v>
      </c>
      <c r="AK8" s="24" t="s">
        <v>116</v>
      </c>
      <c r="AL8" s="24" t="s">
        <v>117</v>
      </c>
      <c r="AM8" s="24">
        <f>16*45</f>
        <v>720</v>
      </c>
      <c r="AN8" s="24">
        <v>0</v>
      </c>
      <c r="AO8" s="24">
        <f t="shared" ref="AO8:AO14" si="10">AM8+AN8</f>
        <v>720</v>
      </c>
    </row>
    <row r="9" ht="20" customHeight="1" spans="1:41">
      <c r="A9" s="51" t="s">
        <v>118</v>
      </c>
      <c r="B9" s="51">
        <f>COUNTIFS(学生编排结果!$H:$H,A9)</f>
        <v>42</v>
      </c>
      <c r="C9" s="52" t="s">
        <v>119</v>
      </c>
      <c r="D9" s="62"/>
      <c r="E9" s="52" t="s">
        <v>84</v>
      </c>
      <c r="F9" s="62"/>
      <c r="G9" s="52" t="s">
        <v>115</v>
      </c>
      <c r="H9" s="62"/>
      <c r="I9" s="69" t="s">
        <v>88</v>
      </c>
      <c r="J9" s="52" t="s">
        <v>98</v>
      </c>
      <c r="K9" s="62"/>
      <c r="L9" s="70" t="s">
        <v>98</v>
      </c>
      <c r="M9" s="52" t="s">
        <v>120</v>
      </c>
      <c r="N9" s="62"/>
      <c r="O9" s="69" t="s">
        <v>120</v>
      </c>
      <c r="Q9" s="65" t="s">
        <v>96</v>
      </c>
      <c r="R9" s="67">
        <f t="shared" si="0"/>
        <v>3</v>
      </c>
      <c r="S9" s="72">
        <f t="shared" si="1"/>
        <v>345</v>
      </c>
      <c r="T9" s="63">
        <f t="shared" si="9"/>
        <v>1</v>
      </c>
      <c r="U9" s="63">
        <f t="shared" si="2"/>
        <v>1</v>
      </c>
      <c r="V9" s="63">
        <f t="shared" si="3"/>
        <v>0</v>
      </c>
      <c r="W9" s="63">
        <f t="shared" si="4"/>
        <v>0</v>
      </c>
      <c r="X9" s="63">
        <f t="shared" si="5"/>
        <v>0</v>
      </c>
      <c r="Y9" s="63">
        <f t="shared" si="6"/>
        <v>0</v>
      </c>
      <c r="Z9" s="63">
        <f t="shared" si="7"/>
        <v>1</v>
      </c>
      <c r="AA9" s="63">
        <f t="shared" si="8"/>
        <v>0</v>
      </c>
      <c r="AC9" s="68" t="s">
        <v>118</v>
      </c>
      <c r="AD9" s="68">
        <v>42</v>
      </c>
      <c r="AE9" s="68">
        <v>0</v>
      </c>
      <c r="AF9" s="68">
        <v>42</v>
      </c>
      <c r="AG9" s="68">
        <v>42</v>
      </c>
      <c r="AH9" s="68">
        <v>0</v>
      </c>
      <c r="AI9" s="68">
        <v>0</v>
      </c>
      <c r="AK9" s="24" t="s">
        <v>121</v>
      </c>
      <c r="AL9" s="24" t="s">
        <v>122</v>
      </c>
      <c r="AM9" s="24">
        <f>12*45</f>
        <v>540</v>
      </c>
      <c r="AN9" s="24">
        <v>0</v>
      </c>
      <c r="AO9" s="24">
        <f t="shared" si="10"/>
        <v>540</v>
      </c>
    </row>
    <row r="10" ht="20" customHeight="1" spans="1:41">
      <c r="A10" s="51" t="s">
        <v>123</v>
      </c>
      <c r="B10" s="51">
        <f>COUNTIFS(学生编排结果!$H:$H,A10)</f>
        <v>42</v>
      </c>
      <c r="C10" s="52" t="s">
        <v>124</v>
      </c>
      <c r="D10" s="62" t="s">
        <v>81</v>
      </c>
      <c r="E10" s="52" t="s">
        <v>93</v>
      </c>
      <c r="F10" s="62" t="s">
        <v>125</v>
      </c>
      <c r="G10" s="52" t="s">
        <v>125</v>
      </c>
      <c r="H10" s="62" t="s">
        <v>126</v>
      </c>
      <c r="I10" s="69" t="s">
        <v>127</v>
      </c>
      <c r="J10" s="52" t="s">
        <v>12</v>
      </c>
      <c r="K10" s="62" t="s">
        <v>90</v>
      </c>
      <c r="L10" s="70" t="s">
        <v>84</v>
      </c>
      <c r="M10" s="52" t="s">
        <v>128</v>
      </c>
      <c r="N10" s="62" t="s">
        <v>129</v>
      </c>
      <c r="O10" s="69" t="s">
        <v>91</v>
      </c>
      <c r="Q10" s="62" t="s">
        <v>127</v>
      </c>
      <c r="R10" s="59">
        <f t="shared" si="0"/>
        <v>5</v>
      </c>
      <c r="S10" s="60">
        <f t="shared" si="1"/>
        <v>465</v>
      </c>
      <c r="T10" s="63">
        <f t="shared" si="9"/>
        <v>1</v>
      </c>
      <c r="U10" s="63">
        <f t="shared" si="2"/>
        <v>1</v>
      </c>
      <c r="V10" s="63">
        <f t="shared" si="3"/>
        <v>0</v>
      </c>
      <c r="W10" s="63">
        <f t="shared" si="4"/>
        <v>1</v>
      </c>
      <c r="X10" s="63">
        <f t="shared" si="5"/>
        <v>0</v>
      </c>
      <c r="Y10" s="63">
        <f t="shared" si="6"/>
        <v>1</v>
      </c>
      <c r="Z10" s="63">
        <f t="shared" si="7"/>
        <v>1</v>
      </c>
      <c r="AA10" s="63">
        <f t="shared" si="8"/>
        <v>0</v>
      </c>
      <c r="AC10" s="68" t="s">
        <v>123</v>
      </c>
      <c r="AD10" s="68">
        <v>42</v>
      </c>
      <c r="AE10" s="68">
        <v>0</v>
      </c>
      <c r="AF10" s="68">
        <v>42</v>
      </c>
      <c r="AG10" s="68">
        <v>42</v>
      </c>
      <c r="AH10" s="68">
        <v>0</v>
      </c>
      <c r="AI10" s="68">
        <v>0</v>
      </c>
      <c r="AK10" s="24" t="s">
        <v>130</v>
      </c>
      <c r="AL10" s="24" t="s">
        <v>131</v>
      </c>
      <c r="AM10" s="24">
        <f>8*45</f>
        <v>360</v>
      </c>
      <c r="AN10" s="24">
        <v>0</v>
      </c>
      <c r="AO10" s="24">
        <f t="shared" si="10"/>
        <v>360</v>
      </c>
    </row>
    <row r="11" ht="20" customHeight="1" spans="1:41">
      <c r="A11" s="51" t="s">
        <v>132</v>
      </c>
      <c r="B11" s="51">
        <f>COUNTIFS(学生编排结果!$H:$H,A11)</f>
        <v>42</v>
      </c>
      <c r="C11" s="52" t="s">
        <v>127</v>
      </c>
      <c r="D11" s="62"/>
      <c r="E11" s="52" t="s">
        <v>126</v>
      </c>
      <c r="F11" s="62"/>
      <c r="G11" s="52" t="s">
        <v>120</v>
      </c>
      <c r="H11" s="62"/>
      <c r="I11" s="69" t="s">
        <v>133</v>
      </c>
      <c r="J11" s="52" t="s">
        <v>134</v>
      </c>
      <c r="K11" s="62"/>
      <c r="L11" s="70" t="s">
        <v>93</v>
      </c>
      <c r="M11" s="52" t="s">
        <v>119</v>
      </c>
      <c r="N11" s="62"/>
      <c r="O11" s="69" t="s">
        <v>87</v>
      </c>
      <c r="Q11" s="62" t="s">
        <v>133</v>
      </c>
      <c r="R11" s="59">
        <f t="shared" si="0"/>
        <v>5</v>
      </c>
      <c r="S11" s="60">
        <f t="shared" si="1"/>
        <v>465</v>
      </c>
      <c r="T11" s="63">
        <f t="shared" si="9"/>
        <v>1</v>
      </c>
      <c r="U11" s="63">
        <f t="shared" si="2"/>
        <v>1</v>
      </c>
      <c r="V11" s="63">
        <f t="shared" si="3"/>
        <v>0</v>
      </c>
      <c r="W11" s="63">
        <f t="shared" si="4"/>
        <v>1</v>
      </c>
      <c r="X11" s="63">
        <f t="shared" si="5"/>
        <v>0</v>
      </c>
      <c r="Y11" s="63">
        <f t="shared" si="6"/>
        <v>1</v>
      </c>
      <c r="Z11" s="63">
        <f t="shared" si="7"/>
        <v>1</v>
      </c>
      <c r="AA11" s="63">
        <f t="shared" si="8"/>
        <v>0</v>
      </c>
      <c r="AC11" s="68" t="s">
        <v>132</v>
      </c>
      <c r="AD11" s="68">
        <v>42</v>
      </c>
      <c r="AE11" s="68">
        <v>0</v>
      </c>
      <c r="AF11" s="68">
        <v>42</v>
      </c>
      <c r="AG11" s="68">
        <v>42</v>
      </c>
      <c r="AH11" s="68">
        <v>0</v>
      </c>
      <c r="AI11" s="68">
        <v>0</v>
      </c>
      <c r="AK11" s="24" t="s">
        <v>135</v>
      </c>
      <c r="AL11" s="24" t="s">
        <v>136</v>
      </c>
      <c r="AM11" s="24">
        <f>7*45</f>
        <v>315</v>
      </c>
      <c r="AN11" s="24"/>
      <c r="AO11" s="24">
        <f t="shared" si="10"/>
        <v>315</v>
      </c>
    </row>
    <row r="12" ht="20" customHeight="1" spans="1:41">
      <c r="A12" s="51" t="s">
        <v>137</v>
      </c>
      <c r="B12" s="51">
        <f>COUNTIFS(学生编排结果!$H:$H,A12)</f>
        <v>42</v>
      </c>
      <c r="C12" s="52" t="s">
        <v>133</v>
      </c>
      <c r="D12" s="62" t="s">
        <v>76</v>
      </c>
      <c r="E12" s="52" t="s">
        <v>120</v>
      </c>
      <c r="F12" s="62" t="s">
        <v>91</v>
      </c>
      <c r="G12" s="52" t="s">
        <v>138</v>
      </c>
      <c r="H12" s="62" t="s">
        <v>139</v>
      </c>
      <c r="I12" s="69" t="s">
        <v>112</v>
      </c>
      <c r="J12" s="52" t="s">
        <v>107</v>
      </c>
      <c r="K12" s="62" t="s">
        <v>80</v>
      </c>
      <c r="L12" s="70" t="s">
        <v>74</v>
      </c>
      <c r="M12" s="52" t="s">
        <v>90</v>
      </c>
      <c r="N12" s="62" t="s">
        <v>140</v>
      </c>
      <c r="O12" s="69" t="s">
        <v>101</v>
      </c>
      <c r="Q12" s="65" t="s">
        <v>112</v>
      </c>
      <c r="R12" s="59">
        <f t="shared" si="0"/>
        <v>4</v>
      </c>
      <c r="S12" s="60">
        <f t="shared" si="1"/>
        <v>465</v>
      </c>
      <c r="T12" s="65">
        <f t="shared" si="9"/>
        <v>0</v>
      </c>
      <c r="U12" s="65">
        <f t="shared" si="2"/>
        <v>0</v>
      </c>
      <c r="V12" s="63">
        <f t="shared" si="3"/>
        <v>1</v>
      </c>
      <c r="W12" s="63">
        <f t="shared" si="4"/>
        <v>1</v>
      </c>
      <c r="X12" s="63">
        <f t="shared" si="5"/>
        <v>1</v>
      </c>
      <c r="Y12" s="63">
        <f t="shared" si="6"/>
        <v>0</v>
      </c>
      <c r="Z12" s="63">
        <f t="shared" si="7"/>
        <v>1</v>
      </c>
      <c r="AA12" s="63">
        <f t="shared" si="8"/>
        <v>0</v>
      </c>
      <c r="AC12" s="68" t="s">
        <v>137</v>
      </c>
      <c r="AD12" s="68">
        <v>42</v>
      </c>
      <c r="AE12" s="68">
        <v>0</v>
      </c>
      <c r="AF12" s="68">
        <v>42</v>
      </c>
      <c r="AG12" s="68">
        <v>42</v>
      </c>
      <c r="AH12" s="68">
        <v>0</v>
      </c>
      <c r="AI12" s="68">
        <v>0</v>
      </c>
      <c r="AK12" s="24"/>
      <c r="AL12" s="24"/>
      <c r="AM12" s="24"/>
      <c r="AN12" s="24"/>
      <c r="AO12" s="24"/>
    </row>
    <row r="13" ht="20" customHeight="1" spans="1:41">
      <c r="A13" s="51" t="s">
        <v>141</v>
      </c>
      <c r="B13" s="51">
        <f>COUNTIFS(学生编排结果!$H:$H,A13)</f>
        <v>42</v>
      </c>
      <c r="C13" s="52" t="s">
        <v>142</v>
      </c>
      <c r="D13" s="62"/>
      <c r="E13" s="52" t="s">
        <v>87</v>
      </c>
      <c r="F13" s="62"/>
      <c r="G13" s="52" t="s">
        <v>134</v>
      </c>
      <c r="H13" s="62"/>
      <c r="I13" s="69" t="s">
        <v>142</v>
      </c>
      <c r="J13" s="52" t="s">
        <v>143</v>
      </c>
      <c r="K13" s="62"/>
      <c r="L13" s="70" t="s">
        <v>75</v>
      </c>
      <c r="M13" s="52" t="s">
        <v>93</v>
      </c>
      <c r="N13" s="62"/>
      <c r="O13" s="69" t="s">
        <v>119</v>
      </c>
      <c r="Q13" s="62" t="s">
        <v>142</v>
      </c>
      <c r="R13" s="59">
        <f t="shared" si="0"/>
        <v>5</v>
      </c>
      <c r="S13" s="60">
        <f t="shared" si="1"/>
        <v>465</v>
      </c>
      <c r="T13" s="63">
        <f t="shared" si="9"/>
        <v>1</v>
      </c>
      <c r="U13" s="63">
        <f t="shared" si="2"/>
        <v>1</v>
      </c>
      <c r="V13" s="63">
        <f t="shared" si="3"/>
        <v>0</v>
      </c>
      <c r="W13" s="63">
        <f t="shared" si="4"/>
        <v>1</v>
      </c>
      <c r="X13" s="63">
        <f t="shared" si="5"/>
        <v>0</v>
      </c>
      <c r="Y13" s="63">
        <f t="shared" si="6"/>
        <v>1</v>
      </c>
      <c r="Z13" s="63">
        <f t="shared" si="7"/>
        <v>1</v>
      </c>
      <c r="AA13" s="63">
        <f t="shared" si="8"/>
        <v>0</v>
      </c>
      <c r="AC13" s="73" t="s">
        <v>141</v>
      </c>
      <c r="AD13" s="73">
        <v>41</v>
      </c>
      <c r="AE13" s="73">
        <v>0</v>
      </c>
      <c r="AF13" s="73">
        <v>41</v>
      </c>
      <c r="AG13" s="73">
        <v>41</v>
      </c>
      <c r="AH13" s="73">
        <v>0</v>
      </c>
      <c r="AI13" s="73">
        <v>0</v>
      </c>
      <c r="AK13" s="24" t="s">
        <v>144</v>
      </c>
      <c r="AL13" s="24" t="s">
        <v>72</v>
      </c>
      <c r="AM13" s="24">
        <f>20*45</f>
        <v>900</v>
      </c>
      <c r="AN13" s="24">
        <v>50</v>
      </c>
      <c r="AO13" s="24">
        <f t="shared" si="10"/>
        <v>950</v>
      </c>
    </row>
    <row r="14" ht="20" customHeight="1" spans="1:41">
      <c r="A14" s="51" t="s">
        <v>145</v>
      </c>
      <c r="B14" s="51">
        <f>COUNTIFS(学生编排结果!$H:$H,A14)</f>
        <v>42</v>
      </c>
      <c r="C14" s="52" t="s">
        <v>78</v>
      </c>
      <c r="D14" s="62" t="s">
        <v>125</v>
      </c>
      <c r="E14" s="52" t="s">
        <v>78</v>
      </c>
      <c r="F14" s="62" t="s">
        <v>82</v>
      </c>
      <c r="G14" s="52" t="s">
        <v>111</v>
      </c>
      <c r="H14" s="62" t="s">
        <v>97</v>
      </c>
      <c r="I14" s="69" t="s">
        <v>139</v>
      </c>
      <c r="J14" s="52" t="s">
        <v>82</v>
      </c>
      <c r="K14" s="62" t="s">
        <v>119</v>
      </c>
      <c r="L14" s="70" t="s">
        <v>114</v>
      </c>
      <c r="M14" s="52" t="s">
        <v>12</v>
      </c>
      <c r="N14" s="62" t="s">
        <v>84</v>
      </c>
      <c r="O14" s="69" t="s">
        <v>114</v>
      </c>
      <c r="Q14" s="64" t="s">
        <v>139</v>
      </c>
      <c r="R14" s="59">
        <f t="shared" si="0"/>
        <v>5</v>
      </c>
      <c r="S14" s="60">
        <f t="shared" si="1"/>
        <v>435</v>
      </c>
      <c r="T14" s="63">
        <f t="shared" si="9"/>
        <v>0</v>
      </c>
      <c r="U14" s="63">
        <f t="shared" si="2"/>
        <v>1</v>
      </c>
      <c r="V14" s="63">
        <f t="shared" si="3"/>
        <v>1</v>
      </c>
      <c r="W14" s="63">
        <f t="shared" si="4"/>
        <v>1</v>
      </c>
      <c r="X14" s="63">
        <f t="shared" si="5"/>
        <v>0</v>
      </c>
      <c r="Y14" s="63">
        <f t="shared" si="6"/>
        <v>1</v>
      </c>
      <c r="Z14" s="63">
        <f t="shared" si="7"/>
        <v>1</v>
      </c>
      <c r="AA14" s="63">
        <f t="shared" si="8"/>
        <v>0</v>
      </c>
      <c r="AC14" s="68" t="s">
        <v>145</v>
      </c>
      <c r="AD14" s="68">
        <v>42</v>
      </c>
      <c r="AE14" s="68">
        <v>0</v>
      </c>
      <c r="AF14" s="68">
        <v>42</v>
      </c>
      <c r="AG14" s="68">
        <v>42</v>
      </c>
      <c r="AH14" s="68">
        <v>0</v>
      </c>
      <c r="AI14" s="68">
        <v>0</v>
      </c>
      <c r="AK14" s="24" t="s">
        <v>146</v>
      </c>
      <c r="AL14" s="24" t="s">
        <v>72</v>
      </c>
      <c r="AM14" s="24">
        <f>20*45</f>
        <v>900</v>
      </c>
      <c r="AN14" s="24">
        <v>50</v>
      </c>
      <c r="AO14" s="24">
        <f t="shared" si="10"/>
        <v>950</v>
      </c>
    </row>
    <row r="15" ht="20" customHeight="1" spans="1:35">
      <c r="A15" s="51" t="s">
        <v>147</v>
      </c>
      <c r="B15" s="51">
        <f>COUNTIFS(学生编排结果!$H:$H,A15)</f>
        <v>42</v>
      </c>
      <c r="C15" s="52" t="s">
        <v>126</v>
      </c>
      <c r="D15" s="62"/>
      <c r="E15" s="52" t="s">
        <v>134</v>
      </c>
      <c r="F15" s="62"/>
      <c r="G15" s="52" t="s">
        <v>75</v>
      </c>
      <c r="H15" s="62"/>
      <c r="I15" s="69" t="s">
        <v>125</v>
      </c>
      <c r="J15" s="52" t="s">
        <v>112</v>
      </c>
      <c r="K15" s="62"/>
      <c r="L15" s="70" t="s">
        <v>97</v>
      </c>
      <c r="M15" s="52" t="s">
        <v>114</v>
      </c>
      <c r="N15" s="62"/>
      <c r="O15" s="69" t="s">
        <v>134</v>
      </c>
      <c r="Q15" s="64" t="s">
        <v>125</v>
      </c>
      <c r="R15" s="59">
        <f t="shared" si="0"/>
        <v>5</v>
      </c>
      <c r="S15" s="60">
        <f t="shared" si="1"/>
        <v>465</v>
      </c>
      <c r="T15" s="63">
        <f t="shared" si="9"/>
        <v>1</v>
      </c>
      <c r="U15" s="63">
        <f t="shared" si="2"/>
        <v>1</v>
      </c>
      <c r="V15" s="63">
        <f t="shared" si="3"/>
        <v>1</v>
      </c>
      <c r="W15" s="63">
        <f t="shared" si="4"/>
        <v>1</v>
      </c>
      <c r="X15" s="63">
        <f t="shared" si="5"/>
        <v>0</v>
      </c>
      <c r="Y15" s="63">
        <f t="shared" si="6"/>
        <v>1</v>
      </c>
      <c r="Z15" s="63">
        <f t="shared" si="7"/>
        <v>0</v>
      </c>
      <c r="AA15" s="63">
        <f t="shared" si="8"/>
        <v>0</v>
      </c>
      <c r="AC15" s="68" t="s">
        <v>147</v>
      </c>
      <c r="AD15" s="68">
        <v>42</v>
      </c>
      <c r="AE15" s="68">
        <v>0</v>
      </c>
      <c r="AF15" s="68">
        <v>42</v>
      </c>
      <c r="AG15" s="68">
        <v>0</v>
      </c>
      <c r="AH15" s="68">
        <v>42</v>
      </c>
      <c r="AI15" s="68">
        <v>0</v>
      </c>
    </row>
    <row r="16" ht="20" customHeight="1" spans="1:35">
      <c r="A16" s="51" t="s">
        <v>148</v>
      </c>
      <c r="B16" s="51">
        <f>COUNTIFS(学生编排结果!$H:$H,A16)</f>
        <v>42</v>
      </c>
      <c r="C16" s="52" t="s">
        <v>100</v>
      </c>
      <c r="D16" s="62" t="s">
        <v>115</v>
      </c>
      <c r="E16" s="52" t="s">
        <v>81</v>
      </c>
      <c r="F16" s="62" t="s">
        <v>74</v>
      </c>
      <c r="G16" s="52" t="s">
        <v>88</v>
      </c>
      <c r="H16" s="62" t="s">
        <v>12</v>
      </c>
      <c r="I16" s="69" t="s">
        <v>126</v>
      </c>
      <c r="J16" s="52" t="s">
        <v>89</v>
      </c>
      <c r="K16" s="62" t="s">
        <v>99</v>
      </c>
      <c r="L16" s="70" t="s">
        <v>127</v>
      </c>
      <c r="M16" s="52" t="s">
        <v>96</v>
      </c>
      <c r="N16" s="62" t="s">
        <v>127</v>
      </c>
      <c r="O16" s="69" t="s">
        <v>124</v>
      </c>
      <c r="Q16" s="66" t="s">
        <v>126</v>
      </c>
      <c r="R16" s="59">
        <f t="shared" si="0"/>
        <v>5</v>
      </c>
      <c r="S16" s="60">
        <f t="shared" si="1"/>
        <v>465</v>
      </c>
      <c r="T16" s="63">
        <f t="shared" si="9"/>
        <v>1</v>
      </c>
      <c r="U16" s="63">
        <f t="shared" si="2"/>
        <v>1</v>
      </c>
      <c r="V16" s="63">
        <f t="shared" si="3"/>
        <v>1</v>
      </c>
      <c r="W16" s="63">
        <f t="shared" si="4"/>
        <v>1</v>
      </c>
      <c r="X16" s="63">
        <f t="shared" si="5"/>
        <v>0</v>
      </c>
      <c r="Y16" s="63">
        <f t="shared" si="6"/>
        <v>1</v>
      </c>
      <c r="Z16" s="63">
        <f t="shared" si="7"/>
        <v>0</v>
      </c>
      <c r="AA16" s="63">
        <f t="shared" si="8"/>
        <v>0</v>
      </c>
      <c r="AC16" s="68" t="s">
        <v>148</v>
      </c>
      <c r="AD16" s="68">
        <v>42</v>
      </c>
      <c r="AE16" s="68">
        <v>0</v>
      </c>
      <c r="AF16" s="68">
        <v>42</v>
      </c>
      <c r="AG16" s="68">
        <v>0</v>
      </c>
      <c r="AH16" s="68">
        <v>42</v>
      </c>
      <c r="AI16" s="68">
        <v>0</v>
      </c>
    </row>
    <row r="17" ht="20" customHeight="1" spans="1:35">
      <c r="A17" s="51" t="s">
        <v>149</v>
      </c>
      <c r="B17" s="51">
        <f>COUNTIFS(学生编排结果!$H:$H,A17)</f>
        <v>42</v>
      </c>
      <c r="C17" s="52" t="s">
        <v>150</v>
      </c>
      <c r="D17" s="62"/>
      <c r="E17" s="52" t="s">
        <v>75</v>
      </c>
      <c r="F17" s="62"/>
      <c r="G17" s="52" t="s">
        <v>90</v>
      </c>
      <c r="H17" s="62"/>
      <c r="I17" s="69" t="s">
        <v>143</v>
      </c>
      <c r="J17" s="52" t="s">
        <v>150</v>
      </c>
      <c r="K17" s="62"/>
      <c r="L17" s="70" t="s">
        <v>133</v>
      </c>
      <c r="M17" s="52" t="s">
        <v>133</v>
      </c>
      <c r="N17" s="62"/>
      <c r="O17" s="69" t="s">
        <v>111</v>
      </c>
      <c r="Q17" s="62" t="s">
        <v>120</v>
      </c>
      <c r="R17" s="59">
        <f t="shared" si="0"/>
        <v>5</v>
      </c>
      <c r="S17" s="60">
        <f t="shared" si="1"/>
        <v>435</v>
      </c>
      <c r="T17" s="63">
        <f t="shared" si="9"/>
        <v>0</v>
      </c>
      <c r="U17" s="63">
        <f t="shared" si="2"/>
        <v>1</v>
      </c>
      <c r="V17" s="63">
        <f t="shared" si="3"/>
        <v>1</v>
      </c>
      <c r="W17" s="63">
        <f t="shared" si="4"/>
        <v>0</v>
      </c>
      <c r="X17" s="63">
        <f t="shared" si="5"/>
        <v>0</v>
      </c>
      <c r="Y17" s="63">
        <f t="shared" si="6"/>
        <v>1</v>
      </c>
      <c r="Z17" s="63">
        <f t="shared" si="7"/>
        <v>1</v>
      </c>
      <c r="AA17" s="63">
        <f t="shared" si="8"/>
        <v>1</v>
      </c>
      <c r="AC17" s="68" t="s">
        <v>149</v>
      </c>
      <c r="AD17" s="68">
        <v>42</v>
      </c>
      <c r="AE17" s="68">
        <v>0</v>
      </c>
      <c r="AF17" s="68">
        <v>42</v>
      </c>
      <c r="AG17" s="68">
        <v>0</v>
      </c>
      <c r="AH17" s="68">
        <v>0</v>
      </c>
      <c r="AI17" s="68">
        <v>42</v>
      </c>
    </row>
    <row r="18" ht="20" customHeight="1" spans="1:35">
      <c r="A18" s="51" t="s">
        <v>151</v>
      </c>
      <c r="B18" s="51">
        <f>COUNTIFS(学生编排结果!$H:$H,A18)</f>
        <v>42</v>
      </c>
      <c r="C18" s="52" t="s">
        <v>128</v>
      </c>
      <c r="D18" s="62" t="s">
        <v>129</v>
      </c>
      <c r="E18" s="52" t="s">
        <v>115</v>
      </c>
      <c r="F18" s="62" t="s">
        <v>96</v>
      </c>
      <c r="G18" s="52" t="s">
        <v>107</v>
      </c>
      <c r="H18" s="62" t="s">
        <v>80</v>
      </c>
      <c r="I18" s="69" t="s">
        <v>150</v>
      </c>
      <c r="J18" s="52" t="s">
        <v>106</v>
      </c>
      <c r="K18" s="62" t="s">
        <v>113</v>
      </c>
      <c r="L18" s="70" t="s">
        <v>134</v>
      </c>
      <c r="M18" s="52" t="s">
        <v>112</v>
      </c>
      <c r="N18" s="62" t="s">
        <v>142</v>
      </c>
      <c r="O18" s="69" t="s">
        <v>138</v>
      </c>
      <c r="Q18" s="64" t="s">
        <v>138</v>
      </c>
      <c r="R18" s="59">
        <f t="shared" si="0"/>
        <v>4</v>
      </c>
      <c r="S18" s="60">
        <f t="shared" si="1"/>
        <v>465</v>
      </c>
      <c r="T18" s="63">
        <f t="shared" si="9"/>
        <v>0</v>
      </c>
      <c r="U18" s="63">
        <f t="shared" si="2"/>
        <v>0</v>
      </c>
      <c r="V18" s="63">
        <f t="shared" si="3"/>
        <v>1</v>
      </c>
      <c r="W18" s="63">
        <f t="shared" si="4"/>
        <v>0</v>
      </c>
      <c r="X18" s="63">
        <f t="shared" si="5"/>
        <v>1</v>
      </c>
      <c r="Y18" s="63">
        <f t="shared" si="6"/>
        <v>0</v>
      </c>
      <c r="Z18" s="63">
        <f t="shared" si="7"/>
        <v>1</v>
      </c>
      <c r="AA18" s="63">
        <f t="shared" si="8"/>
        <v>1</v>
      </c>
      <c r="AC18" s="68" t="s">
        <v>151</v>
      </c>
      <c r="AD18" s="68">
        <v>0</v>
      </c>
      <c r="AE18" s="68">
        <v>42</v>
      </c>
      <c r="AF18" s="68">
        <v>0</v>
      </c>
      <c r="AG18" s="68">
        <v>0</v>
      </c>
      <c r="AH18" s="68">
        <v>42</v>
      </c>
      <c r="AI18" s="68">
        <v>42</v>
      </c>
    </row>
    <row r="19" ht="20" customHeight="1" spans="1:35">
      <c r="A19" s="51" t="s">
        <v>152</v>
      </c>
      <c r="B19" s="51">
        <f>COUNTIFS(学生编排结果!$H:$H,A19)</f>
        <v>42</v>
      </c>
      <c r="C19" s="52" t="s">
        <v>92</v>
      </c>
      <c r="D19" s="62"/>
      <c r="E19" s="52" t="s">
        <v>127</v>
      </c>
      <c r="F19" s="62"/>
      <c r="G19" s="52" t="s">
        <v>143</v>
      </c>
      <c r="H19" s="62"/>
      <c r="I19" s="69" t="s">
        <v>101</v>
      </c>
      <c r="J19" s="52" t="s">
        <v>138</v>
      </c>
      <c r="K19" s="62"/>
      <c r="L19" s="70" t="s">
        <v>142</v>
      </c>
      <c r="M19" s="52" t="s">
        <v>139</v>
      </c>
      <c r="N19" s="62"/>
      <c r="O19" s="69" t="s">
        <v>89</v>
      </c>
      <c r="Q19" s="64" t="s">
        <v>78</v>
      </c>
      <c r="R19" s="59">
        <f t="shared" si="0"/>
        <v>4</v>
      </c>
      <c r="S19" s="60">
        <f t="shared" si="1"/>
        <v>465</v>
      </c>
      <c r="T19" s="63">
        <f t="shared" si="9"/>
        <v>1</v>
      </c>
      <c r="U19" s="63">
        <f t="shared" si="2"/>
        <v>1</v>
      </c>
      <c r="V19" s="63">
        <f t="shared" si="3"/>
        <v>1</v>
      </c>
      <c r="W19" s="63">
        <f t="shared" si="4"/>
        <v>0</v>
      </c>
      <c r="X19" s="63">
        <f t="shared" si="5"/>
        <v>0</v>
      </c>
      <c r="Y19" s="63">
        <f t="shared" si="6"/>
        <v>0</v>
      </c>
      <c r="Z19" s="63">
        <f t="shared" si="7"/>
        <v>1</v>
      </c>
      <c r="AA19" s="63">
        <f t="shared" si="8"/>
        <v>0</v>
      </c>
      <c r="AC19" s="68" t="s">
        <v>152</v>
      </c>
      <c r="AD19" s="68">
        <v>0</v>
      </c>
      <c r="AE19" s="68">
        <v>42</v>
      </c>
      <c r="AF19" s="68">
        <v>0</v>
      </c>
      <c r="AG19" s="68">
        <v>0</v>
      </c>
      <c r="AH19" s="68">
        <v>42</v>
      </c>
      <c r="AI19" s="68">
        <v>42</v>
      </c>
    </row>
    <row r="20" ht="20" customHeight="1" spans="1:35">
      <c r="A20" s="51" t="s">
        <v>153</v>
      </c>
      <c r="B20" s="51">
        <f>COUNTIFS(学生编排结果!$H:$H,A20)</f>
        <v>42</v>
      </c>
      <c r="C20" s="52" t="s">
        <v>140</v>
      </c>
      <c r="D20" s="62" t="s">
        <v>77</v>
      </c>
      <c r="E20" s="52" t="s">
        <v>133</v>
      </c>
      <c r="F20" s="62" t="s">
        <v>142</v>
      </c>
      <c r="G20" s="52" t="s">
        <v>150</v>
      </c>
      <c r="H20" s="62" t="s">
        <v>128</v>
      </c>
      <c r="I20" s="69" t="s">
        <v>140</v>
      </c>
      <c r="J20" s="52" t="s">
        <v>79</v>
      </c>
      <c r="K20" s="62" t="s">
        <v>124</v>
      </c>
      <c r="L20" s="70" t="s">
        <v>139</v>
      </c>
      <c r="M20" s="52" t="s">
        <v>107</v>
      </c>
      <c r="N20" s="62" t="s">
        <v>80</v>
      </c>
      <c r="O20" s="69" t="s">
        <v>99</v>
      </c>
      <c r="Q20" s="62" t="s">
        <v>124</v>
      </c>
      <c r="R20" s="59">
        <f t="shared" si="0"/>
        <v>4</v>
      </c>
      <c r="S20" s="60">
        <f t="shared" si="1"/>
        <v>495</v>
      </c>
      <c r="T20" s="63">
        <f t="shared" si="9"/>
        <v>1</v>
      </c>
      <c r="U20" s="63">
        <f t="shared" si="2"/>
        <v>0</v>
      </c>
      <c r="V20" s="63">
        <f t="shared" si="3"/>
        <v>0</v>
      </c>
      <c r="W20" s="63">
        <f t="shared" si="4"/>
        <v>0</v>
      </c>
      <c r="X20" s="63">
        <f t="shared" si="5"/>
        <v>1</v>
      </c>
      <c r="Y20" s="63">
        <f t="shared" si="6"/>
        <v>0</v>
      </c>
      <c r="Z20" s="63">
        <f t="shared" si="7"/>
        <v>1</v>
      </c>
      <c r="AA20" s="63">
        <f t="shared" si="8"/>
        <v>1</v>
      </c>
      <c r="AC20" s="68" t="s">
        <v>153</v>
      </c>
      <c r="AD20" s="68">
        <v>0</v>
      </c>
      <c r="AE20" s="68">
        <v>42</v>
      </c>
      <c r="AF20" s="68">
        <v>0</v>
      </c>
      <c r="AG20" s="68">
        <v>0</v>
      </c>
      <c r="AH20" s="68">
        <v>42</v>
      </c>
      <c r="AI20" s="68">
        <v>42</v>
      </c>
    </row>
    <row r="21" ht="20" customHeight="1" spans="1:35">
      <c r="A21" s="51" t="s">
        <v>154</v>
      </c>
      <c r="B21" s="51">
        <f>COUNTIFS(学生编排结果!$H:$H,A21)</f>
        <v>42</v>
      </c>
      <c r="C21" s="52" t="s">
        <v>114</v>
      </c>
      <c r="D21" s="62"/>
      <c r="E21" s="52" t="s">
        <v>139</v>
      </c>
      <c r="F21" s="62"/>
      <c r="G21" s="52" t="s">
        <v>129</v>
      </c>
      <c r="H21" s="62"/>
      <c r="I21" s="69" t="s">
        <v>97</v>
      </c>
      <c r="J21" s="52" t="s">
        <v>97</v>
      </c>
      <c r="K21" s="62"/>
      <c r="L21" s="70" t="s">
        <v>125</v>
      </c>
      <c r="M21" s="52" t="s">
        <v>143</v>
      </c>
      <c r="N21" s="62"/>
      <c r="O21" s="69" t="s">
        <v>100</v>
      </c>
      <c r="Q21" s="62" t="s">
        <v>97</v>
      </c>
      <c r="R21" s="59">
        <f t="shared" si="0"/>
        <v>5</v>
      </c>
      <c r="S21" s="60">
        <f t="shared" si="1"/>
        <v>480</v>
      </c>
      <c r="T21" s="63">
        <f t="shared" si="9"/>
        <v>0</v>
      </c>
      <c r="U21" s="63">
        <f t="shared" si="2"/>
        <v>1</v>
      </c>
      <c r="V21" s="63">
        <f t="shared" si="3"/>
        <v>1</v>
      </c>
      <c r="W21" s="63">
        <f t="shared" si="4"/>
        <v>1</v>
      </c>
      <c r="X21" s="63">
        <f t="shared" si="5"/>
        <v>1</v>
      </c>
      <c r="Y21" s="63">
        <f t="shared" si="6"/>
        <v>1</v>
      </c>
      <c r="Z21" s="63">
        <f t="shared" si="7"/>
        <v>0</v>
      </c>
      <c r="AA21" s="63">
        <f t="shared" si="8"/>
        <v>0</v>
      </c>
      <c r="AC21" s="68" t="s">
        <v>154</v>
      </c>
      <c r="AD21" s="68">
        <v>0</v>
      </c>
      <c r="AE21" s="68">
        <v>42</v>
      </c>
      <c r="AF21" s="68">
        <v>0</v>
      </c>
      <c r="AG21" s="68">
        <v>0</v>
      </c>
      <c r="AH21" s="68">
        <v>42</v>
      </c>
      <c r="AI21" s="68">
        <v>42</v>
      </c>
    </row>
    <row r="22" ht="20" customHeight="1" spans="1:35">
      <c r="A22" s="51" t="s">
        <v>155</v>
      </c>
      <c r="B22" s="51">
        <f>COUNTIFS(学生编排结果!$H:$H,A22)</f>
        <v>36</v>
      </c>
      <c r="C22" s="52" t="s">
        <v>93</v>
      </c>
      <c r="D22" s="62" t="s">
        <v>98</v>
      </c>
      <c r="E22" s="52" t="s">
        <v>79</v>
      </c>
      <c r="F22" s="62" t="s">
        <v>128</v>
      </c>
      <c r="G22" s="52" t="s">
        <v>92</v>
      </c>
      <c r="H22" s="62" t="s">
        <v>74</v>
      </c>
      <c r="I22" s="69" t="s">
        <v>105</v>
      </c>
      <c r="J22" s="52" t="s">
        <v>105</v>
      </c>
      <c r="K22" s="62" t="s">
        <v>111</v>
      </c>
      <c r="L22" s="70" t="s">
        <v>126</v>
      </c>
      <c r="M22" s="52" t="s">
        <v>138</v>
      </c>
      <c r="N22" s="62" t="s">
        <v>78</v>
      </c>
      <c r="O22" s="69" t="s">
        <v>106</v>
      </c>
      <c r="Q22" s="62" t="s">
        <v>105</v>
      </c>
      <c r="R22" s="59">
        <f t="shared" si="0"/>
        <v>4</v>
      </c>
      <c r="S22" s="60">
        <f t="shared" si="1"/>
        <v>450</v>
      </c>
      <c r="T22" s="63">
        <f t="shared" si="9"/>
        <v>1</v>
      </c>
      <c r="U22" s="63">
        <f t="shared" si="2"/>
        <v>1</v>
      </c>
      <c r="V22" s="63">
        <f t="shared" si="3"/>
        <v>0</v>
      </c>
      <c r="W22" s="63">
        <f t="shared" si="4"/>
        <v>1</v>
      </c>
      <c r="X22" s="63">
        <f t="shared" si="5"/>
        <v>1</v>
      </c>
      <c r="Y22" s="63">
        <f t="shared" si="6"/>
        <v>0</v>
      </c>
      <c r="Z22" s="63">
        <f t="shared" si="7"/>
        <v>0</v>
      </c>
      <c r="AA22" s="63">
        <f t="shared" si="8"/>
        <v>0</v>
      </c>
      <c r="AC22" s="73" t="s">
        <v>155</v>
      </c>
      <c r="AD22" s="73" t="s">
        <v>156</v>
      </c>
      <c r="AE22" s="73">
        <v>0</v>
      </c>
      <c r="AF22" s="73" t="s">
        <v>157</v>
      </c>
      <c r="AG22" s="73" t="s">
        <v>158</v>
      </c>
      <c r="AH22" s="73" t="s">
        <v>159</v>
      </c>
      <c r="AI22" s="73" t="s">
        <v>160</v>
      </c>
    </row>
    <row r="23" ht="20" customHeight="1" spans="1:35">
      <c r="A23" s="51" t="s">
        <v>161</v>
      </c>
      <c r="B23" s="51">
        <f>COUNTIFS(学生编排结果!$H:$H,A23)</f>
        <v>25</v>
      </c>
      <c r="C23" s="52" t="s">
        <v>105</v>
      </c>
      <c r="D23" s="62"/>
      <c r="E23" s="52" t="s">
        <v>129</v>
      </c>
      <c r="F23" s="62"/>
      <c r="G23" s="52" t="s">
        <v>140</v>
      </c>
      <c r="H23" s="62"/>
      <c r="I23" s="69" t="s">
        <v>111</v>
      </c>
      <c r="J23" s="52" t="s">
        <v>83</v>
      </c>
      <c r="K23" s="62"/>
      <c r="L23" s="70" t="s">
        <v>120</v>
      </c>
      <c r="M23" s="52" t="s">
        <v>124</v>
      </c>
      <c r="N23" s="62"/>
      <c r="O23" s="69" t="s">
        <v>113</v>
      </c>
      <c r="Q23" s="62" t="s">
        <v>111</v>
      </c>
      <c r="R23" s="59">
        <f t="shared" si="0"/>
        <v>5</v>
      </c>
      <c r="S23" s="60">
        <f t="shared" si="1"/>
        <v>480</v>
      </c>
      <c r="T23" s="63">
        <f t="shared" si="9"/>
        <v>0</v>
      </c>
      <c r="U23" s="63">
        <f t="shared" si="2"/>
        <v>1</v>
      </c>
      <c r="V23" s="63">
        <f t="shared" si="3"/>
        <v>1</v>
      </c>
      <c r="W23" s="63">
        <f t="shared" si="4"/>
        <v>1</v>
      </c>
      <c r="X23" s="63">
        <f t="shared" si="5"/>
        <v>1</v>
      </c>
      <c r="Y23" s="63">
        <f t="shared" si="6"/>
        <v>0</v>
      </c>
      <c r="Z23" s="63">
        <f t="shared" si="7"/>
        <v>0</v>
      </c>
      <c r="AA23" s="63">
        <f t="shared" si="8"/>
        <v>1</v>
      </c>
      <c r="AC23" s="68" t="s">
        <v>161</v>
      </c>
      <c r="AD23" s="68">
        <v>0</v>
      </c>
      <c r="AE23" s="68" t="s">
        <v>162</v>
      </c>
      <c r="AF23" s="68" t="s">
        <v>163</v>
      </c>
      <c r="AG23" s="68" t="s">
        <v>164</v>
      </c>
      <c r="AH23" s="68" t="s">
        <v>165</v>
      </c>
      <c r="AI23" s="68" t="s">
        <v>166</v>
      </c>
    </row>
    <row r="24" ht="20" customHeight="1" spans="1:35">
      <c r="A24" s="53" t="s">
        <v>167</v>
      </c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Q24" s="62" t="s">
        <v>83</v>
      </c>
      <c r="R24" s="59">
        <f t="shared" si="0"/>
        <v>4</v>
      </c>
      <c r="S24" s="60">
        <f t="shared" si="1"/>
        <v>450</v>
      </c>
      <c r="T24" s="63">
        <f t="shared" si="9"/>
        <v>1</v>
      </c>
      <c r="U24" s="63">
        <f t="shared" si="2"/>
        <v>1</v>
      </c>
      <c r="V24" s="63">
        <f t="shared" si="3"/>
        <v>0</v>
      </c>
      <c r="W24" s="63">
        <f t="shared" si="4"/>
        <v>0</v>
      </c>
      <c r="X24" s="63">
        <f t="shared" si="5"/>
        <v>1</v>
      </c>
      <c r="Y24" s="63">
        <f t="shared" si="6"/>
        <v>0</v>
      </c>
      <c r="Z24" s="63">
        <f t="shared" si="7"/>
        <v>0</v>
      </c>
      <c r="AA24" s="63">
        <f t="shared" si="8"/>
        <v>1</v>
      </c>
      <c r="AC24" s="68" t="s">
        <v>168</v>
      </c>
      <c r="AD24" s="68">
        <v>624</v>
      </c>
      <c r="AE24" s="68">
        <v>193</v>
      </c>
      <c r="AF24" s="68">
        <v>622</v>
      </c>
      <c r="AG24" s="68">
        <v>479</v>
      </c>
      <c r="AH24" s="68">
        <v>289</v>
      </c>
      <c r="AI24" s="68">
        <v>244</v>
      </c>
    </row>
    <row r="25" ht="20" customHeight="1" spans="17:27">
      <c r="Q25" s="62" t="s">
        <v>12</v>
      </c>
      <c r="R25" s="59">
        <f t="shared" si="0"/>
        <v>4</v>
      </c>
      <c r="S25" s="60">
        <f t="shared" si="1"/>
        <v>465</v>
      </c>
      <c r="T25" s="63">
        <f t="shared" si="9"/>
        <v>0</v>
      </c>
      <c r="U25" s="63">
        <f t="shared" si="2"/>
        <v>0</v>
      </c>
      <c r="V25" s="63">
        <f t="shared" si="3"/>
        <v>1</v>
      </c>
      <c r="W25" s="63">
        <f t="shared" si="4"/>
        <v>0</v>
      </c>
      <c r="X25" s="63">
        <f t="shared" si="5"/>
        <v>1</v>
      </c>
      <c r="Y25" s="63">
        <f t="shared" si="6"/>
        <v>0</v>
      </c>
      <c r="Z25" s="63">
        <f t="shared" si="7"/>
        <v>1</v>
      </c>
      <c r="AA25" s="63">
        <f t="shared" si="8"/>
        <v>1</v>
      </c>
    </row>
    <row r="26" ht="20" customHeight="1" spans="17:27">
      <c r="Q26" s="62" t="s">
        <v>90</v>
      </c>
      <c r="R26" s="59">
        <f t="shared" si="0"/>
        <v>4</v>
      </c>
      <c r="S26" s="60">
        <f t="shared" si="1"/>
        <v>465</v>
      </c>
      <c r="T26" s="63">
        <f t="shared" si="9"/>
        <v>0</v>
      </c>
      <c r="U26" s="63">
        <f t="shared" si="2"/>
        <v>0</v>
      </c>
      <c r="V26" s="63">
        <f t="shared" si="3"/>
        <v>1</v>
      </c>
      <c r="W26" s="63">
        <f t="shared" si="4"/>
        <v>1</v>
      </c>
      <c r="X26" s="63">
        <f t="shared" si="5"/>
        <v>1</v>
      </c>
      <c r="Y26" s="63">
        <f t="shared" si="6"/>
        <v>0</v>
      </c>
      <c r="Z26" s="63">
        <f t="shared" si="7"/>
        <v>1</v>
      </c>
      <c r="AA26" s="63">
        <f t="shared" si="8"/>
        <v>0</v>
      </c>
    </row>
    <row r="27" ht="20" customHeight="1" spans="17:27">
      <c r="Q27" s="62" t="s">
        <v>107</v>
      </c>
      <c r="R27" s="59">
        <f t="shared" si="0"/>
        <v>4</v>
      </c>
      <c r="S27" s="60">
        <f t="shared" si="1"/>
        <v>465</v>
      </c>
      <c r="T27" s="63">
        <f t="shared" si="9"/>
        <v>0</v>
      </c>
      <c r="U27" s="63">
        <f t="shared" si="2"/>
        <v>0</v>
      </c>
      <c r="V27" s="63">
        <f t="shared" si="3"/>
        <v>1</v>
      </c>
      <c r="W27" s="63">
        <f t="shared" si="4"/>
        <v>0</v>
      </c>
      <c r="X27" s="63">
        <f t="shared" si="5"/>
        <v>1</v>
      </c>
      <c r="Y27" s="63">
        <f t="shared" si="6"/>
        <v>0</v>
      </c>
      <c r="Z27" s="63">
        <f t="shared" si="7"/>
        <v>1</v>
      </c>
      <c r="AA27" s="63">
        <f t="shared" si="8"/>
        <v>1</v>
      </c>
    </row>
    <row r="28" ht="20" customHeight="1" spans="17:35">
      <c r="Q28" s="62" t="s">
        <v>80</v>
      </c>
      <c r="R28" s="59">
        <f t="shared" si="0"/>
        <v>4</v>
      </c>
      <c r="S28" s="60">
        <f t="shared" si="1"/>
        <v>465</v>
      </c>
      <c r="T28" s="63">
        <f t="shared" si="9"/>
        <v>0</v>
      </c>
      <c r="U28" s="63">
        <f t="shared" si="2"/>
        <v>0</v>
      </c>
      <c r="V28" s="63">
        <f t="shared" si="3"/>
        <v>1</v>
      </c>
      <c r="W28" s="63">
        <f t="shared" si="4"/>
        <v>1</v>
      </c>
      <c r="X28" s="63">
        <f t="shared" si="5"/>
        <v>1</v>
      </c>
      <c r="Y28" s="63">
        <f t="shared" si="6"/>
        <v>0</v>
      </c>
      <c r="Z28" s="63">
        <f t="shared" si="7"/>
        <v>1</v>
      </c>
      <c r="AA28" s="63">
        <f t="shared" si="8"/>
        <v>0</v>
      </c>
      <c r="AD28" s="1" t="s">
        <v>169</v>
      </c>
      <c r="AE28" s="1"/>
      <c r="AF28" s="1"/>
      <c r="AG28" s="1"/>
      <c r="AH28" s="1"/>
      <c r="AI28" s="1"/>
    </row>
    <row r="29" ht="20" customHeight="1" spans="17:35">
      <c r="Q29" s="62" t="s">
        <v>143</v>
      </c>
      <c r="R29" s="59">
        <f t="shared" si="0"/>
        <v>4</v>
      </c>
      <c r="S29" s="60">
        <f t="shared" si="1"/>
        <v>465</v>
      </c>
      <c r="T29" s="63">
        <f t="shared" si="9"/>
        <v>0</v>
      </c>
      <c r="U29" s="63">
        <f t="shared" si="2"/>
        <v>0</v>
      </c>
      <c r="V29" s="63">
        <f t="shared" si="3"/>
        <v>1</v>
      </c>
      <c r="W29" s="63">
        <f t="shared" si="4"/>
        <v>1</v>
      </c>
      <c r="X29" s="63">
        <f t="shared" si="5"/>
        <v>1</v>
      </c>
      <c r="Y29" s="63">
        <f t="shared" si="6"/>
        <v>0</v>
      </c>
      <c r="Z29" s="63">
        <f t="shared" si="7"/>
        <v>1</v>
      </c>
      <c r="AA29" s="63">
        <f t="shared" si="8"/>
        <v>0</v>
      </c>
      <c r="AD29" s="1"/>
      <c r="AE29" s="1"/>
      <c r="AF29" s="1"/>
      <c r="AG29" s="1"/>
      <c r="AH29" s="1"/>
      <c r="AI29" s="1"/>
    </row>
    <row r="30" ht="20" customHeight="1" spans="17:35">
      <c r="Q30" s="62" t="s">
        <v>91</v>
      </c>
      <c r="R30" s="59">
        <f t="shared" si="0"/>
        <v>4</v>
      </c>
      <c r="S30" s="60">
        <f t="shared" si="1"/>
        <v>450</v>
      </c>
      <c r="T30" s="63">
        <f t="shared" si="9"/>
        <v>1</v>
      </c>
      <c r="U30" s="63">
        <f t="shared" si="2"/>
        <v>1</v>
      </c>
      <c r="V30" s="63">
        <f t="shared" si="3"/>
        <v>0</v>
      </c>
      <c r="W30" s="63">
        <f t="shared" si="4"/>
        <v>0</v>
      </c>
      <c r="X30" s="63">
        <f t="shared" si="5"/>
        <v>1</v>
      </c>
      <c r="Y30" s="63">
        <f t="shared" si="6"/>
        <v>0</v>
      </c>
      <c r="Z30" s="63">
        <f t="shared" si="7"/>
        <v>0</v>
      </c>
      <c r="AA30" s="63">
        <f t="shared" si="8"/>
        <v>1</v>
      </c>
      <c r="AD30" s="2"/>
      <c r="AE30" s="2"/>
      <c r="AF30" s="2" t="s">
        <v>170</v>
      </c>
      <c r="AG30" s="2"/>
      <c r="AH30" s="2" t="s">
        <v>171</v>
      </c>
      <c r="AI30" s="2"/>
    </row>
    <row r="31" ht="20" customHeight="1" spans="17:35">
      <c r="Q31" s="62" t="s">
        <v>87</v>
      </c>
      <c r="R31" s="59">
        <f t="shared" si="0"/>
        <v>4</v>
      </c>
      <c r="S31" s="60">
        <f t="shared" si="1"/>
        <v>450</v>
      </c>
      <c r="T31" s="63">
        <f t="shared" si="9"/>
        <v>1</v>
      </c>
      <c r="U31" s="63">
        <f t="shared" si="2"/>
        <v>1</v>
      </c>
      <c r="V31" s="63">
        <f t="shared" si="3"/>
        <v>0</v>
      </c>
      <c r="W31" s="63">
        <f t="shared" si="4"/>
        <v>0</v>
      </c>
      <c r="X31" s="63">
        <f t="shared" si="5"/>
        <v>1</v>
      </c>
      <c r="Y31" s="63">
        <f t="shared" si="6"/>
        <v>0</v>
      </c>
      <c r="Z31" s="63">
        <f t="shared" si="7"/>
        <v>0</v>
      </c>
      <c r="AA31" s="63">
        <f t="shared" si="8"/>
        <v>1</v>
      </c>
      <c r="AD31" s="2" t="s">
        <v>172</v>
      </c>
      <c r="AE31" s="2"/>
      <c r="AF31" s="2" t="s">
        <v>67</v>
      </c>
      <c r="AG31" s="2"/>
      <c r="AH31" s="2" t="s">
        <v>68</v>
      </c>
      <c r="AI31" s="2"/>
    </row>
    <row r="32" ht="20" customHeight="1" spans="17:35">
      <c r="Q32" s="62" t="s">
        <v>101</v>
      </c>
      <c r="R32" s="59">
        <f t="shared" si="0"/>
        <v>4</v>
      </c>
      <c r="S32" s="60">
        <f t="shared" si="1"/>
        <v>435</v>
      </c>
      <c r="T32" s="63">
        <f t="shared" si="9"/>
        <v>1</v>
      </c>
      <c r="U32" s="63">
        <f t="shared" si="2"/>
        <v>0</v>
      </c>
      <c r="V32" s="63">
        <f t="shared" si="3"/>
        <v>0</v>
      </c>
      <c r="W32" s="63">
        <f t="shared" si="4"/>
        <v>1</v>
      </c>
      <c r="X32" s="63">
        <f t="shared" si="5"/>
        <v>1</v>
      </c>
      <c r="Y32" s="63">
        <f t="shared" si="6"/>
        <v>0</v>
      </c>
      <c r="Z32" s="63">
        <f t="shared" si="7"/>
        <v>0</v>
      </c>
      <c r="AA32" s="63">
        <f t="shared" si="8"/>
        <v>1</v>
      </c>
      <c r="AD32" s="2" t="s">
        <v>173</v>
      </c>
      <c r="AE32" s="2"/>
      <c r="AF32" s="2" t="s">
        <v>67</v>
      </c>
      <c r="AG32" s="2"/>
      <c r="AH32" s="2" t="s">
        <v>69</v>
      </c>
      <c r="AI32" s="2"/>
    </row>
    <row r="33" ht="20" customHeight="1" spans="5:35">
      <c r="E33" s="37"/>
      <c r="F33" s="37"/>
      <c r="G33" s="38"/>
      <c r="H33" s="38"/>
      <c r="I33" s="37"/>
      <c r="Q33" s="62" t="s">
        <v>119</v>
      </c>
      <c r="R33" s="59">
        <f t="shared" si="0"/>
        <v>4</v>
      </c>
      <c r="S33" s="60">
        <f t="shared" si="1"/>
        <v>495</v>
      </c>
      <c r="T33" s="63">
        <f t="shared" si="9"/>
        <v>1</v>
      </c>
      <c r="U33" s="63">
        <f t="shared" si="2"/>
        <v>0</v>
      </c>
      <c r="V33" s="63">
        <f t="shared" si="3"/>
        <v>0</v>
      </c>
      <c r="W33" s="63">
        <f t="shared" si="4"/>
        <v>0</v>
      </c>
      <c r="X33" s="63">
        <f t="shared" si="5"/>
        <v>1</v>
      </c>
      <c r="Y33" s="63">
        <f t="shared" si="6"/>
        <v>0</v>
      </c>
      <c r="Z33" s="63">
        <f t="shared" si="7"/>
        <v>1</v>
      </c>
      <c r="AA33" s="63">
        <f t="shared" si="8"/>
        <v>1</v>
      </c>
      <c r="AD33" s="2" t="s">
        <v>174</v>
      </c>
      <c r="AE33" s="2"/>
      <c r="AF33" s="2" t="s">
        <v>67</v>
      </c>
      <c r="AG33" s="2"/>
      <c r="AH33" s="2" t="s">
        <v>70</v>
      </c>
      <c r="AI33" s="2"/>
    </row>
    <row r="34" ht="20" customHeight="1" spans="5:35">
      <c r="E34" s="37"/>
      <c r="F34" s="37"/>
      <c r="G34" s="39"/>
      <c r="H34" s="39"/>
      <c r="I34" s="37"/>
      <c r="Q34" s="65" t="s">
        <v>175</v>
      </c>
      <c r="R34" s="67" t="s">
        <v>176</v>
      </c>
      <c r="S34" s="60">
        <f t="shared" si="1"/>
        <v>0</v>
      </c>
      <c r="T34" s="63">
        <f t="shared" si="9"/>
        <v>0</v>
      </c>
      <c r="U34" s="63">
        <f t="shared" si="2"/>
        <v>0</v>
      </c>
      <c r="V34" s="63">
        <f t="shared" si="3"/>
        <v>0</v>
      </c>
      <c r="W34" s="63">
        <f t="shared" si="4"/>
        <v>0</v>
      </c>
      <c r="X34" s="63">
        <f t="shared" si="5"/>
        <v>0</v>
      </c>
      <c r="Y34" s="63">
        <f t="shared" si="6"/>
        <v>0</v>
      </c>
      <c r="Z34" s="63">
        <f t="shared" si="7"/>
        <v>0</v>
      </c>
      <c r="AA34" s="63">
        <f t="shared" si="8"/>
        <v>0</v>
      </c>
      <c r="AD34" s="2" t="s">
        <v>177</v>
      </c>
      <c r="AE34" s="2"/>
      <c r="AF34" s="2" t="s">
        <v>69</v>
      </c>
      <c r="AG34" s="2"/>
      <c r="AH34" s="2" t="s">
        <v>70</v>
      </c>
      <c r="AI34" s="2"/>
    </row>
    <row r="35" ht="20" customHeight="1" spans="5:35">
      <c r="E35" s="37"/>
      <c r="F35" s="37"/>
      <c r="G35" s="37"/>
      <c r="H35" s="37"/>
      <c r="I35" s="37"/>
      <c r="Q35" s="62" t="s">
        <v>134</v>
      </c>
      <c r="R35" s="59">
        <f t="shared" si="0"/>
        <v>5</v>
      </c>
      <c r="S35" s="60">
        <f t="shared" si="1"/>
        <v>480</v>
      </c>
      <c r="T35" s="63">
        <f t="shared" si="9"/>
        <v>0</v>
      </c>
      <c r="U35" s="63">
        <f t="shared" si="2"/>
        <v>1</v>
      </c>
      <c r="V35" s="63">
        <f t="shared" si="3"/>
        <v>1</v>
      </c>
      <c r="W35" s="63">
        <f t="shared" si="4"/>
        <v>0</v>
      </c>
      <c r="X35" s="63">
        <f t="shared" si="5"/>
        <v>1</v>
      </c>
      <c r="Y35" s="63">
        <f t="shared" si="6"/>
        <v>1</v>
      </c>
      <c r="Z35" s="63">
        <f t="shared" si="7"/>
        <v>0</v>
      </c>
      <c r="AA35" s="63">
        <f t="shared" si="8"/>
        <v>1</v>
      </c>
      <c r="AD35" s="2" t="s">
        <v>178</v>
      </c>
      <c r="AE35" s="2"/>
      <c r="AF35" s="3" t="s">
        <v>179</v>
      </c>
      <c r="AG35" s="3"/>
      <c r="AH35" s="3" t="s">
        <v>180</v>
      </c>
      <c r="AI35" s="3"/>
    </row>
    <row r="36" ht="20" customHeight="1" spans="5:35">
      <c r="E36" s="37"/>
      <c r="F36" s="37"/>
      <c r="G36" s="37"/>
      <c r="H36" s="37"/>
      <c r="I36" s="37"/>
      <c r="Q36" s="65" t="s">
        <v>81</v>
      </c>
      <c r="R36" s="59">
        <f t="shared" si="0"/>
        <v>4</v>
      </c>
      <c r="S36" s="60">
        <f t="shared" si="1"/>
        <v>450</v>
      </c>
      <c r="T36" s="63">
        <f t="shared" si="9"/>
        <v>1</v>
      </c>
      <c r="U36" s="63">
        <f t="shared" si="2"/>
        <v>1</v>
      </c>
      <c r="V36" s="63">
        <f t="shared" si="3"/>
        <v>0</v>
      </c>
      <c r="W36" s="63">
        <f t="shared" si="4"/>
        <v>0</v>
      </c>
      <c r="X36" s="63">
        <f t="shared" si="5"/>
        <v>1</v>
      </c>
      <c r="Y36" s="63">
        <f t="shared" si="6"/>
        <v>1</v>
      </c>
      <c r="Z36" s="67">
        <f t="shared" si="7"/>
        <v>0</v>
      </c>
      <c r="AA36" s="67">
        <f t="shared" si="8"/>
        <v>0</v>
      </c>
      <c r="AD36" s="2"/>
      <c r="AE36" s="2"/>
      <c r="AF36" s="3"/>
      <c r="AG36" s="3"/>
      <c r="AH36" s="3"/>
      <c r="AI36" s="3"/>
    </row>
    <row r="37" ht="20" customHeight="1" spans="5:35">
      <c r="E37" s="37"/>
      <c r="F37" s="37"/>
      <c r="G37" s="40"/>
      <c r="H37" s="40"/>
      <c r="I37" s="37"/>
      <c r="Q37" s="65" t="s">
        <v>82</v>
      </c>
      <c r="R37" s="67">
        <f t="shared" ref="R37:R53" si="11">COUNTIFS($C$4:$O$23,Q37)</f>
        <v>3</v>
      </c>
      <c r="S37" s="72">
        <f t="shared" ref="S37:S53" si="12">+T37*150+U37*75+V37*120+W37*60+X37*165+Y37*60+Z37*120+AA37*60</f>
        <v>360</v>
      </c>
      <c r="T37" s="59">
        <f t="shared" si="9"/>
        <v>0</v>
      </c>
      <c r="U37" s="63">
        <f t="shared" si="2"/>
        <v>1</v>
      </c>
      <c r="V37" s="63">
        <f t="shared" si="3"/>
        <v>0</v>
      </c>
      <c r="W37" s="63">
        <f t="shared" si="4"/>
        <v>0</v>
      </c>
      <c r="X37" s="63">
        <f t="shared" si="5"/>
        <v>1</v>
      </c>
      <c r="Y37" s="63">
        <f t="shared" si="6"/>
        <v>0</v>
      </c>
      <c r="Z37" s="63">
        <f t="shared" ref="Z37:Z53" si="13">COUNTIFS($M$4:$N$23,Q37)</f>
        <v>1</v>
      </c>
      <c r="AA37" s="63">
        <f t="shared" ref="AA37:AA53" si="14">COUNTIFS($O$4:$O$23,Q37)</f>
        <v>0</v>
      </c>
      <c r="AD37" s="2"/>
      <c r="AE37" s="2"/>
      <c r="AF37" s="3"/>
      <c r="AG37" s="3"/>
      <c r="AH37" s="3"/>
      <c r="AI37" s="3"/>
    </row>
    <row r="38" ht="20" customHeight="1" spans="5:35">
      <c r="E38" s="37"/>
      <c r="F38" s="37"/>
      <c r="G38" s="37"/>
      <c r="H38" s="37"/>
      <c r="I38" s="37"/>
      <c r="Q38" s="64" t="s">
        <v>79</v>
      </c>
      <c r="R38" s="59">
        <f t="shared" si="11"/>
        <v>4</v>
      </c>
      <c r="S38" s="60">
        <f t="shared" si="12"/>
        <v>480</v>
      </c>
      <c r="T38" s="63">
        <f t="shared" si="9"/>
        <v>0</v>
      </c>
      <c r="U38" s="63">
        <f t="shared" si="2"/>
        <v>1</v>
      </c>
      <c r="V38" s="63">
        <f t="shared" si="3"/>
        <v>1</v>
      </c>
      <c r="W38" s="63">
        <f t="shared" si="4"/>
        <v>0</v>
      </c>
      <c r="X38" s="63">
        <f t="shared" si="5"/>
        <v>1</v>
      </c>
      <c r="Y38" s="63">
        <f t="shared" si="6"/>
        <v>0</v>
      </c>
      <c r="Z38" s="63">
        <f t="shared" si="13"/>
        <v>1</v>
      </c>
      <c r="AA38" s="63">
        <f t="shared" si="14"/>
        <v>0</v>
      </c>
      <c r="AD38" s="4" t="s">
        <v>181</v>
      </c>
      <c r="AE38" s="4"/>
      <c r="AF38" s="3" t="s">
        <v>182</v>
      </c>
      <c r="AG38" s="3"/>
      <c r="AH38" s="3" t="s">
        <v>183</v>
      </c>
      <c r="AI38" s="3"/>
    </row>
    <row r="39" ht="20" customHeight="1" spans="17:35">
      <c r="Q39" s="62" t="s">
        <v>76</v>
      </c>
      <c r="R39" s="59">
        <f t="shared" si="11"/>
        <v>4</v>
      </c>
      <c r="S39" s="60">
        <f t="shared" si="12"/>
        <v>450</v>
      </c>
      <c r="T39" s="63">
        <f t="shared" si="9"/>
        <v>1</v>
      </c>
      <c r="U39" s="63">
        <f t="shared" si="2"/>
        <v>1</v>
      </c>
      <c r="V39" s="63">
        <f t="shared" si="3"/>
        <v>0</v>
      </c>
      <c r="W39" s="63">
        <f t="shared" si="4"/>
        <v>0</v>
      </c>
      <c r="X39" s="63">
        <f t="shared" si="5"/>
        <v>1</v>
      </c>
      <c r="Y39" s="63">
        <f t="shared" si="6"/>
        <v>1</v>
      </c>
      <c r="Z39" s="63">
        <f t="shared" si="13"/>
        <v>0</v>
      </c>
      <c r="AA39" s="63">
        <f t="shared" si="14"/>
        <v>0</v>
      </c>
      <c r="AD39" s="4"/>
      <c r="AE39" s="4"/>
      <c r="AF39" s="3"/>
      <c r="AG39" s="3"/>
      <c r="AH39" s="3"/>
      <c r="AI39" s="3"/>
    </row>
    <row r="40" ht="20" customHeight="1" spans="17:35">
      <c r="Q40" s="62" t="s">
        <v>89</v>
      </c>
      <c r="R40" s="59">
        <f t="shared" si="11"/>
        <v>4</v>
      </c>
      <c r="S40" s="60">
        <f t="shared" si="12"/>
        <v>465</v>
      </c>
      <c r="T40" s="63">
        <f t="shared" si="9"/>
        <v>0</v>
      </c>
      <c r="U40" s="63">
        <f t="shared" si="2"/>
        <v>0</v>
      </c>
      <c r="V40" s="63">
        <f t="shared" si="3"/>
        <v>1</v>
      </c>
      <c r="W40" s="63">
        <f t="shared" si="4"/>
        <v>0</v>
      </c>
      <c r="X40" s="63">
        <f t="shared" si="5"/>
        <v>1</v>
      </c>
      <c r="Y40" s="63">
        <f t="shared" si="6"/>
        <v>0</v>
      </c>
      <c r="Z40" s="63">
        <f t="shared" si="13"/>
        <v>1</v>
      </c>
      <c r="AA40" s="63">
        <f t="shared" si="14"/>
        <v>1</v>
      </c>
      <c r="AD40" s="4"/>
      <c r="AE40" s="4"/>
      <c r="AF40" s="3"/>
      <c r="AG40" s="3"/>
      <c r="AH40" s="3"/>
      <c r="AI40" s="3"/>
    </row>
    <row r="41" ht="20" customHeight="1" spans="17:27">
      <c r="Q41" s="62" t="s">
        <v>99</v>
      </c>
      <c r="R41" s="59">
        <f t="shared" si="11"/>
        <v>4</v>
      </c>
      <c r="S41" s="60">
        <f t="shared" si="12"/>
        <v>465</v>
      </c>
      <c r="T41" s="63">
        <f t="shared" si="9"/>
        <v>0</v>
      </c>
      <c r="U41" s="63">
        <f t="shared" si="2"/>
        <v>0</v>
      </c>
      <c r="V41" s="63">
        <f t="shared" si="3"/>
        <v>1</v>
      </c>
      <c r="W41" s="63">
        <f t="shared" si="4"/>
        <v>0</v>
      </c>
      <c r="X41" s="63">
        <f t="shared" si="5"/>
        <v>1</v>
      </c>
      <c r="Y41" s="63">
        <f t="shared" si="6"/>
        <v>0</v>
      </c>
      <c r="Z41" s="63">
        <f t="shared" si="13"/>
        <v>1</v>
      </c>
      <c r="AA41" s="63">
        <f t="shared" si="14"/>
        <v>1</v>
      </c>
    </row>
    <row r="42" ht="20" customHeight="1" spans="17:27">
      <c r="Q42" s="64" t="s">
        <v>100</v>
      </c>
      <c r="R42" s="59">
        <f t="shared" si="11"/>
        <v>4</v>
      </c>
      <c r="S42" s="60">
        <f t="shared" si="12"/>
        <v>450</v>
      </c>
      <c r="T42" s="63">
        <f t="shared" si="9"/>
        <v>1</v>
      </c>
      <c r="U42" s="63">
        <f t="shared" si="2"/>
        <v>0</v>
      </c>
      <c r="V42" s="63">
        <f t="shared" si="3"/>
        <v>1</v>
      </c>
      <c r="W42" s="63">
        <f t="shared" si="4"/>
        <v>0</v>
      </c>
      <c r="X42" s="63">
        <f t="shared" si="5"/>
        <v>0</v>
      </c>
      <c r="Y42" s="63">
        <f t="shared" si="6"/>
        <v>0</v>
      </c>
      <c r="Z42" s="63">
        <f t="shared" si="13"/>
        <v>1</v>
      </c>
      <c r="AA42" s="63">
        <f t="shared" si="14"/>
        <v>1</v>
      </c>
    </row>
    <row r="43" ht="20" customHeight="1" spans="17:27">
      <c r="Q43" s="64" t="s">
        <v>106</v>
      </c>
      <c r="R43" s="59">
        <f t="shared" si="11"/>
        <v>4</v>
      </c>
      <c r="S43" s="60">
        <f t="shared" si="12"/>
        <v>465</v>
      </c>
      <c r="T43" s="63">
        <f t="shared" si="9"/>
        <v>0</v>
      </c>
      <c r="U43" s="63">
        <f t="shared" si="2"/>
        <v>0</v>
      </c>
      <c r="V43" s="63">
        <f t="shared" si="3"/>
        <v>1</v>
      </c>
      <c r="W43" s="63">
        <f t="shared" si="4"/>
        <v>0</v>
      </c>
      <c r="X43" s="63">
        <f t="shared" si="5"/>
        <v>1</v>
      </c>
      <c r="Y43" s="63">
        <f t="shared" si="6"/>
        <v>0</v>
      </c>
      <c r="Z43" s="63">
        <f t="shared" si="13"/>
        <v>1</v>
      </c>
      <c r="AA43" s="63">
        <f t="shared" si="14"/>
        <v>1</v>
      </c>
    </row>
    <row r="44" ht="20" customHeight="1" spans="17:27">
      <c r="Q44" s="62" t="s">
        <v>113</v>
      </c>
      <c r="R44" s="59">
        <f t="shared" si="11"/>
        <v>4</v>
      </c>
      <c r="S44" s="60">
        <f t="shared" si="12"/>
        <v>465</v>
      </c>
      <c r="T44" s="63">
        <f t="shared" si="9"/>
        <v>0</v>
      </c>
      <c r="U44" s="63">
        <f t="shared" si="2"/>
        <v>0</v>
      </c>
      <c r="V44" s="63">
        <f t="shared" si="3"/>
        <v>1</v>
      </c>
      <c r="W44" s="63">
        <f t="shared" si="4"/>
        <v>0</v>
      </c>
      <c r="X44" s="63">
        <f t="shared" si="5"/>
        <v>1</v>
      </c>
      <c r="Y44" s="63">
        <f t="shared" si="6"/>
        <v>0</v>
      </c>
      <c r="Z44" s="63">
        <f t="shared" si="13"/>
        <v>1</v>
      </c>
      <c r="AA44" s="63">
        <f t="shared" si="14"/>
        <v>1</v>
      </c>
    </row>
    <row r="45" ht="20" customHeight="1" spans="17:27">
      <c r="Q45" s="66" t="s">
        <v>115</v>
      </c>
      <c r="R45" s="59">
        <f t="shared" si="11"/>
        <v>4</v>
      </c>
      <c r="S45" s="60">
        <f t="shared" si="12"/>
        <v>465</v>
      </c>
      <c r="T45" s="63">
        <f t="shared" si="9"/>
        <v>1</v>
      </c>
      <c r="U45" s="63">
        <f t="shared" si="2"/>
        <v>1</v>
      </c>
      <c r="V45" s="63">
        <f t="shared" si="3"/>
        <v>1</v>
      </c>
      <c r="W45" s="63">
        <f t="shared" si="4"/>
        <v>0</v>
      </c>
      <c r="X45" s="63">
        <f t="shared" si="5"/>
        <v>0</v>
      </c>
      <c r="Y45" s="63">
        <f t="shared" si="6"/>
        <v>0</v>
      </c>
      <c r="Z45" s="63">
        <f t="shared" si="13"/>
        <v>1</v>
      </c>
      <c r="AA45" s="63">
        <f t="shared" si="14"/>
        <v>0</v>
      </c>
    </row>
    <row r="46" ht="20" customHeight="1" spans="17:27">
      <c r="Q46" s="66" t="s">
        <v>150</v>
      </c>
      <c r="R46" s="59">
        <f t="shared" si="11"/>
        <v>4</v>
      </c>
      <c r="S46" s="60">
        <f t="shared" si="12"/>
        <v>495</v>
      </c>
      <c r="T46" s="63">
        <f t="shared" si="9"/>
        <v>1</v>
      </c>
      <c r="U46" s="63">
        <f t="shared" si="2"/>
        <v>0</v>
      </c>
      <c r="V46" s="63">
        <f t="shared" si="3"/>
        <v>1</v>
      </c>
      <c r="W46" s="63">
        <f t="shared" si="4"/>
        <v>1</v>
      </c>
      <c r="X46" s="63">
        <f t="shared" si="5"/>
        <v>1</v>
      </c>
      <c r="Y46" s="63">
        <f t="shared" si="6"/>
        <v>0</v>
      </c>
      <c r="Z46" s="63">
        <f t="shared" si="13"/>
        <v>0</v>
      </c>
      <c r="AA46" s="63">
        <f t="shared" si="14"/>
        <v>0</v>
      </c>
    </row>
    <row r="47" ht="20" customHeight="1" spans="17:27">
      <c r="Q47" s="66" t="s">
        <v>128</v>
      </c>
      <c r="R47" s="59">
        <f t="shared" si="11"/>
        <v>4</v>
      </c>
      <c r="S47" s="60">
        <f t="shared" si="12"/>
        <v>465</v>
      </c>
      <c r="T47" s="63">
        <f t="shared" si="9"/>
        <v>1</v>
      </c>
      <c r="U47" s="63">
        <f t="shared" si="2"/>
        <v>1</v>
      </c>
      <c r="V47" s="63">
        <f t="shared" si="3"/>
        <v>1</v>
      </c>
      <c r="W47" s="63">
        <f t="shared" si="4"/>
        <v>0</v>
      </c>
      <c r="X47" s="63">
        <f t="shared" si="5"/>
        <v>0</v>
      </c>
      <c r="Y47" s="63">
        <f t="shared" si="6"/>
        <v>0</v>
      </c>
      <c r="Z47" s="63">
        <f t="shared" si="13"/>
        <v>1</v>
      </c>
      <c r="AA47" s="63">
        <f t="shared" si="14"/>
        <v>0</v>
      </c>
    </row>
    <row r="48" ht="20" customHeight="1" spans="17:27">
      <c r="Q48" s="66" t="s">
        <v>129</v>
      </c>
      <c r="R48" s="59">
        <f t="shared" si="11"/>
        <v>4</v>
      </c>
      <c r="S48" s="60">
        <f t="shared" si="12"/>
        <v>465</v>
      </c>
      <c r="T48" s="63">
        <f t="shared" si="9"/>
        <v>1</v>
      </c>
      <c r="U48" s="63">
        <f t="shared" si="2"/>
        <v>1</v>
      </c>
      <c r="V48" s="63">
        <f t="shared" si="3"/>
        <v>1</v>
      </c>
      <c r="W48" s="63">
        <f t="shared" si="4"/>
        <v>0</v>
      </c>
      <c r="X48" s="63">
        <f t="shared" si="5"/>
        <v>0</v>
      </c>
      <c r="Y48" s="63">
        <f t="shared" si="6"/>
        <v>0</v>
      </c>
      <c r="Z48" s="63">
        <f t="shared" si="13"/>
        <v>1</v>
      </c>
      <c r="AA48" s="63">
        <f t="shared" si="14"/>
        <v>0</v>
      </c>
    </row>
    <row r="49" ht="20" customHeight="1" spans="17:27">
      <c r="Q49" s="66" t="s">
        <v>92</v>
      </c>
      <c r="R49" s="59">
        <f t="shared" si="11"/>
        <v>4</v>
      </c>
      <c r="S49" s="60">
        <f t="shared" si="12"/>
        <v>495</v>
      </c>
      <c r="T49" s="63">
        <f t="shared" si="9"/>
        <v>1</v>
      </c>
      <c r="U49" s="63">
        <f t="shared" si="2"/>
        <v>0</v>
      </c>
      <c r="V49" s="63">
        <f t="shared" si="3"/>
        <v>1</v>
      </c>
      <c r="W49" s="63">
        <f t="shared" si="4"/>
        <v>0</v>
      </c>
      <c r="X49" s="63">
        <f t="shared" si="5"/>
        <v>1</v>
      </c>
      <c r="Y49" s="63">
        <f t="shared" si="6"/>
        <v>1</v>
      </c>
      <c r="Z49" s="63">
        <f t="shared" si="13"/>
        <v>0</v>
      </c>
      <c r="AA49" s="63">
        <f t="shared" si="14"/>
        <v>0</v>
      </c>
    </row>
    <row r="50" ht="20" customHeight="1" spans="17:27">
      <c r="Q50" s="66" t="s">
        <v>140</v>
      </c>
      <c r="R50" s="59">
        <f t="shared" si="11"/>
        <v>4</v>
      </c>
      <c r="S50" s="60">
        <f t="shared" si="12"/>
        <v>450</v>
      </c>
      <c r="T50" s="63">
        <f t="shared" si="9"/>
        <v>1</v>
      </c>
      <c r="U50" s="63">
        <f t="shared" si="2"/>
        <v>0</v>
      </c>
      <c r="V50" s="63">
        <f t="shared" si="3"/>
        <v>1</v>
      </c>
      <c r="W50" s="63">
        <f t="shared" si="4"/>
        <v>1</v>
      </c>
      <c r="X50" s="63">
        <f t="shared" si="5"/>
        <v>0</v>
      </c>
      <c r="Y50" s="63">
        <f t="shared" si="6"/>
        <v>0</v>
      </c>
      <c r="Z50" s="63">
        <f t="shared" si="13"/>
        <v>1</v>
      </c>
      <c r="AA50" s="63">
        <f t="shared" si="14"/>
        <v>0</v>
      </c>
    </row>
    <row r="51" ht="20" customHeight="1" spans="17:27">
      <c r="Q51" s="65" t="s">
        <v>77</v>
      </c>
      <c r="R51" s="59">
        <f t="shared" si="11"/>
        <v>4</v>
      </c>
      <c r="S51" s="60">
        <f t="shared" si="12"/>
        <v>450</v>
      </c>
      <c r="T51" s="63">
        <f t="shared" si="9"/>
        <v>1</v>
      </c>
      <c r="U51" s="63">
        <f t="shared" si="2"/>
        <v>1</v>
      </c>
      <c r="V51" s="63">
        <f t="shared" si="3"/>
        <v>0</v>
      </c>
      <c r="W51" s="63">
        <f t="shared" si="4"/>
        <v>0</v>
      </c>
      <c r="X51" s="63">
        <f t="shared" si="5"/>
        <v>1</v>
      </c>
      <c r="Y51" s="63">
        <f t="shared" si="6"/>
        <v>1</v>
      </c>
      <c r="Z51" s="65">
        <f t="shared" si="13"/>
        <v>0</v>
      </c>
      <c r="AA51" s="65">
        <f t="shared" si="14"/>
        <v>0</v>
      </c>
    </row>
    <row r="52" ht="20" customHeight="1" spans="17:27">
      <c r="Q52" s="65" t="s">
        <v>88</v>
      </c>
      <c r="R52" s="59">
        <f t="shared" si="11"/>
        <v>5</v>
      </c>
      <c r="S52" s="60">
        <f t="shared" si="12"/>
        <v>480</v>
      </c>
      <c r="T52" s="63">
        <f t="shared" si="9"/>
        <v>0</v>
      </c>
      <c r="U52" s="63">
        <f t="shared" si="2"/>
        <v>1</v>
      </c>
      <c r="V52" s="63">
        <f t="shared" si="3"/>
        <v>1</v>
      </c>
      <c r="W52" s="63">
        <f t="shared" si="4"/>
        <v>1</v>
      </c>
      <c r="X52" s="63">
        <f t="shared" si="5"/>
        <v>1</v>
      </c>
      <c r="Y52" s="63">
        <f t="shared" si="6"/>
        <v>1</v>
      </c>
      <c r="Z52" s="65">
        <f t="shared" si="13"/>
        <v>0</v>
      </c>
      <c r="AA52" s="65">
        <f t="shared" si="14"/>
        <v>0</v>
      </c>
    </row>
    <row r="53" ht="20" customHeight="1" spans="17:27">
      <c r="Q53" s="65" t="s">
        <v>98</v>
      </c>
      <c r="R53" s="59">
        <f t="shared" si="11"/>
        <v>4</v>
      </c>
      <c r="S53" s="60">
        <f t="shared" si="12"/>
        <v>450</v>
      </c>
      <c r="T53" s="63">
        <f t="shared" si="9"/>
        <v>1</v>
      </c>
      <c r="U53" s="63">
        <f t="shared" si="2"/>
        <v>1</v>
      </c>
      <c r="V53" s="63">
        <f t="shared" si="3"/>
        <v>0</v>
      </c>
      <c r="W53" s="63">
        <f t="shared" si="4"/>
        <v>0</v>
      </c>
      <c r="X53" s="63">
        <f t="shared" si="5"/>
        <v>1</v>
      </c>
      <c r="Y53" s="63">
        <f t="shared" si="6"/>
        <v>1</v>
      </c>
      <c r="Z53" s="65">
        <f t="shared" si="13"/>
        <v>0</v>
      </c>
      <c r="AA53" s="65">
        <f t="shared" si="14"/>
        <v>0</v>
      </c>
    </row>
    <row r="54" spans="20:27">
      <c r="T54" s="46"/>
      <c r="U54" s="46"/>
      <c r="V54" s="46"/>
      <c r="W54" s="46"/>
      <c r="X54" s="46"/>
      <c r="Y54" s="46"/>
      <c r="Z54" s="46"/>
      <c r="AA54" s="46"/>
    </row>
    <row r="55" spans="20:27">
      <c r="T55" s="46"/>
      <c r="U55" s="46"/>
      <c r="V55" s="46"/>
      <c r="W55" s="46"/>
      <c r="X55" s="46"/>
      <c r="Y55" s="46"/>
      <c r="Z55" s="46"/>
      <c r="AA55" s="46"/>
    </row>
    <row r="56" spans="20:27">
      <c r="T56" s="46"/>
      <c r="U56" s="46"/>
      <c r="V56" s="46"/>
      <c r="W56" s="46"/>
      <c r="X56" s="46"/>
      <c r="Y56" s="46"/>
      <c r="Z56" s="46"/>
      <c r="AA56" s="46"/>
    </row>
    <row r="57" spans="20:27">
      <c r="T57" s="46"/>
      <c r="U57" s="46"/>
      <c r="V57" s="46"/>
      <c r="W57" s="46"/>
      <c r="X57" s="46"/>
      <c r="Y57" s="46"/>
      <c r="Z57" s="46"/>
      <c r="AA57" s="46"/>
    </row>
    <row r="58" spans="20:27">
      <c r="T58" s="46"/>
      <c r="U58" s="46"/>
      <c r="V58" s="46"/>
      <c r="W58" s="46"/>
      <c r="X58" s="46"/>
      <c r="Y58" s="46"/>
      <c r="Z58" s="46"/>
      <c r="AA58" s="46"/>
    </row>
    <row r="59" spans="20:27">
      <c r="T59" s="46"/>
      <c r="U59" s="46"/>
      <c r="V59" s="46"/>
      <c r="W59" s="46"/>
      <c r="X59" s="46"/>
      <c r="Y59" s="46"/>
      <c r="Z59" s="46"/>
      <c r="AA59" s="46"/>
    </row>
    <row r="60" spans="20:27">
      <c r="T60" s="46"/>
      <c r="U60" s="46"/>
      <c r="V60" s="46"/>
      <c r="W60" s="46"/>
      <c r="X60" s="46"/>
      <c r="Y60" s="46"/>
      <c r="Z60" s="46"/>
      <c r="AA60" s="46"/>
    </row>
    <row r="61" spans="20:27">
      <c r="T61" s="46"/>
      <c r="U61" s="46"/>
      <c r="V61" s="46"/>
      <c r="W61" s="46"/>
      <c r="X61" s="46"/>
      <c r="Y61" s="46"/>
      <c r="Z61" s="46"/>
      <c r="AA61" s="46"/>
    </row>
    <row r="62" spans="20:27">
      <c r="T62" s="46"/>
      <c r="U62" s="46"/>
      <c r="V62" s="46"/>
      <c r="W62" s="46"/>
      <c r="X62" s="46"/>
      <c r="Y62" s="46"/>
      <c r="Z62" s="46"/>
      <c r="AA62" s="46"/>
    </row>
  </sheetData>
  <autoFilter xmlns:etc="http://www.wps.cn/officeDocument/2017/etCustomData" ref="Q1:AA53" etc:filterBottomFollowUsedRange="0">
    <extLst/>
  </autoFilter>
  <mergeCells count="87">
    <mergeCell ref="A1:O1"/>
    <mergeCell ref="Q1:S1"/>
    <mergeCell ref="T1:W1"/>
    <mergeCell ref="X1:AA1"/>
    <mergeCell ref="C2:I2"/>
    <mergeCell ref="J2:O2"/>
    <mergeCell ref="Q2:S2"/>
    <mergeCell ref="C3:D3"/>
    <mergeCell ref="E3:F3"/>
    <mergeCell ref="G3:H3"/>
    <mergeCell ref="J3:K3"/>
    <mergeCell ref="M3:N3"/>
    <mergeCell ref="A24:O24"/>
    <mergeCell ref="AD30:AE30"/>
    <mergeCell ref="AF30:AG30"/>
    <mergeCell ref="AH30:AI30"/>
    <mergeCell ref="AD31:AE31"/>
    <mergeCell ref="AF31:AG31"/>
    <mergeCell ref="AH31:AI31"/>
    <mergeCell ref="AD32:AE32"/>
    <mergeCell ref="AF32:AG32"/>
    <mergeCell ref="AH32:AI32"/>
    <mergeCell ref="AD33:AE33"/>
    <mergeCell ref="AF33:AG33"/>
    <mergeCell ref="AH33:AI33"/>
    <mergeCell ref="AD34:AE34"/>
    <mergeCell ref="AF34:AG34"/>
    <mergeCell ref="AH34:AI34"/>
    <mergeCell ref="A2:A3"/>
    <mergeCell ref="B2:B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F4:F5"/>
    <mergeCell ref="F6:F7"/>
    <mergeCell ref="F8:F9"/>
    <mergeCell ref="F10:F11"/>
    <mergeCell ref="F12:F13"/>
    <mergeCell ref="F14:F15"/>
    <mergeCell ref="F16:F17"/>
    <mergeCell ref="F18:F19"/>
    <mergeCell ref="F20:F21"/>
    <mergeCell ref="F22:F23"/>
    <mergeCell ref="H4:H5"/>
    <mergeCell ref="H6:H7"/>
    <mergeCell ref="H8:H9"/>
    <mergeCell ref="H10:H11"/>
    <mergeCell ref="H12:H13"/>
    <mergeCell ref="H14:H15"/>
    <mergeCell ref="H16:H17"/>
    <mergeCell ref="H18:H19"/>
    <mergeCell ref="H20:H21"/>
    <mergeCell ref="H22:H23"/>
    <mergeCell ref="K4:K5"/>
    <mergeCell ref="K6:K7"/>
    <mergeCell ref="K8:K9"/>
    <mergeCell ref="K10:K11"/>
    <mergeCell ref="K12:K13"/>
    <mergeCell ref="K14:K15"/>
    <mergeCell ref="K16:K17"/>
    <mergeCell ref="K18:K19"/>
    <mergeCell ref="K20:K21"/>
    <mergeCell ref="K22:K23"/>
    <mergeCell ref="N4:N5"/>
    <mergeCell ref="N6:N7"/>
    <mergeCell ref="N8:N9"/>
    <mergeCell ref="N10:N11"/>
    <mergeCell ref="N12:N13"/>
    <mergeCell ref="N14:N15"/>
    <mergeCell ref="N16:N17"/>
    <mergeCell ref="N18:N19"/>
    <mergeCell ref="N20:N21"/>
    <mergeCell ref="N22:N23"/>
    <mergeCell ref="AD35:AE37"/>
    <mergeCell ref="AF35:AG37"/>
    <mergeCell ref="AH35:AI37"/>
    <mergeCell ref="AD38:AE40"/>
    <mergeCell ref="AF38:AG40"/>
    <mergeCell ref="AH38:AI40"/>
    <mergeCell ref="AD28:AI29"/>
  </mergeCells>
  <printOptions horizontalCentered="1" verticalCentered="1"/>
  <pageMargins left="0.118055555555556" right="0.118055555555556" top="0.550694444444444" bottom="0.550694444444444" header="0.314583333333333" footer="0.314583333333333"/>
  <pageSetup paperSize="9" orientation="landscape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AO62"/>
  <sheetViews>
    <sheetView workbookViewId="0">
      <selection activeCell="E8" sqref="E8"/>
    </sheetView>
  </sheetViews>
  <sheetFormatPr defaultColWidth="9" defaultRowHeight="14.25"/>
  <cols>
    <col min="1" max="1" width="9.88333333333333" style="24" customWidth="1"/>
    <col min="2" max="2" width="5.63333333333333" style="24" customWidth="1"/>
    <col min="3" max="8" width="7.625" style="25" customWidth="1"/>
    <col min="9" max="9" width="14.625" style="25" customWidth="1"/>
    <col min="10" max="11" width="7.625" style="25" customWidth="1"/>
    <col min="12" max="12" width="14.625" style="25" customWidth="1"/>
    <col min="13" max="14" width="7.625" style="25" customWidth="1"/>
    <col min="15" max="15" width="14.625" style="25" customWidth="1"/>
    <col min="16" max="16" width="13.5" style="25" customWidth="1"/>
    <col min="17" max="17" width="10.6333333333333" style="46" customWidth="1"/>
    <col min="18" max="19" width="8.63333333333333" style="46" customWidth="1"/>
    <col min="20" max="27" width="8.63333333333333" style="47" customWidth="1"/>
    <col min="28" max="31" width="9" style="24"/>
    <col min="32" max="32" width="11.25" style="24" customWidth="1"/>
    <col min="33" max="33" width="18.8833333333333" style="24" customWidth="1"/>
    <col min="34" max="34" width="16.6333333333333" style="24" customWidth="1"/>
    <col min="35" max="35" width="23.25" style="24" customWidth="1"/>
    <col min="36" max="36" width="9" style="24"/>
    <col min="37" max="37" width="15.1333333333333" style="26" customWidth="1"/>
    <col min="38" max="16384" width="9" style="26"/>
  </cols>
  <sheetData>
    <row r="1" ht="27.75" spans="1:27">
      <c r="A1" s="27" t="str">
        <f>[1]巡视!$A$1&amp;"监考安排"</f>
        <v>2025-2026学年高二第一学期期中考监考安排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54"/>
      <c r="T1" s="58" t="s">
        <v>18</v>
      </c>
      <c r="U1" s="58"/>
      <c r="V1" s="58"/>
      <c r="W1" s="58"/>
      <c r="X1" s="58" t="s">
        <v>19</v>
      </c>
      <c r="Y1" s="58"/>
      <c r="Z1" s="58"/>
      <c r="AA1" s="58"/>
    </row>
    <row r="2" ht="28.5" customHeight="1" spans="1:27">
      <c r="A2" s="48" t="s">
        <v>41</v>
      </c>
      <c r="B2" s="48" t="s">
        <v>42</v>
      </c>
      <c r="C2" s="49" t="s">
        <v>18</v>
      </c>
      <c r="D2" s="49"/>
      <c r="E2" s="49"/>
      <c r="F2" s="49"/>
      <c r="G2" s="49"/>
      <c r="H2" s="49"/>
      <c r="I2" s="55"/>
      <c r="J2" s="49" t="s">
        <v>19</v>
      </c>
      <c r="K2" s="49"/>
      <c r="L2" s="49"/>
      <c r="M2" s="49"/>
      <c r="N2" s="49"/>
      <c r="O2" s="55"/>
      <c r="P2" s="56"/>
      <c r="Q2" s="59"/>
      <c r="R2" s="59"/>
      <c r="S2" s="60"/>
      <c r="T2" s="61" t="s">
        <v>43</v>
      </c>
      <c r="U2" s="61" t="s">
        <v>44</v>
      </c>
      <c r="V2" s="61" t="s">
        <v>45</v>
      </c>
      <c r="W2" s="61" t="s">
        <v>39</v>
      </c>
      <c r="X2" s="61" t="s">
        <v>46</v>
      </c>
      <c r="Y2" s="61" t="s">
        <v>34</v>
      </c>
      <c r="Z2" s="61" t="s">
        <v>47</v>
      </c>
      <c r="AA2" s="61" t="s">
        <v>40</v>
      </c>
    </row>
    <row r="3" ht="33.75" customHeight="1" spans="1:41">
      <c r="A3" s="48"/>
      <c r="B3" s="48"/>
      <c r="C3" s="50" t="s">
        <v>48</v>
      </c>
      <c r="D3" s="50"/>
      <c r="E3" s="50" t="s">
        <v>49</v>
      </c>
      <c r="F3" s="50"/>
      <c r="G3" s="50" t="s">
        <v>50</v>
      </c>
      <c r="H3" s="50"/>
      <c r="I3" s="50" t="s">
        <v>51</v>
      </c>
      <c r="J3" s="50" t="s">
        <v>52</v>
      </c>
      <c r="K3" s="50"/>
      <c r="L3" s="50" t="s">
        <v>53</v>
      </c>
      <c r="M3" s="50" t="s">
        <v>54</v>
      </c>
      <c r="N3" s="50"/>
      <c r="O3" s="50" t="s">
        <v>55</v>
      </c>
      <c r="P3" s="57"/>
      <c r="Q3" s="58" t="s">
        <v>56</v>
      </c>
      <c r="R3" s="59" t="s">
        <v>57</v>
      </c>
      <c r="S3" s="60" t="s">
        <v>58</v>
      </c>
      <c r="T3" s="61" t="s">
        <v>59</v>
      </c>
      <c r="U3" s="61" t="s">
        <v>60</v>
      </c>
      <c r="V3" s="61" t="s">
        <v>61</v>
      </c>
      <c r="W3" s="61" t="s">
        <v>62</v>
      </c>
      <c r="X3" s="61" t="s">
        <v>63</v>
      </c>
      <c r="Y3" s="61" t="s">
        <v>64</v>
      </c>
      <c r="Z3" s="61" t="s">
        <v>61</v>
      </c>
      <c r="AA3" s="61" t="s">
        <v>62</v>
      </c>
      <c r="AC3" s="68"/>
      <c r="AD3" s="68" t="s">
        <v>65</v>
      </c>
      <c r="AE3" s="68" t="s">
        <v>66</v>
      </c>
      <c r="AF3" s="68" t="s">
        <v>67</v>
      </c>
      <c r="AG3" s="68" t="s">
        <v>68</v>
      </c>
      <c r="AH3" s="68" t="s">
        <v>69</v>
      </c>
      <c r="AI3" s="68" t="s">
        <v>70</v>
      </c>
      <c r="AK3" s="24" t="s">
        <v>71</v>
      </c>
      <c r="AL3" s="24" t="s">
        <v>72</v>
      </c>
      <c r="AM3" s="24">
        <f>20*45</f>
        <v>900</v>
      </c>
      <c r="AN3" s="24">
        <v>50</v>
      </c>
      <c r="AO3" s="24">
        <f t="shared" ref="AO3:AO11" si="0">AM3+AN3</f>
        <v>950</v>
      </c>
    </row>
    <row r="4" ht="20" customHeight="1" spans="1:41">
      <c r="A4" s="51" t="s">
        <v>73</v>
      </c>
      <c r="B4" s="51">
        <f>COUNTIFS([1]学生编排结果!$H:$H,A4)</f>
        <v>42</v>
      </c>
      <c r="C4" s="52" t="s">
        <v>74</v>
      </c>
      <c r="D4" s="62" t="s">
        <v>75</v>
      </c>
      <c r="E4" s="52" t="s">
        <v>76</v>
      </c>
      <c r="F4" s="62" t="s">
        <v>77</v>
      </c>
      <c r="G4" s="52" t="s">
        <v>82</v>
      </c>
      <c r="H4" s="62" t="s">
        <v>79</v>
      </c>
      <c r="I4" s="69" t="s">
        <v>84</v>
      </c>
      <c r="J4" s="52" t="s">
        <v>81</v>
      </c>
      <c r="K4" s="62" t="s">
        <v>76</v>
      </c>
      <c r="L4" s="70" t="s">
        <v>76</v>
      </c>
      <c r="M4" s="52" t="s">
        <v>82</v>
      </c>
      <c r="N4" s="62" t="s">
        <v>79</v>
      </c>
      <c r="O4" s="69" t="s">
        <v>83</v>
      </c>
      <c r="Q4" s="62" t="s">
        <v>84</v>
      </c>
      <c r="R4" s="59">
        <f>COUNTIFS($C$4:$O$23,Q4)</f>
        <v>5</v>
      </c>
      <c r="S4" s="60">
        <f t="shared" ref="S4:S53" si="1">+T4*150+U4*75+V4*120+W4*60+X4*165+Y4*60+Z4*120+AA4*60</f>
        <v>435</v>
      </c>
      <c r="T4" s="63">
        <f>COUNTIFS($C$4:$D$23,Q4)</f>
        <v>0</v>
      </c>
      <c r="U4" s="63">
        <f>COUNTIFS($E$4:$F$23,Q4)</f>
        <v>1</v>
      </c>
      <c r="V4" s="63">
        <f>COUNTIFS($G$4:$H$23,Q4)</f>
        <v>1</v>
      </c>
      <c r="W4" s="63">
        <f>COUNTIFS($I$4:$I$23,Q4)</f>
        <v>1</v>
      </c>
      <c r="X4" s="63">
        <f>COUNTIFS($J$4:$K$23,Q4)</f>
        <v>0</v>
      </c>
      <c r="Y4" s="63">
        <f>COUNTIFS($L$4:$L$23,Q4)</f>
        <v>1</v>
      </c>
      <c r="Z4" s="63">
        <f>COUNTIFS($M$4:$N$23,Q4)</f>
        <v>1</v>
      </c>
      <c r="AA4" s="63">
        <f>COUNTIFS($O$4:$O$23,Q4)</f>
        <v>0</v>
      </c>
      <c r="AC4" s="68" t="s">
        <v>73</v>
      </c>
      <c r="AD4" s="68">
        <v>42</v>
      </c>
      <c r="AE4" s="68">
        <v>0</v>
      </c>
      <c r="AF4" s="68">
        <v>42</v>
      </c>
      <c r="AG4" s="68">
        <v>42</v>
      </c>
      <c r="AH4" s="68">
        <v>0</v>
      </c>
      <c r="AI4" s="68">
        <v>0</v>
      </c>
      <c r="AK4" s="24" t="s">
        <v>85</v>
      </c>
      <c r="AL4" s="24" t="s">
        <v>72</v>
      </c>
      <c r="AM4" s="24">
        <f>20*45</f>
        <v>900</v>
      </c>
      <c r="AN4" s="24">
        <v>50</v>
      </c>
      <c r="AO4" s="24">
        <f t="shared" si="0"/>
        <v>950</v>
      </c>
    </row>
    <row r="5" ht="20" customHeight="1" spans="1:41">
      <c r="A5" s="51" t="s">
        <v>86</v>
      </c>
      <c r="B5" s="51">
        <f>COUNTIFS([1]学生编排结果!$H:$H,A5)</f>
        <v>42</v>
      </c>
      <c r="C5" s="52" t="s">
        <v>111</v>
      </c>
      <c r="D5" s="62"/>
      <c r="E5" s="52" t="s">
        <v>88</v>
      </c>
      <c r="F5" s="62"/>
      <c r="G5" s="52" t="s">
        <v>89</v>
      </c>
      <c r="H5" s="62"/>
      <c r="I5" s="69" t="s">
        <v>93</v>
      </c>
      <c r="J5" s="52" t="s">
        <v>91</v>
      </c>
      <c r="K5" s="62"/>
      <c r="L5" s="70" t="s">
        <v>92</v>
      </c>
      <c r="M5" s="52" t="s">
        <v>89</v>
      </c>
      <c r="N5" s="62"/>
      <c r="O5" s="69" t="s">
        <v>12</v>
      </c>
      <c r="Q5" s="64" t="s">
        <v>93</v>
      </c>
      <c r="R5" s="59">
        <f>COUNTIFS($C$4:$O$23,Q5)</f>
        <v>5</v>
      </c>
      <c r="S5" s="60">
        <f t="shared" si="1"/>
        <v>435</v>
      </c>
      <c r="T5" s="63">
        <f>COUNTIFS($C$4:$D$23,Q5)</f>
        <v>0</v>
      </c>
      <c r="U5" s="63">
        <f>COUNTIFS($E$4:$F$23,Q5)</f>
        <v>1</v>
      </c>
      <c r="V5" s="63">
        <f>COUNTIFS($G$4:$H$23,Q5)</f>
        <v>1</v>
      </c>
      <c r="W5" s="63">
        <f>COUNTIFS($I$4:$I$23,Q5)</f>
        <v>1</v>
      </c>
      <c r="X5" s="63">
        <f>COUNTIFS($J$4:$K$23,Q5)</f>
        <v>0</v>
      </c>
      <c r="Y5" s="63">
        <f>COUNTIFS($L$4:$L$23,Q5)</f>
        <v>1</v>
      </c>
      <c r="Z5" s="63">
        <f>COUNTIFS($M$4:$N$23,Q5)</f>
        <v>1</v>
      </c>
      <c r="AA5" s="63">
        <f>COUNTIFS($O$4:$O$23,Q5)</f>
        <v>0</v>
      </c>
      <c r="AC5" s="68" t="s">
        <v>86</v>
      </c>
      <c r="AD5" s="68">
        <v>42</v>
      </c>
      <c r="AE5" s="68">
        <v>0</v>
      </c>
      <c r="AF5" s="68">
        <v>42</v>
      </c>
      <c r="AG5" s="68">
        <v>42</v>
      </c>
      <c r="AH5" s="68">
        <v>0</v>
      </c>
      <c r="AI5" s="68">
        <v>0</v>
      </c>
      <c r="AK5" s="24" t="s">
        <v>94</v>
      </c>
      <c r="AL5" s="24" t="s">
        <v>72</v>
      </c>
      <c r="AM5" s="24">
        <f>20*45</f>
        <v>900</v>
      </c>
      <c r="AN5" s="24">
        <v>50</v>
      </c>
      <c r="AO5" s="24">
        <f t="shared" si="0"/>
        <v>950</v>
      </c>
    </row>
    <row r="6" ht="20" customHeight="1" spans="1:41">
      <c r="A6" s="51" t="s">
        <v>95</v>
      </c>
      <c r="B6" s="51">
        <f>COUNTIFS([1]学生编排结果!$H:$H,A6)</f>
        <v>42</v>
      </c>
      <c r="C6" s="52" t="s">
        <v>83</v>
      </c>
      <c r="D6" s="62" t="s">
        <v>96</v>
      </c>
      <c r="E6" s="52" t="s">
        <v>97</v>
      </c>
      <c r="F6" s="62" t="s">
        <v>98</v>
      </c>
      <c r="G6" s="52" t="s">
        <v>99</v>
      </c>
      <c r="H6" s="62" t="s">
        <v>100</v>
      </c>
      <c r="I6" s="69" t="s">
        <v>74</v>
      </c>
      <c r="J6" s="52" t="s">
        <v>87</v>
      </c>
      <c r="K6" s="62" t="s">
        <v>101</v>
      </c>
      <c r="L6" s="70" t="s">
        <v>81</v>
      </c>
      <c r="M6" s="52" t="s">
        <v>99</v>
      </c>
      <c r="N6" s="62" t="s">
        <v>100</v>
      </c>
      <c r="O6" s="69" t="s">
        <v>90</v>
      </c>
      <c r="Q6" s="64" t="s">
        <v>74</v>
      </c>
      <c r="R6" s="59">
        <f>COUNTIFS($C$4:$O$23,Q6)</f>
        <v>5</v>
      </c>
      <c r="S6" s="60">
        <f t="shared" si="1"/>
        <v>465</v>
      </c>
      <c r="T6" s="63">
        <f>COUNTIFS($C$4:$D$23,Q6)</f>
        <v>1</v>
      </c>
      <c r="U6" s="63">
        <f>COUNTIFS($E$4:$F$23,Q6)</f>
        <v>1</v>
      </c>
      <c r="V6" s="63">
        <f>COUNTIFS($G$4:$H$23,Q6)</f>
        <v>1</v>
      </c>
      <c r="W6" s="63">
        <f>COUNTIFS($I$4:$I$23,Q6)</f>
        <v>1</v>
      </c>
      <c r="X6" s="63">
        <f>COUNTIFS($J$4:$K$23,Q6)</f>
        <v>0</v>
      </c>
      <c r="Y6" s="63">
        <f>COUNTIFS($L$4:$L$23,Q6)</f>
        <v>1</v>
      </c>
      <c r="Z6" s="63">
        <f>COUNTIFS($M$4:$N$23,Q6)</f>
        <v>0</v>
      </c>
      <c r="AA6" s="63">
        <f>COUNTIFS($O$4:$O$23,Q6)</f>
        <v>0</v>
      </c>
      <c r="AC6" s="68" t="s">
        <v>95</v>
      </c>
      <c r="AD6" s="68">
        <v>42</v>
      </c>
      <c r="AE6" s="68">
        <v>0</v>
      </c>
      <c r="AF6" s="68">
        <v>42</v>
      </c>
      <c r="AG6" s="68">
        <v>42</v>
      </c>
      <c r="AH6" s="68">
        <v>0</v>
      </c>
      <c r="AI6" s="68">
        <v>0</v>
      </c>
      <c r="AK6" s="24" t="s">
        <v>102</v>
      </c>
      <c r="AL6" s="24" t="s">
        <v>103</v>
      </c>
      <c r="AM6" s="24">
        <f>15*45</f>
        <v>675</v>
      </c>
      <c r="AN6" s="24">
        <v>50</v>
      </c>
      <c r="AO6" s="24">
        <f t="shared" si="0"/>
        <v>725</v>
      </c>
    </row>
    <row r="7" ht="20" customHeight="1" spans="1:41">
      <c r="A7" s="51" t="s">
        <v>104</v>
      </c>
      <c r="B7" s="51">
        <f>COUNTIFS([1]学生编排结果!$H:$H,A7)</f>
        <v>42</v>
      </c>
      <c r="C7" s="52" t="s">
        <v>91</v>
      </c>
      <c r="D7" s="62"/>
      <c r="E7" s="52" t="s">
        <v>105</v>
      </c>
      <c r="F7" s="62"/>
      <c r="G7" s="52" t="s">
        <v>106</v>
      </c>
      <c r="H7" s="62"/>
      <c r="I7" s="69" t="s">
        <v>75</v>
      </c>
      <c r="J7" s="52" t="s">
        <v>119</v>
      </c>
      <c r="K7" s="62"/>
      <c r="L7" s="70" t="s">
        <v>77</v>
      </c>
      <c r="M7" s="52" t="s">
        <v>106</v>
      </c>
      <c r="N7" s="62"/>
      <c r="O7" s="69" t="s">
        <v>107</v>
      </c>
      <c r="Q7" s="64" t="s">
        <v>75</v>
      </c>
      <c r="R7" s="59">
        <f>COUNTIFS($C$4:$O$23,Q7)</f>
        <v>5</v>
      </c>
      <c r="S7" s="60">
        <f t="shared" si="1"/>
        <v>465</v>
      </c>
      <c r="T7" s="63">
        <f>COUNTIFS($C$4:$D$23,Q7)</f>
        <v>1</v>
      </c>
      <c r="U7" s="63">
        <f>COUNTIFS($E$4:$F$23,Q7)</f>
        <v>1</v>
      </c>
      <c r="V7" s="63">
        <f>COUNTIFS($G$4:$H$23,Q7)</f>
        <v>1</v>
      </c>
      <c r="W7" s="63">
        <f>COUNTIFS($I$4:$I$23,Q7)</f>
        <v>1</v>
      </c>
      <c r="X7" s="63">
        <f>COUNTIFS($J$4:$K$23,Q7)</f>
        <v>0</v>
      </c>
      <c r="Y7" s="63">
        <f>COUNTIFS($L$4:$L$23,Q7)</f>
        <v>1</v>
      </c>
      <c r="Z7" s="63">
        <f>COUNTIFS($M$4:$N$23,Q7)</f>
        <v>0</v>
      </c>
      <c r="AA7" s="63">
        <f>COUNTIFS($O$4:$O$23,Q7)</f>
        <v>0</v>
      </c>
      <c r="AC7" s="68" t="s">
        <v>104</v>
      </c>
      <c r="AD7" s="68">
        <v>42</v>
      </c>
      <c r="AE7" s="68">
        <v>0</v>
      </c>
      <c r="AF7" s="68">
        <v>42</v>
      </c>
      <c r="AG7" s="68">
        <v>42</v>
      </c>
      <c r="AH7" s="68">
        <v>0</v>
      </c>
      <c r="AI7" s="68">
        <v>0</v>
      </c>
      <c r="AK7" s="24" t="s">
        <v>108</v>
      </c>
      <c r="AL7" s="24" t="s">
        <v>109</v>
      </c>
      <c r="AM7" s="24">
        <f>5*45</f>
        <v>225</v>
      </c>
      <c r="AN7" s="24">
        <v>25</v>
      </c>
      <c r="AO7" s="24">
        <f t="shared" si="0"/>
        <v>250</v>
      </c>
    </row>
    <row r="8" ht="20" customHeight="1" spans="1:41">
      <c r="A8" s="51" t="s">
        <v>110</v>
      </c>
      <c r="B8" s="51">
        <f>COUNTIFS([1]学生编排结果!$H:$H,A8)</f>
        <v>42</v>
      </c>
      <c r="C8" s="52" t="s">
        <v>87</v>
      </c>
      <c r="D8" s="62" t="s">
        <v>101</v>
      </c>
      <c r="E8" s="52" t="s">
        <v>111</v>
      </c>
      <c r="F8" s="62" t="s">
        <v>83</v>
      </c>
      <c r="G8" s="52" t="s">
        <v>112</v>
      </c>
      <c r="H8" s="62" t="s">
        <v>113</v>
      </c>
      <c r="I8" s="69" t="s">
        <v>114</v>
      </c>
      <c r="J8" s="52" t="s">
        <v>77</v>
      </c>
      <c r="K8" s="62" t="s">
        <v>88</v>
      </c>
      <c r="L8" s="70" t="s">
        <v>88</v>
      </c>
      <c r="M8" s="52" t="s">
        <v>113</v>
      </c>
      <c r="N8" s="62" t="s">
        <v>115</v>
      </c>
      <c r="O8" s="69" t="s">
        <v>80</v>
      </c>
      <c r="Q8" s="64" t="s">
        <v>114</v>
      </c>
      <c r="R8" s="59">
        <f>COUNTIFS($C$4:$O$23,Q8)</f>
        <v>5</v>
      </c>
      <c r="S8" s="60">
        <f t="shared" si="1"/>
        <v>435</v>
      </c>
      <c r="T8" s="63">
        <f>COUNTIFS($C$4:$D$23,Q8)</f>
        <v>0</v>
      </c>
      <c r="U8" s="63">
        <f>COUNTIFS($E$4:$F$23,Q8)</f>
        <v>1</v>
      </c>
      <c r="V8" s="63">
        <f>COUNTIFS($G$4:$H$23,Q8)</f>
        <v>1</v>
      </c>
      <c r="W8" s="63">
        <f>COUNTIFS($I$4:$I$23,Q8)</f>
        <v>1</v>
      </c>
      <c r="X8" s="63">
        <f>COUNTIFS($J$4:$K$23,Q8)</f>
        <v>0</v>
      </c>
      <c r="Y8" s="63">
        <f>COUNTIFS($L$4:$L$23,Q8)</f>
        <v>1</v>
      </c>
      <c r="Z8" s="63">
        <f>COUNTIFS($M$4:$N$23,Q8)</f>
        <v>1</v>
      </c>
      <c r="AA8" s="63">
        <f>COUNTIFS($O$4:$O$23,Q8)</f>
        <v>0</v>
      </c>
      <c r="AC8" s="68" t="s">
        <v>110</v>
      </c>
      <c r="AD8" s="68">
        <v>42</v>
      </c>
      <c r="AE8" s="68">
        <v>0</v>
      </c>
      <c r="AF8" s="68">
        <v>42</v>
      </c>
      <c r="AG8" s="68">
        <v>42</v>
      </c>
      <c r="AH8" s="68">
        <v>0</v>
      </c>
      <c r="AI8" s="68">
        <v>0</v>
      </c>
      <c r="AK8" s="24" t="s">
        <v>116</v>
      </c>
      <c r="AL8" s="24" t="s">
        <v>117</v>
      </c>
      <c r="AM8" s="24">
        <f>16*45</f>
        <v>720</v>
      </c>
      <c r="AN8" s="24">
        <v>0</v>
      </c>
      <c r="AO8" s="24">
        <f t="shared" si="0"/>
        <v>720</v>
      </c>
    </row>
    <row r="9" ht="20" customHeight="1" spans="1:41">
      <c r="A9" s="51" t="s">
        <v>118</v>
      </c>
      <c r="B9" s="51">
        <f>COUNTIFS([1]学生编排结果!$H:$H,A9)</f>
        <v>42</v>
      </c>
      <c r="C9" s="52" t="s">
        <v>119</v>
      </c>
      <c r="D9" s="62"/>
      <c r="E9" s="52" t="s">
        <v>84</v>
      </c>
      <c r="F9" s="62"/>
      <c r="G9" s="52" t="s">
        <v>115</v>
      </c>
      <c r="H9" s="62"/>
      <c r="I9" s="69" t="s">
        <v>96</v>
      </c>
      <c r="J9" s="52" t="s">
        <v>98</v>
      </c>
      <c r="K9" s="62"/>
      <c r="L9" s="70" t="s">
        <v>98</v>
      </c>
      <c r="M9" s="52" t="s">
        <v>150</v>
      </c>
      <c r="N9" s="62"/>
      <c r="O9" s="69" t="s">
        <v>143</v>
      </c>
      <c r="Q9" s="62" t="s">
        <v>96</v>
      </c>
      <c r="R9" s="59">
        <f>COUNTIFS($C$4:$O$23,Q9)</f>
        <v>5</v>
      </c>
      <c r="S9" s="60">
        <f t="shared" si="1"/>
        <v>465</v>
      </c>
      <c r="T9" s="63">
        <f>COUNTIFS($C$4:$D$23,Q9)</f>
        <v>1</v>
      </c>
      <c r="U9" s="63">
        <f>COUNTIFS($E$4:$F$23,Q9)</f>
        <v>1</v>
      </c>
      <c r="V9" s="63">
        <f>COUNTIFS($G$4:$H$23,Q9)</f>
        <v>0</v>
      </c>
      <c r="W9" s="63">
        <f>COUNTIFS($I$4:$I$23,Q9)</f>
        <v>1</v>
      </c>
      <c r="X9" s="63">
        <f>COUNTIFS($J$4:$K$23,Q9)</f>
        <v>0</v>
      </c>
      <c r="Y9" s="63">
        <f>COUNTIFS($L$4:$L$23,Q9)</f>
        <v>1</v>
      </c>
      <c r="Z9" s="63">
        <f>COUNTIFS($M$4:$N$23,Q9)</f>
        <v>1</v>
      </c>
      <c r="AA9" s="63">
        <f>COUNTIFS($O$4:$O$23,Q9)</f>
        <v>0</v>
      </c>
      <c r="AC9" s="68" t="s">
        <v>118</v>
      </c>
      <c r="AD9" s="68">
        <v>42</v>
      </c>
      <c r="AE9" s="68">
        <v>0</v>
      </c>
      <c r="AF9" s="68">
        <v>42</v>
      </c>
      <c r="AG9" s="68">
        <v>42</v>
      </c>
      <c r="AH9" s="68">
        <v>0</v>
      </c>
      <c r="AI9" s="68">
        <v>0</v>
      </c>
      <c r="AK9" s="24" t="s">
        <v>121</v>
      </c>
      <c r="AL9" s="24" t="s">
        <v>122</v>
      </c>
      <c r="AM9" s="24">
        <f>12*45</f>
        <v>540</v>
      </c>
      <c r="AN9" s="24">
        <v>0</v>
      </c>
      <c r="AO9" s="24">
        <f t="shared" si="0"/>
        <v>540</v>
      </c>
    </row>
    <row r="10" ht="20" customHeight="1" spans="1:41">
      <c r="A10" s="51" t="s">
        <v>123</v>
      </c>
      <c r="B10" s="51">
        <f>COUNTIFS([1]学生编排结果!$H:$H,A10)</f>
        <v>42</v>
      </c>
      <c r="C10" s="52" t="s">
        <v>134</v>
      </c>
      <c r="D10" s="62" t="s">
        <v>81</v>
      </c>
      <c r="E10" s="52" t="s">
        <v>93</v>
      </c>
      <c r="F10" s="62" t="s">
        <v>125</v>
      </c>
      <c r="G10" s="52" t="s">
        <v>125</v>
      </c>
      <c r="H10" s="62" t="s">
        <v>126</v>
      </c>
      <c r="I10" s="69" t="s">
        <v>127</v>
      </c>
      <c r="J10" s="52" t="s">
        <v>12</v>
      </c>
      <c r="K10" s="62" t="s">
        <v>90</v>
      </c>
      <c r="L10" s="70" t="s">
        <v>84</v>
      </c>
      <c r="M10" s="52" t="s">
        <v>128</v>
      </c>
      <c r="N10" s="62" t="s">
        <v>129</v>
      </c>
      <c r="O10" s="69" t="s">
        <v>91</v>
      </c>
      <c r="Q10" s="62" t="s">
        <v>127</v>
      </c>
      <c r="R10" s="59">
        <f>COUNTIFS($C$4:$O$23,Q10)</f>
        <v>5</v>
      </c>
      <c r="S10" s="60">
        <f t="shared" si="1"/>
        <v>465</v>
      </c>
      <c r="T10" s="63">
        <f>COUNTIFS($C$4:$D$23,Q10)</f>
        <v>1</v>
      </c>
      <c r="U10" s="63">
        <f>COUNTIFS($E$4:$F$23,Q10)</f>
        <v>1</v>
      </c>
      <c r="V10" s="63">
        <f>COUNTIFS($G$4:$H$23,Q10)</f>
        <v>0</v>
      </c>
      <c r="W10" s="63">
        <f>COUNTIFS($I$4:$I$23,Q10)</f>
        <v>1</v>
      </c>
      <c r="X10" s="63">
        <f>COUNTIFS($J$4:$K$23,Q10)</f>
        <v>0</v>
      </c>
      <c r="Y10" s="63">
        <f>COUNTIFS($L$4:$L$23,Q10)</f>
        <v>1</v>
      </c>
      <c r="Z10" s="63">
        <f>COUNTIFS($M$4:$N$23,Q10)</f>
        <v>1</v>
      </c>
      <c r="AA10" s="63">
        <f>COUNTIFS($O$4:$O$23,Q10)</f>
        <v>0</v>
      </c>
      <c r="AC10" s="68" t="s">
        <v>123</v>
      </c>
      <c r="AD10" s="68">
        <v>42</v>
      </c>
      <c r="AE10" s="68">
        <v>0</v>
      </c>
      <c r="AF10" s="68">
        <v>42</v>
      </c>
      <c r="AG10" s="68">
        <v>42</v>
      </c>
      <c r="AH10" s="68">
        <v>0</v>
      </c>
      <c r="AI10" s="68">
        <v>0</v>
      </c>
      <c r="AK10" s="24" t="s">
        <v>130</v>
      </c>
      <c r="AL10" s="24" t="s">
        <v>131</v>
      </c>
      <c r="AM10" s="24">
        <f>8*45</f>
        <v>360</v>
      </c>
      <c r="AN10" s="24">
        <v>0</v>
      </c>
      <c r="AO10" s="24">
        <f t="shared" si="0"/>
        <v>360</v>
      </c>
    </row>
    <row r="11" ht="20" customHeight="1" spans="1:41">
      <c r="A11" s="51" t="s">
        <v>132</v>
      </c>
      <c r="B11" s="51">
        <f>COUNTIFS([1]学生编排结果!$H:$H,A11)</f>
        <v>42</v>
      </c>
      <c r="C11" s="52" t="s">
        <v>127</v>
      </c>
      <c r="D11" s="62"/>
      <c r="E11" s="52" t="s">
        <v>126</v>
      </c>
      <c r="F11" s="62"/>
      <c r="G11" s="52" t="s">
        <v>120</v>
      </c>
      <c r="H11" s="62"/>
      <c r="I11" s="69" t="s">
        <v>133</v>
      </c>
      <c r="J11" s="52" t="s">
        <v>134</v>
      </c>
      <c r="K11" s="62"/>
      <c r="L11" s="70" t="s">
        <v>93</v>
      </c>
      <c r="M11" s="52" t="s">
        <v>92</v>
      </c>
      <c r="N11" s="62"/>
      <c r="O11" s="69" t="s">
        <v>87</v>
      </c>
      <c r="Q11" s="62" t="s">
        <v>133</v>
      </c>
      <c r="R11" s="59">
        <f>COUNTIFS($C$4:$O$23,Q11)</f>
        <v>5</v>
      </c>
      <c r="S11" s="60">
        <f t="shared" si="1"/>
        <v>465</v>
      </c>
      <c r="T11" s="63">
        <f>COUNTIFS($C$4:$D$23,Q11)</f>
        <v>1</v>
      </c>
      <c r="U11" s="63">
        <f>COUNTIFS($E$4:$F$23,Q11)</f>
        <v>1</v>
      </c>
      <c r="V11" s="63">
        <f>COUNTIFS($G$4:$H$23,Q11)</f>
        <v>0</v>
      </c>
      <c r="W11" s="63">
        <f>COUNTIFS($I$4:$I$23,Q11)</f>
        <v>1</v>
      </c>
      <c r="X11" s="63">
        <f>COUNTIFS($J$4:$K$23,Q11)</f>
        <v>0</v>
      </c>
      <c r="Y11" s="63">
        <f>COUNTIFS($L$4:$L$23,Q11)</f>
        <v>1</v>
      </c>
      <c r="Z11" s="63">
        <f>COUNTIFS($M$4:$N$23,Q11)</f>
        <v>1</v>
      </c>
      <c r="AA11" s="63">
        <f>COUNTIFS($O$4:$O$23,Q11)</f>
        <v>0</v>
      </c>
      <c r="AC11" s="68" t="s">
        <v>132</v>
      </c>
      <c r="AD11" s="68">
        <v>42</v>
      </c>
      <c r="AE11" s="68">
        <v>0</v>
      </c>
      <c r="AF11" s="68">
        <v>42</v>
      </c>
      <c r="AG11" s="68">
        <v>42</v>
      </c>
      <c r="AH11" s="68">
        <v>0</v>
      </c>
      <c r="AI11" s="68">
        <v>0</v>
      </c>
      <c r="AK11" s="24" t="s">
        <v>135</v>
      </c>
      <c r="AL11" s="24" t="s">
        <v>136</v>
      </c>
      <c r="AM11" s="24">
        <f>7*45</f>
        <v>315</v>
      </c>
      <c r="AN11" s="24"/>
      <c r="AO11" s="24">
        <f t="shared" si="0"/>
        <v>315</v>
      </c>
    </row>
    <row r="12" ht="20" customHeight="1" spans="1:41">
      <c r="A12" s="51" t="s">
        <v>137</v>
      </c>
      <c r="B12" s="51">
        <f>COUNTIFS([1]学生编排结果!$H:$H,A12)</f>
        <v>42</v>
      </c>
      <c r="C12" s="52" t="s">
        <v>133</v>
      </c>
      <c r="D12" s="62" t="s">
        <v>76</v>
      </c>
      <c r="E12" s="52" t="s">
        <v>120</v>
      </c>
      <c r="F12" s="62" t="s">
        <v>91</v>
      </c>
      <c r="G12" s="52" t="s">
        <v>138</v>
      </c>
      <c r="H12" s="62" t="s">
        <v>78</v>
      </c>
      <c r="I12" s="69" t="s">
        <v>112</v>
      </c>
      <c r="J12" s="52" t="s">
        <v>107</v>
      </c>
      <c r="K12" s="62" t="s">
        <v>80</v>
      </c>
      <c r="L12" s="70" t="s">
        <v>74</v>
      </c>
      <c r="M12" s="52" t="s">
        <v>90</v>
      </c>
      <c r="N12" s="62" t="s">
        <v>140</v>
      </c>
      <c r="O12" s="69" t="s">
        <v>101</v>
      </c>
      <c r="Q12" s="65" t="s">
        <v>112</v>
      </c>
      <c r="R12" s="59">
        <f>COUNTIFS($C$4:$O$23,Q12)</f>
        <v>4</v>
      </c>
      <c r="S12" s="60">
        <f t="shared" si="1"/>
        <v>465</v>
      </c>
      <c r="T12" s="65">
        <f>COUNTIFS($C$4:$D$23,Q12)</f>
        <v>0</v>
      </c>
      <c r="U12" s="65">
        <f>COUNTIFS($E$4:$F$23,Q12)</f>
        <v>0</v>
      </c>
      <c r="V12" s="63">
        <f>COUNTIFS($G$4:$H$23,Q12)</f>
        <v>1</v>
      </c>
      <c r="W12" s="63">
        <f>COUNTIFS($I$4:$I$23,Q12)</f>
        <v>1</v>
      </c>
      <c r="X12" s="63">
        <f>COUNTIFS($J$4:$K$23,Q12)</f>
        <v>1</v>
      </c>
      <c r="Y12" s="63">
        <f>COUNTIFS($L$4:$L$23,Q12)</f>
        <v>0</v>
      </c>
      <c r="Z12" s="63">
        <f>COUNTIFS($M$4:$N$23,Q12)</f>
        <v>1</v>
      </c>
      <c r="AA12" s="63">
        <f>COUNTIFS($O$4:$O$23,Q12)</f>
        <v>0</v>
      </c>
      <c r="AC12" s="68" t="s">
        <v>137</v>
      </c>
      <c r="AD12" s="68">
        <v>42</v>
      </c>
      <c r="AE12" s="68">
        <v>0</v>
      </c>
      <c r="AF12" s="68">
        <v>42</v>
      </c>
      <c r="AG12" s="68">
        <v>42</v>
      </c>
      <c r="AH12" s="68">
        <v>0</v>
      </c>
      <c r="AI12" s="68">
        <v>0</v>
      </c>
      <c r="AK12" s="24"/>
      <c r="AL12" s="24"/>
      <c r="AM12" s="24"/>
      <c r="AN12" s="24"/>
      <c r="AO12" s="24"/>
    </row>
    <row r="13" ht="20" customHeight="1" spans="1:41">
      <c r="A13" s="51" t="s">
        <v>141</v>
      </c>
      <c r="B13" s="51">
        <f>COUNTIFS([1]学生编排结果!$H:$H,A13)</f>
        <v>42</v>
      </c>
      <c r="C13" s="52" t="s">
        <v>142</v>
      </c>
      <c r="D13" s="62"/>
      <c r="E13" s="52" t="s">
        <v>87</v>
      </c>
      <c r="F13" s="62"/>
      <c r="G13" s="52" t="s">
        <v>124</v>
      </c>
      <c r="H13" s="62"/>
      <c r="I13" s="69" t="s">
        <v>142</v>
      </c>
      <c r="J13" s="52" t="s">
        <v>143</v>
      </c>
      <c r="K13" s="62"/>
      <c r="L13" s="70" t="s">
        <v>75</v>
      </c>
      <c r="M13" s="52" t="s">
        <v>93</v>
      </c>
      <c r="N13" s="62"/>
      <c r="O13" s="69" t="s">
        <v>119</v>
      </c>
      <c r="Q13" s="62" t="s">
        <v>142</v>
      </c>
      <c r="R13" s="59">
        <f>COUNTIFS($C$4:$O$23,Q13)</f>
        <v>5</v>
      </c>
      <c r="S13" s="60">
        <f t="shared" si="1"/>
        <v>465</v>
      </c>
      <c r="T13" s="63">
        <f>COUNTIFS($C$4:$D$23,Q13)</f>
        <v>1</v>
      </c>
      <c r="U13" s="63">
        <f>COUNTIFS($E$4:$F$23,Q13)</f>
        <v>1</v>
      </c>
      <c r="V13" s="63">
        <f>COUNTIFS($G$4:$H$23,Q13)</f>
        <v>0</v>
      </c>
      <c r="W13" s="63">
        <f>COUNTIFS($I$4:$I$23,Q13)</f>
        <v>1</v>
      </c>
      <c r="X13" s="63">
        <f>COUNTIFS($J$4:$K$23,Q13)</f>
        <v>0</v>
      </c>
      <c r="Y13" s="63">
        <f>COUNTIFS($L$4:$L$23,Q13)</f>
        <v>1</v>
      </c>
      <c r="Z13" s="63">
        <f>COUNTIFS($M$4:$N$23,Q13)</f>
        <v>1</v>
      </c>
      <c r="AA13" s="63">
        <f>COUNTIFS($O$4:$O$23,Q13)</f>
        <v>0</v>
      </c>
      <c r="AC13" s="68" t="s">
        <v>141</v>
      </c>
      <c r="AD13" s="68">
        <v>42</v>
      </c>
      <c r="AE13" s="68">
        <v>0</v>
      </c>
      <c r="AF13" s="68">
        <v>42</v>
      </c>
      <c r="AG13" s="68">
        <v>42</v>
      </c>
      <c r="AH13" s="68">
        <v>0</v>
      </c>
      <c r="AI13" s="68">
        <v>0</v>
      </c>
      <c r="AK13" s="24" t="s">
        <v>144</v>
      </c>
      <c r="AL13" s="24" t="s">
        <v>72</v>
      </c>
      <c r="AM13" s="24">
        <f>20*45</f>
        <v>900</v>
      </c>
      <c r="AN13" s="24">
        <v>50</v>
      </c>
      <c r="AO13" s="24">
        <f>AM13+AN13</f>
        <v>950</v>
      </c>
    </row>
    <row r="14" ht="20" customHeight="1" spans="1:41">
      <c r="A14" s="51" t="s">
        <v>145</v>
      </c>
      <c r="B14" s="51">
        <f>COUNTIFS([1]学生编排结果!$H:$H,A14)</f>
        <v>42</v>
      </c>
      <c r="C14" s="52" t="s">
        <v>139</v>
      </c>
      <c r="D14" s="62" t="s">
        <v>125</v>
      </c>
      <c r="E14" s="52" t="s">
        <v>101</v>
      </c>
      <c r="F14" s="62" t="s">
        <v>119</v>
      </c>
      <c r="G14" s="52" t="s">
        <v>84</v>
      </c>
      <c r="H14" s="62" t="s">
        <v>93</v>
      </c>
      <c r="I14" s="69" t="s">
        <v>139</v>
      </c>
      <c r="J14" s="52" t="s">
        <v>82</v>
      </c>
      <c r="K14" s="62" t="s">
        <v>79</v>
      </c>
      <c r="L14" s="70" t="s">
        <v>114</v>
      </c>
      <c r="M14" s="52" t="s">
        <v>12</v>
      </c>
      <c r="N14" s="62" t="s">
        <v>84</v>
      </c>
      <c r="O14" s="69" t="s">
        <v>115</v>
      </c>
      <c r="Q14" s="64" t="s">
        <v>139</v>
      </c>
      <c r="R14" s="59">
        <f>COUNTIFS($C$4:$O$23,Q14)</f>
        <v>5</v>
      </c>
      <c r="S14" s="60">
        <f t="shared" si="1"/>
        <v>465</v>
      </c>
      <c r="T14" s="63">
        <f>COUNTIFS($C$4:$D$23,Q14)</f>
        <v>1</v>
      </c>
      <c r="U14" s="63">
        <f>COUNTIFS($E$4:$F$23,Q14)</f>
        <v>1</v>
      </c>
      <c r="V14" s="63">
        <f>COUNTIFS($G$4:$H$23,Q14)</f>
        <v>0</v>
      </c>
      <c r="W14" s="63">
        <f>COUNTIFS($I$4:$I$23,Q14)</f>
        <v>1</v>
      </c>
      <c r="X14" s="63">
        <f>COUNTIFS($J$4:$K$23,Q14)</f>
        <v>0</v>
      </c>
      <c r="Y14" s="63">
        <f>COUNTIFS($L$4:$L$23,Q14)</f>
        <v>1</v>
      </c>
      <c r="Z14" s="63">
        <f>COUNTIFS($M$4:$N$23,Q14)</f>
        <v>1</v>
      </c>
      <c r="AA14" s="63">
        <f>COUNTIFS($O$4:$O$23,Q14)</f>
        <v>0</v>
      </c>
      <c r="AC14" s="68" t="s">
        <v>145</v>
      </c>
      <c r="AD14" s="68">
        <v>42</v>
      </c>
      <c r="AE14" s="68">
        <v>0</v>
      </c>
      <c r="AF14" s="68">
        <v>42</v>
      </c>
      <c r="AG14" s="68">
        <v>42</v>
      </c>
      <c r="AH14" s="68">
        <v>0</v>
      </c>
      <c r="AI14" s="68">
        <v>0</v>
      </c>
      <c r="AK14" s="24" t="s">
        <v>146</v>
      </c>
      <c r="AL14" s="24" t="s">
        <v>72</v>
      </c>
      <c r="AM14" s="24">
        <f>20*45</f>
        <v>900</v>
      </c>
      <c r="AN14" s="24">
        <v>50</v>
      </c>
      <c r="AO14" s="24">
        <f>AM14+AN14</f>
        <v>950</v>
      </c>
    </row>
    <row r="15" ht="20" customHeight="1" spans="1:35">
      <c r="A15" s="51" t="s">
        <v>147</v>
      </c>
      <c r="B15" s="51">
        <f>COUNTIFS([1]学生编排结果!$H:$H,A15)</f>
        <v>42</v>
      </c>
      <c r="C15" s="52" t="s">
        <v>126</v>
      </c>
      <c r="D15" s="62"/>
      <c r="E15" s="52" t="s">
        <v>134</v>
      </c>
      <c r="F15" s="62"/>
      <c r="G15" s="52" t="s">
        <v>75</v>
      </c>
      <c r="H15" s="62"/>
      <c r="I15" s="69" t="s">
        <v>125</v>
      </c>
      <c r="J15" s="52" t="s">
        <v>112</v>
      </c>
      <c r="K15" s="62"/>
      <c r="L15" s="70" t="s">
        <v>96</v>
      </c>
      <c r="M15" s="52" t="s">
        <v>114</v>
      </c>
      <c r="N15" s="62"/>
      <c r="O15" s="69" t="s">
        <v>134</v>
      </c>
      <c r="Q15" s="64" t="s">
        <v>125</v>
      </c>
      <c r="R15" s="59">
        <f>COUNTIFS($C$4:$O$23,Q15)</f>
        <v>5</v>
      </c>
      <c r="S15" s="60">
        <f t="shared" si="1"/>
        <v>465</v>
      </c>
      <c r="T15" s="63">
        <f>COUNTIFS($C$4:$D$23,Q15)</f>
        <v>1</v>
      </c>
      <c r="U15" s="63">
        <f>COUNTIFS($E$4:$F$23,Q15)</f>
        <v>1</v>
      </c>
      <c r="V15" s="63">
        <f>COUNTIFS($G$4:$H$23,Q15)</f>
        <v>1</v>
      </c>
      <c r="W15" s="63">
        <f>COUNTIFS($I$4:$I$23,Q15)</f>
        <v>1</v>
      </c>
      <c r="X15" s="63">
        <f>COUNTIFS($J$4:$K$23,Q15)</f>
        <v>0</v>
      </c>
      <c r="Y15" s="63">
        <f>COUNTIFS($L$4:$L$23,Q15)</f>
        <v>1</v>
      </c>
      <c r="Z15" s="63">
        <f>COUNTIFS($M$4:$N$23,Q15)</f>
        <v>0</v>
      </c>
      <c r="AA15" s="63">
        <f>COUNTIFS($O$4:$O$23,Q15)</f>
        <v>0</v>
      </c>
      <c r="AC15" s="68" t="s">
        <v>147</v>
      </c>
      <c r="AD15" s="68">
        <v>42</v>
      </c>
      <c r="AE15" s="68">
        <v>0</v>
      </c>
      <c r="AF15" s="68">
        <v>42</v>
      </c>
      <c r="AG15" s="68">
        <v>0</v>
      </c>
      <c r="AH15" s="68">
        <v>42</v>
      </c>
      <c r="AI15" s="68">
        <v>0</v>
      </c>
    </row>
    <row r="16" ht="20" customHeight="1" spans="1:35">
      <c r="A16" s="51" t="s">
        <v>148</v>
      </c>
      <c r="B16" s="51">
        <f>COUNTIFS([1]学生编排结果!$H:$H,A16)</f>
        <v>42</v>
      </c>
      <c r="C16" s="52" t="s">
        <v>120</v>
      </c>
      <c r="D16" s="62" t="s">
        <v>115</v>
      </c>
      <c r="E16" s="52" t="s">
        <v>81</v>
      </c>
      <c r="F16" s="62" t="s">
        <v>74</v>
      </c>
      <c r="G16" s="52" t="s">
        <v>114</v>
      </c>
      <c r="H16" s="62" t="s">
        <v>12</v>
      </c>
      <c r="I16" s="69" t="s">
        <v>126</v>
      </c>
      <c r="J16" s="52" t="s">
        <v>89</v>
      </c>
      <c r="K16" s="62" t="s">
        <v>99</v>
      </c>
      <c r="L16" s="70" t="s">
        <v>127</v>
      </c>
      <c r="M16" s="52" t="s">
        <v>96</v>
      </c>
      <c r="N16" s="62" t="s">
        <v>127</v>
      </c>
      <c r="O16" s="69" t="s">
        <v>140</v>
      </c>
      <c r="Q16" s="66" t="s">
        <v>126</v>
      </c>
      <c r="R16" s="59">
        <f>COUNTIFS($C$4:$O$23,Q16)</f>
        <v>5</v>
      </c>
      <c r="S16" s="60">
        <f t="shared" si="1"/>
        <v>465</v>
      </c>
      <c r="T16" s="63">
        <f>COUNTIFS($C$4:$D$23,Q16)</f>
        <v>1</v>
      </c>
      <c r="U16" s="63">
        <f>COUNTIFS($E$4:$F$23,Q16)</f>
        <v>1</v>
      </c>
      <c r="V16" s="63">
        <f>COUNTIFS($G$4:$H$23,Q16)</f>
        <v>1</v>
      </c>
      <c r="W16" s="63">
        <f>COUNTIFS($I$4:$I$23,Q16)</f>
        <v>1</v>
      </c>
      <c r="X16" s="63">
        <f>COUNTIFS($J$4:$K$23,Q16)</f>
        <v>0</v>
      </c>
      <c r="Y16" s="63">
        <f>COUNTIFS($L$4:$L$23,Q16)</f>
        <v>1</v>
      </c>
      <c r="Z16" s="63">
        <f>COUNTIFS($M$4:$N$23,Q16)</f>
        <v>0</v>
      </c>
      <c r="AA16" s="63">
        <f>COUNTIFS($O$4:$O$23,Q16)</f>
        <v>0</v>
      </c>
      <c r="AC16" s="68" t="s">
        <v>148</v>
      </c>
      <c r="AD16" s="68">
        <v>42</v>
      </c>
      <c r="AE16" s="68">
        <v>0</v>
      </c>
      <c r="AF16" s="68">
        <v>42</v>
      </c>
      <c r="AG16" s="68">
        <v>0</v>
      </c>
      <c r="AH16" s="68">
        <v>42</v>
      </c>
      <c r="AI16" s="68">
        <v>0</v>
      </c>
    </row>
    <row r="17" ht="20" customHeight="1" spans="1:35">
      <c r="A17" s="51" t="s">
        <v>149</v>
      </c>
      <c r="B17" s="51">
        <f>COUNTIFS([1]学生编排结果!$H:$H,A17)</f>
        <v>42</v>
      </c>
      <c r="C17" s="52" t="s">
        <v>150</v>
      </c>
      <c r="D17" s="62"/>
      <c r="E17" s="52" t="s">
        <v>75</v>
      </c>
      <c r="F17" s="62"/>
      <c r="G17" s="52" t="s">
        <v>90</v>
      </c>
      <c r="H17" s="62"/>
      <c r="I17" s="69" t="s">
        <v>120</v>
      </c>
      <c r="J17" s="52" t="s">
        <v>100</v>
      </c>
      <c r="K17" s="62"/>
      <c r="L17" s="70" t="s">
        <v>133</v>
      </c>
      <c r="M17" s="52" t="s">
        <v>133</v>
      </c>
      <c r="N17" s="62"/>
      <c r="O17" s="69" t="s">
        <v>82</v>
      </c>
      <c r="Q17" s="62" t="s">
        <v>120</v>
      </c>
      <c r="R17" s="59">
        <f>COUNTIFS($C$4:$O$23,Q17)</f>
        <v>5</v>
      </c>
      <c r="S17" s="60">
        <f t="shared" si="1"/>
        <v>465</v>
      </c>
      <c r="T17" s="63">
        <f>COUNTIFS($C$4:$D$23,Q17)</f>
        <v>1</v>
      </c>
      <c r="U17" s="63">
        <f>COUNTIFS($E$4:$F$23,Q17)</f>
        <v>1</v>
      </c>
      <c r="V17" s="63">
        <f>COUNTIFS($G$4:$H$23,Q17)</f>
        <v>1</v>
      </c>
      <c r="W17" s="63">
        <f>COUNTIFS($I$4:$I$23,Q17)</f>
        <v>1</v>
      </c>
      <c r="X17" s="63">
        <f>COUNTIFS($J$4:$K$23,Q17)</f>
        <v>0</v>
      </c>
      <c r="Y17" s="63">
        <f>COUNTIFS($L$4:$L$23,Q17)</f>
        <v>1</v>
      </c>
      <c r="Z17" s="63">
        <f>COUNTIFS($M$4:$N$23,Q17)</f>
        <v>0</v>
      </c>
      <c r="AA17" s="63">
        <f>COUNTIFS($O$4:$O$23,Q17)</f>
        <v>0</v>
      </c>
      <c r="AC17" s="68" t="s">
        <v>149</v>
      </c>
      <c r="AD17" s="68">
        <v>42</v>
      </c>
      <c r="AE17" s="68">
        <v>0</v>
      </c>
      <c r="AF17" s="68">
        <v>42</v>
      </c>
      <c r="AG17" s="68">
        <v>0</v>
      </c>
      <c r="AH17" s="68">
        <v>0</v>
      </c>
      <c r="AI17" s="68">
        <v>42</v>
      </c>
    </row>
    <row r="18" ht="20" customHeight="1" spans="1:35">
      <c r="A18" s="51" t="s">
        <v>151</v>
      </c>
      <c r="B18" s="51">
        <f>COUNTIFS([1]学生编排结果!$H:$H,A18)</f>
        <v>42</v>
      </c>
      <c r="C18" s="52" t="s">
        <v>128</v>
      </c>
      <c r="D18" s="62" t="s">
        <v>129</v>
      </c>
      <c r="E18" s="52" t="s">
        <v>114</v>
      </c>
      <c r="F18" s="62" t="s">
        <v>96</v>
      </c>
      <c r="G18" s="52" t="s">
        <v>107</v>
      </c>
      <c r="H18" s="62" t="s">
        <v>80</v>
      </c>
      <c r="I18" s="69" t="s">
        <v>138</v>
      </c>
      <c r="J18" s="52" t="s">
        <v>106</v>
      </c>
      <c r="K18" s="62" t="s">
        <v>113</v>
      </c>
      <c r="L18" s="70" t="s">
        <v>134</v>
      </c>
      <c r="M18" s="52" t="s">
        <v>112</v>
      </c>
      <c r="N18" s="62" t="s">
        <v>142</v>
      </c>
      <c r="O18" s="69" t="s">
        <v>79</v>
      </c>
      <c r="Q18" s="64" t="s">
        <v>138</v>
      </c>
      <c r="R18" s="59">
        <f>COUNTIFS($C$4:$O$23,Q18)</f>
        <v>4</v>
      </c>
      <c r="S18" s="60">
        <f t="shared" si="1"/>
        <v>465</v>
      </c>
      <c r="T18" s="63">
        <f>COUNTIFS($C$4:$D$23,Q18)</f>
        <v>0</v>
      </c>
      <c r="U18" s="63">
        <f>COUNTIFS($E$4:$F$23,Q18)</f>
        <v>0</v>
      </c>
      <c r="V18" s="63">
        <f>COUNTIFS($G$4:$H$23,Q18)</f>
        <v>1</v>
      </c>
      <c r="W18" s="63">
        <f>COUNTIFS($I$4:$I$23,Q18)</f>
        <v>1</v>
      </c>
      <c r="X18" s="63">
        <f>COUNTIFS($J$4:$K$23,Q18)</f>
        <v>1</v>
      </c>
      <c r="Y18" s="63">
        <f>COUNTIFS($L$4:$L$23,Q18)</f>
        <v>0</v>
      </c>
      <c r="Z18" s="63">
        <f>COUNTIFS($M$4:$N$23,Q18)</f>
        <v>1</v>
      </c>
      <c r="AA18" s="63">
        <f>COUNTIFS($O$4:$O$23,Q18)</f>
        <v>0</v>
      </c>
      <c r="AC18" s="68" t="s">
        <v>151</v>
      </c>
      <c r="AD18" s="68">
        <v>0</v>
      </c>
      <c r="AE18" s="68">
        <v>42</v>
      </c>
      <c r="AF18" s="68">
        <v>0</v>
      </c>
      <c r="AG18" s="68">
        <v>0</v>
      </c>
      <c r="AH18" s="68">
        <v>42</v>
      </c>
      <c r="AI18" s="68">
        <v>42</v>
      </c>
    </row>
    <row r="19" ht="20" customHeight="1" spans="1:35">
      <c r="A19" s="51" t="s">
        <v>152</v>
      </c>
      <c r="B19" s="51">
        <f>COUNTIFS([1]学生编排结果!$H:$H,A19)</f>
        <v>42</v>
      </c>
      <c r="C19" s="52" t="s">
        <v>92</v>
      </c>
      <c r="D19" s="62"/>
      <c r="E19" s="52" t="s">
        <v>127</v>
      </c>
      <c r="F19" s="62"/>
      <c r="G19" s="52" t="s">
        <v>143</v>
      </c>
      <c r="H19" s="62"/>
      <c r="I19" s="69" t="s">
        <v>78</v>
      </c>
      <c r="J19" s="52" t="s">
        <v>138</v>
      </c>
      <c r="K19" s="62"/>
      <c r="L19" s="70" t="s">
        <v>142</v>
      </c>
      <c r="M19" s="52" t="s">
        <v>139</v>
      </c>
      <c r="N19" s="62"/>
      <c r="O19" s="69" t="s">
        <v>89</v>
      </c>
      <c r="Q19" s="64" t="s">
        <v>78</v>
      </c>
      <c r="R19" s="59">
        <f>COUNTIFS($C$4:$O$23,Q19)</f>
        <v>4</v>
      </c>
      <c r="S19" s="60">
        <f t="shared" si="1"/>
        <v>465</v>
      </c>
      <c r="T19" s="63">
        <f>COUNTIFS($C$4:$D$23,Q19)</f>
        <v>0</v>
      </c>
      <c r="U19" s="63">
        <f>COUNTIFS($E$4:$F$23,Q19)</f>
        <v>0</v>
      </c>
      <c r="V19" s="63">
        <f>COUNTIFS($G$4:$H$23,Q19)</f>
        <v>1</v>
      </c>
      <c r="W19" s="63">
        <f>COUNTIFS($I$4:$I$23,Q19)</f>
        <v>1</v>
      </c>
      <c r="X19" s="63">
        <f>COUNTIFS($J$4:$K$23,Q19)</f>
        <v>1</v>
      </c>
      <c r="Y19" s="63">
        <f>COUNTIFS($L$4:$L$23,Q19)</f>
        <v>0</v>
      </c>
      <c r="Z19" s="63">
        <f>COUNTIFS($M$4:$N$23,Q19)</f>
        <v>1</v>
      </c>
      <c r="AA19" s="63">
        <f>COUNTIFS($O$4:$O$23,Q19)</f>
        <v>0</v>
      </c>
      <c r="AC19" s="68" t="s">
        <v>152</v>
      </c>
      <c r="AD19" s="68">
        <v>0</v>
      </c>
      <c r="AE19" s="68">
        <v>42</v>
      </c>
      <c r="AF19" s="68">
        <v>0</v>
      </c>
      <c r="AG19" s="68">
        <v>0</v>
      </c>
      <c r="AH19" s="68">
        <v>42</v>
      </c>
      <c r="AI19" s="68">
        <v>42</v>
      </c>
    </row>
    <row r="20" ht="20" customHeight="1" spans="1:35">
      <c r="A20" s="51" t="s">
        <v>153</v>
      </c>
      <c r="B20" s="51">
        <f>COUNTIFS([1]学生编排结果!$H:$H,A20)</f>
        <v>42</v>
      </c>
      <c r="C20" s="52" t="s">
        <v>140</v>
      </c>
      <c r="D20" s="62" t="s">
        <v>77</v>
      </c>
      <c r="E20" s="52" t="s">
        <v>133</v>
      </c>
      <c r="F20" s="62" t="s">
        <v>142</v>
      </c>
      <c r="G20" s="52" t="s">
        <v>150</v>
      </c>
      <c r="H20" s="62" t="s">
        <v>128</v>
      </c>
      <c r="I20" s="69" t="s">
        <v>124</v>
      </c>
      <c r="J20" s="52" t="s">
        <v>78</v>
      </c>
      <c r="K20" s="62" t="s">
        <v>124</v>
      </c>
      <c r="L20" s="70" t="s">
        <v>139</v>
      </c>
      <c r="M20" s="52" t="s">
        <v>107</v>
      </c>
      <c r="N20" s="62" t="s">
        <v>80</v>
      </c>
      <c r="O20" s="69" t="s">
        <v>99</v>
      </c>
      <c r="Q20" s="62" t="s">
        <v>124</v>
      </c>
      <c r="R20" s="59">
        <f>COUNTIFS($C$4:$O$23,Q20)</f>
        <v>4</v>
      </c>
      <c r="S20" s="60">
        <f t="shared" si="1"/>
        <v>465</v>
      </c>
      <c r="T20" s="63">
        <f>COUNTIFS($C$4:$D$23,Q20)</f>
        <v>0</v>
      </c>
      <c r="U20" s="63">
        <f>COUNTIFS($E$4:$F$23,Q20)</f>
        <v>0</v>
      </c>
      <c r="V20" s="63">
        <f>COUNTIFS($G$4:$H$23,Q20)</f>
        <v>1</v>
      </c>
      <c r="W20" s="63">
        <f>COUNTIFS($I$4:$I$23,Q20)</f>
        <v>1</v>
      </c>
      <c r="X20" s="63">
        <f>COUNTIFS($J$4:$K$23,Q20)</f>
        <v>1</v>
      </c>
      <c r="Y20" s="63">
        <f>COUNTIFS($L$4:$L$23,Q20)</f>
        <v>0</v>
      </c>
      <c r="Z20" s="63">
        <f>COUNTIFS($M$4:$N$23,Q20)</f>
        <v>1</v>
      </c>
      <c r="AA20" s="63">
        <f>COUNTIFS($O$4:$O$23,Q20)</f>
        <v>0</v>
      </c>
      <c r="AC20" s="68" t="s">
        <v>153</v>
      </c>
      <c r="AD20" s="68">
        <v>0</v>
      </c>
      <c r="AE20" s="68">
        <v>42</v>
      </c>
      <c r="AF20" s="68">
        <v>0</v>
      </c>
      <c r="AG20" s="68">
        <v>0</v>
      </c>
      <c r="AH20" s="68">
        <v>42</v>
      </c>
      <c r="AI20" s="68">
        <v>42</v>
      </c>
    </row>
    <row r="21" ht="20" customHeight="1" spans="1:35">
      <c r="A21" s="51" t="s">
        <v>154</v>
      </c>
      <c r="B21" s="51">
        <f>COUNTIFS([1]学生编排结果!$H:$H,A21)</f>
        <v>42</v>
      </c>
      <c r="C21" s="52" t="s">
        <v>88</v>
      </c>
      <c r="D21" s="62"/>
      <c r="E21" s="52" t="s">
        <v>139</v>
      </c>
      <c r="F21" s="62"/>
      <c r="G21" s="52" t="s">
        <v>129</v>
      </c>
      <c r="H21" s="62"/>
      <c r="I21" s="69" t="s">
        <v>97</v>
      </c>
      <c r="J21" s="52" t="s">
        <v>97</v>
      </c>
      <c r="K21" s="62"/>
      <c r="L21" s="70" t="s">
        <v>125</v>
      </c>
      <c r="M21" s="52" t="s">
        <v>143</v>
      </c>
      <c r="N21" s="62"/>
      <c r="O21" s="69" t="s">
        <v>100</v>
      </c>
      <c r="Q21" s="62" t="s">
        <v>97</v>
      </c>
      <c r="R21" s="59">
        <f>COUNTIFS($C$4:$O$23,Q21)</f>
        <v>4</v>
      </c>
      <c r="S21" s="60">
        <f t="shared" si="1"/>
        <v>450</v>
      </c>
      <c r="T21" s="63">
        <f>COUNTIFS($C$4:$D$23,Q21)</f>
        <v>1</v>
      </c>
      <c r="U21" s="63">
        <f>COUNTIFS($E$4:$F$23,Q21)</f>
        <v>1</v>
      </c>
      <c r="V21" s="63">
        <f>COUNTIFS($G$4:$H$23,Q21)</f>
        <v>0</v>
      </c>
      <c r="W21" s="63">
        <f>COUNTIFS($I$4:$I$23,Q21)</f>
        <v>1</v>
      </c>
      <c r="X21" s="63">
        <f>COUNTIFS($J$4:$K$23,Q21)</f>
        <v>1</v>
      </c>
      <c r="Y21" s="63">
        <f>COUNTIFS($L$4:$L$23,Q21)</f>
        <v>0</v>
      </c>
      <c r="Z21" s="63">
        <f>COUNTIFS($M$4:$N$23,Q21)</f>
        <v>0</v>
      </c>
      <c r="AA21" s="63">
        <f>COUNTIFS($O$4:$O$23,Q21)</f>
        <v>0</v>
      </c>
      <c r="AC21" s="68" t="s">
        <v>154</v>
      </c>
      <c r="AD21" s="68">
        <v>0</v>
      </c>
      <c r="AE21" s="68">
        <v>42</v>
      </c>
      <c r="AF21" s="68">
        <v>0</v>
      </c>
      <c r="AG21" s="68">
        <v>0</v>
      </c>
      <c r="AH21" s="68">
        <v>42</v>
      </c>
      <c r="AI21" s="68">
        <v>42</v>
      </c>
    </row>
    <row r="22" ht="20" customHeight="1" spans="1:35">
      <c r="A22" s="51" t="s">
        <v>155</v>
      </c>
      <c r="B22" s="51">
        <f>COUNTIFS([1]学生编排结果!$H:$H,A22)</f>
        <v>36</v>
      </c>
      <c r="C22" s="52" t="s">
        <v>97</v>
      </c>
      <c r="D22" s="62" t="s">
        <v>98</v>
      </c>
      <c r="E22" s="52" t="s">
        <v>150</v>
      </c>
      <c r="F22" s="62" t="s">
        <v>128</v>
      </c>
      <c r="G22" s="52" t="s">
        <v>92</v>
      </c>
      <c r="H22" s="62" t="s">
        <v>74</v>
      </c>
      <c r="I22" s="69" t="s">
        <v>105</v>
      </c>
      <c r="J22" s="52" t="s">
        <v>105</v>
      </c>
      <c r="K22" s="62" t="s">
        <v>111</v>
      </c>
      <c r="L22" s="70" t="s">
        <v>126</v>
      </c>
      <c r="M22" s="52" t="s">
        <v>138</v>
      </c>
      <c r="N22" s="62" t="s">
        <v>78</v>
      </c>
      <c r="O22" s="69" t="s">
        <v>106</v>
      </c>
      <c r="Q22" s="62" t="s">
        <v>105</v>
      </c>
      <c r="R22" s="59">
        <f>COUNTIFS($C$4:$O$23,Q22)</f>
        <v>4</v>
      </c>
      <c r="S22" s="60">
        <f t="shared" si="1"/>
        <v>450</v>
      </c>
      <c r="T22" s="63">
        <f>COUNTIFS($C$4:$D$23,Q22)</f>
        <v>1</v>
      </c>
      <c r="U22" s="63">
        <f>COUNTIFS($E$4:$F$23,Q22)</f>
        <v>1</v>
      </c>
      <c r="V22" s="63">
        <f>COUNTIFS($G$4:$H$23,Q22)</f>
        <v>0</v>
      </c>
      <c r="W22" s="63">
        <f>COUNTIFS($I$4:$I$23,Q22)</f>
        <v>1</v>
      </c>
      <c r="X22" s="63">
        <f>COUNTIFS($J$4:$K$23,Q22)</f>
        <v>1</v>
      </c>
      <c r="Y22" s="63">
        <f>COUNTIFS($L$4:$L$23,Q22)</f>
        <v>0</v>
      </c>
      <c r="Z22" s="63">
        <f>COUNTIFS($M$4:$N$23,Q22)</f>
        <v>0</v>
      </c>
      <c r="AA22" s="63">
        <f>COUNTIFS($O$4:$O$23,Q22)</f>
        <v>0</v>
      </c>
      <c r="AC22" s="68" t="s">
        <v>155</v>
      </c>
      <c r="AD22" s="68" t="s">
        <v>184</v>
      </c>
      <c r="AE22" s="68">
        <v>0</v>
      </c>
      <c r="AF22" s="68" t="s">
        <v>185</v>
      </c>
      <c r="AG22" s="68" t="s">
        <v>158</v>
      </c>
      <c r="AH22" s="68" t="s">
        <v>159</v>
      </c>
      <c r="AI22" s="68" t="s">
        <v>186</v>
      </c>
    </row>
    <row r="23" ht="20" customHeight="1" spans="1:35">
      <c r="A23" s="51" t="s">
        <v>161</v>
      </c>
      <c r="B23" s="51">
        <f>COUNTIFS([1]学生编排结果!$H:$H,A23)</f>
        <v>25</v>
      </c>
      <c r="C23" s="52" t="s">
        <v>105</v>
      </c>
      <c r="D23" s="62"/>
      <c r="E23" s="52" t="s">
        <v>129</v>
      </c>
      <c r="F23" s="62"/>
      <c r="G23" s="52" t="s">
        <v>140</v>
      </c>
      <c r="H23" s="62"/>
      <c r="I23" s="69" t="s">
        <v>111</v>
      </c>
      <c r="J23" s="52" t="s">
        <v>83</v>
      </c>
      <c r="K23" s="62"/>
      <c r="L23" s="70" t="s">
        <v>120</v>
      </c>
      <c r="M23" s="52" t="s">
        <v>124</v>
      </c>
      <c r="N23" s="62"/>
      <c r="O23" s="69" t="s">
        <v>113</v>
      </c>
      <c r="Q23" s="62" t="s">
        <v>111</v>
      </c>
      <c r="R23" s="59">
        <f>COUNTIFS($C$4:$O$23,Q23)</f>
        <v>4</v>
      </c>
      <c r="S23" s="60">
        <f t="shared" si="1"/>
        <v>450</v>
      </c>
      <c r="T23" s="63">
        <f>COUNTIFS($C$4:$D$23,Q23)</f>
        <v>1</v>
      </c>
      <c r="U23" s="63">
        <f>COUNTIFS($E$4:$F$23,Q23)</f>
        <v>1</v>
      </c>
      <c r="V23" s="63">
        <f>COUNTIFS($G$4:$H$23,Q23)</f>
        <v>0</v>
      </c>
      <c r="W23" s="63">
        <f>COUNTIFS($I$4:$I$23,Q23)</f>
        <v>1</v>
      </c>
      <c r="X23" s="63">
        <f>COUNTIFS($J$4:$K$23,Q23)</f>
        <v>1</v>
      </c>
      <c r="Y23" s="63">
        <f>COUNTIFS($L$4:$L$23,Q23)</f>
        <v>0</v>
      </c>
      <c r="Z23" s="63">
        <f>COUNTIFS($M$4:$N$23,Q23)</f>
        <v>0</v>
      </c>
      <c r="AA23" s="63">
        <f>COUNTIFS($O$4:$O$23,Q23)</f>
        <v>0</v>
      </c>
      <c r="AC23" s="68" t="s">
        <v>161</v>
      </c>
      <c r="AD23" s="68">
        <v>0</v>
      </c>
      <c r="AE23" s="68" t="s">
        <v>162</v>
      </c>
      <c r="AF23" s="68" t="s">
        <v>163</v>
      </c>
      <c r="AG23" s="68" t="s">
        <v>164</v>
      </c>
      <c r="AH23" s="68" t="s">
        <v>165</v>
      </c>
      <c r="AI23" s="68" t="s">
        <v>166</v>
      </c>
    </row>
    <row r="24" ht="20" customHeight="1" spans="1:35">
      <c r="A24" s="53" t="s">
        <v>167</v>
      </c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Q24" s="62" t="s">
        <v>83</v>
      </c>
      <c r="R24" s="59">
        <f>COUNTIFS($C$4:$O$23,Q24)</f>
        <v>4</v>
      </c>
      <c r="S24" s="60">
        <f t="shared" si="1"/>
        <v>450</v>
      </c>
      <c r="T24" s="63">
        <f>COUNTIFS($C$4:$D$23,Q24)</f>
        <v>1</v>
      </c>
      <c r="U24" s="63">
        <f>COUNTIFS($E$4:$F$23,Q24)</f>
        <v>1</v>
      </c>
      <c r="V24" s="63">
        <f>COUNTIFS($G$4:$H$23,Q24)</f>
        <v>0</v>
      </c>
      <c r="W24" s="63">
        <f>COUNTIFS($I$4:$I$23,Q24)</f>
        <v>0</v>
      </c>
      <c r="X24" s="63">
        <f>COUNTIFS($J$4:$K$23,Q24)</f>
        <v>1</v>
      </c>
      <c r="Y24" s="63">
        <f>COUNTIFS($L$4:$L$23,Q24)</f>
        <v>0</v>
      </c>
      <c r="Z24" s="63">
        <f>COUNTIFS($M$4:$N$23,Q24)</f>
        <v>0</v>
      </c>
      <c r="AA24" s="63">
        <f>COUNTIFS($O$4:$O$23,Q24)</f>
        <v>1</v>
      </c>
      <c r="AC24" s="68" t="s">
        <v>168</v>
      </c>
      <c r="AD24" s="68">
        <v>624</v>
      </c>
      <c r="AE24" s="68">
        <v>193</v>
      </c>
      <c r="AF24" s="68">
        <v>622</v>
      </c>
      <c r="AG24" s="68">
        <v>479</v>
      </c>
      <c r="AH24" s="68">
        <v>289</v>
      </c>
      <c r="AI24" s="68">
        <v>244</v>
      </c>
    </row>
    <row r="25" ht="20" customHeight="1" spans="17:27">
      <c r="Q25" s="62" t="s">
        <v>12</v>
      </c>
      <c r="R25" s="59">
        <f>COUNTIFS($C$4:$O$23,Q25)</f>
        <v>4</v>
      </c>
      <c r="S25" s="60">
        <f t="shared" si="1"/>
        <v>465</v>
      </c>
      <c r="T25" s="63">
        <f>COUNTIFS($C$4:$D$23,Q25)</f>
        <v>0</v>
      </c>
      <c r="U25" s="63">
        <f>COUNTIFS($E$4:$F$23,Q25)</f>
        <v>0</v>
      </c>
      <c r="V25" s="63">
        <f>COUNTIFS($G$4:$H$23,Q25)</f>
        <v>1</v>
      </c>
      <c r="W25" s="63">
        <f>COUNTIFS($I$4:$I$23,Q25)</f>
        <v>0</v>
      </c>
      <c r="X25" s="63">
        <f>COUNTIFS($J$4:$K$23,Q25)</f>
        <v>1</v>
      </c>
      <c r="Y25" s="63">
        <f>COUNTIFS($L$4:$L$23,Q25)</f>
        <v>0</v>
      </c>
      <c r="Z25" s="63">
        <f>COUNTIFS($M$4:$N$23,Q25)</f>
        <v>1</v>
      </c>
      <c r="AA25" s="63">
        <f>COUNTIFS($O$4:$O$23,Q25)</f>
        <v>1</v>
      </c>
    </row>
    <row r="26" ht="20" customHeight="1" spans="17:27">
      <c r="Q26" s="62" t="s">
        <v>90</v>
      </c>
      <c r="R26" s="59">
        <f>COUNTIFS($C$4:$O$23,Q26)</f>
        <v>4</v>
      </c>
      <c r="S26" s="60">
        <f t="shared" si="1"/>
        <v>465</v>
      </c>
      <c r="T26" s="63">
        <f>COUNTIFS($C$4:$D$23,Q26)</f>
        <v>0</v>
      </c>
      <c r="U26" s="63">
        <f>COUNTIFS($E$4:$F$23,Q26)</f>
        <v>0</v>
      </c>
      <c r="V26" s="63">
        <f>COUNTIFS($G$4:$H$23,Q26)</f>
        <v>1</v>
      </c>
      <c r="W26" s="63">
        <f>COUNTIFS($I$4:$I$23,Q26)</f>
        <v>0</v>
      </c>
      <c r="X26" s="63">
        <f>COUNTIFS($J$4:$K$23,Q26)</f>
        <v>1</v>
      </c>
      <c r="Y26" s="63">
        <f>COUNTIFS($L$4:$L$23,Q26)</f>
        <v>0</v>
      </c>
      <c r="Z26" s="63">
        <f>COUNTIFS($M$4:$N$23,Q26)</f>
        <v>1</v>
      </c>
      <c r="AA26" s="63">
        <f>COUNTIFS($O$4:$O$23,Q26)</f>
        <v>1</v>
      </c>
    </row>
    <row r="27" ht="20" customHeight="1" spans="17:27">
      <c r="Q27" s="62" t="s">
        <v>107</v>
      </c>
      <c r="R27" s="59">
        <f>COUNTIFS($C$4:$O$23,Q27)</f>
        <v>4</v>
      </c>
      <c r="S27" s="60">
        <f t="shared" si="1"/>
        <v>465</v>
      </c>
      <c r="T27" s="63">
        <f>COUNTIFS($C$4:$D$23,Q27)</f>
        <v>0</v>
      </c>
      <c r="U27" s="63">
        <f>COUNTIFS($E$4:$F$23,Q27)</f>
        <v>0</v>
      </c>
      <c r="V27" s="63">
        <f>COUNTIFS($G$4:$H$23,Q27)</f>
        <v>1</v>
      </c>
      <c r="W27" s="63">
        <f>COUNTIFS($I$4:$I$23,Q27)</f>
        <v>0</v>
      </c>
      <c r="X27" s="63">
        <f>COUNTIFS($J$4:$K$23,Q27)</f>
        <v>1</v>
      </c>
      <c r="Y27" s="63">
        <f>COUNTIFS($L$4:$L$23,Q27)</f>
        <v>0</v>
      </c>
      <c r="Z27" s="63">
        <f>COUNTIFS($M$4:$N$23,Q27)</f>
        <v>1</v>
      </c>
      <c r="AA27" s="63">
        <f>COUNTIFS($O$4:$O$23,Q27)</f>
        <v>1</v>
      </c>
    </row>
    <row r="28" ht="20" customHeight="1" spans="17:35">
      <c r="Q28" s="62" t="s">
        <v>80</v>
      </c>
      <c r="R28" s="59">
        <f>COUNTIFS($C$4:$O$23,Q28)</f>
        <v>4</v>
      </c>
      <c r="S28" s="60">
        <f t="shared" si="1"/>
        <v>465</v>
      </c>
      <c r="T28" s="63">
        <f>COUNTIFS($C$4:$D$23,Q28)</f>
        <v>0</v>
      </c>
      <c r="U28" s="63">
        <f>COUNTIFS($E$4:$F$23,Q28)</f>
        <v>0</v>
      </c>
      <c r="V28" s="63">
        <f>COUNTIFS($G$4:$H$23,Q28)</f>
        <v>1</v>
      </c>
      <c r="W28" s="63">
        <f>COUNTIFS($I$4:$I$23,Q28)</f>
        <v>0</v>
      </c>
      <c r="X28" s="63">
        <f>COUNTIFS($J$4:$K$23,Q28)</f>
        <v>1</v>
      </c>
      <c r="Y28" s="63">
        <f>COUNTIFS($L$4:$L$23,Q28)</f>
        <v>0</v>
      </c>
      <c r="Z28" s="63">
        <f>COUNTIFS($M$4:$N$23,Q28)</f>
        <v>1</v>
      </c>
      <c r="AA28" s="63">
        <f>COUNTIFS($O$4:$O$23,Q28)</f>
        <v>1</v>
      </c>
      <c r="AD28" s="1" t="s">
        <v>169</v>
      </c>
      <c r="AE28" s="1"/>
      <c r="AF28" s="1"/>
      <c r="AG28" s="1"/>
      <c r="AH28" s="1"/>
      <c r="AI28" s="1"/>
    </row>
    <row r="29" ht="20" customHeight="1" spans="17:35">
      <c r="Q29" s="62" t="s">
        <v>143</v>
      </c>
      <c r="R29" s="59">
        <f>COUNTIFS($C$4:$O$23,Q29)</f>
        <v>4</v>
      </c>
      <c r="S29" s="60">
        <f t="shared" si="1"/>
        <v>465</v>
      </c>
      <c r="T29" s="63">
        <f>COUNTIFS($C$4:$D$23,Q29)</f>
        <v>0</v>
      </c>
      <c r="U29" s="63">
        <f>COUNTIFS($E$4:$F$23,Q29)</f>
        <v>0</v>
      </c>
      <c r="V29" s="63">
        <f>COUNTIFS($G$4:$H$23,Q29)</f>
        <v>1</v>
      </c>
      <c r="W29" s="63">
        <f>COUNTIFS($I$4:$I$23,Q29)</f>
        <v>0</v>
      </c>
      <c r="X29" s="63">
        <f>COUNTIFS($J$4:$K$23,Q29)</f>
        <v>1</v>
      </c>
      <c r="Y29" s="63">
        <f>COUNTIFS($L$4:$L$23,Q29)</f>
        <v>0</v>
      </c>
      <c r="Z29" s="63">
        <f>COUNTIFS($M$4:$N$23,Q29)</f>
        <v>1</v>
      </c>
      <c r="AA29" s="63">
        <f>COUNTIFS($O$4:$O$23,Q29)</f>
        <v>1</v>
      </c>
      <c r="AD29" s="1"/>
      <c r="AE29" s="1"/>
      <c r="AF29" s="1"/>
      <c r="AG29" s="1"/>
      <c r="AH29" s="1"/>
      <c r="AI29" s="1"/>
    </row>
    <row r="30" ht="20" customHeight="1" spans="17:35">
      <c r="Q30" s="62" t="s">
        <v>91</v>
      </c>
      <c r="R30" s="59">
        <f>COUNTIFS($C$4:$O$23,Q30)</f>
        <v>4</v>
      </c>
      <c r="S30" s="60">
        <f t="shared" si="1"/>
        <v>450</v>
      </c>
      <c r="T30" s="63">
        <f>COUNTIFS($C$4:$D$23,Q30)</f>
        <v>1</v>
      </c>
      <c r="U30" s="63">
        <f>COUNTIFS($E$4:$F$23,Q30)</f>
        <v>1</v>
      </c>
      <c r="V30" s="63">
        <f>COUNTIFS($G$4:$H$23,Q30)</f>
        <v>0</v>
      </c>
      <c r="W30" s="63">
        <f>COUNTIFS($I$4:$I$23,Q30)</f>
        <v>0</v>
      </c>
      <c r="X30" s="63">
        <f>COUNTIFS($J$4:$K$23,Q30)</f>
        <v>1</v>
      </c>
      <c r="Y30" s="63">
        <f>COUNTIFS($L$4:$L$23,Q30)</f>
        <v>0</v>
      </c>
      <c r="Z30" s="63">
        <f>COUNTIFS($M$4:$N$23,Q30)</f>
        <v>0</v>
      </c>
      <c r="AA30" s="63">
        <f>COUNTIFS($O$4:$O$23,Q30)</f>
        <v>1</v>
      </c>
      <c r="AD30" s="2"/>
      <c r="AE30" s="2"/>
      <c r="AF30" s="2" t="s">
        <v>170</v>
      </c>
      <c r="AG30" s="2"/>
      <c r="AH30" s="2" t="s">
        <v>171</v>
      </c>
      <c r="AI30" s="2"/>
    </row>
    <row r="31" ht="20" customHeight="1" spans="17:35">
      <c r="Q31" s="62" t="s">
        <v>87</v>
      </c>
      <c r="R31" s="59">
        <f>COUNTIFS($C$4:$O$23,Q31)</f>
        <v>4</v>
      </c>
      <c r="S31" s="60">
        <f t="shared" si="1"/>
        <v>450</v>
      </c>
      <c r="T31" s="63">
        <f>COUNTIFS($C$4:$D$23,Q31)</f>
        <v>1</v>
      </c>
      <c r="U31" s="63">
        <f>COUNTIFS($E$4:$F$23,Q31)</f>
        <v>1</v>
      </c>
      <c r="V31" s="63">
        <f>COUNTIFS($G$4:$H$23,Q31)</f>
        <v>0</v>
      </c>
      <c r="W31" s="63">
        <f>COUNTIFS($I$4:$I$23,Q31)</f>
        <v>0</v>
      </c>
      <c r="X31" s="63">
        <f>COUNTIFS($J$4:$K$23,Q31)</f>
        <v>1</v>
      </c>
      <c r="Y31" s="63">
        <f>COUNTIFS($L$4:$L$23,Q31)</f>
        <v>0</v>
      </c>
      <c r="Z31" s="63">
        <f>COUNTIFS($M$4:$N$23,Q31)</f>
        <v>0</v>
      </c>
      <c r="AA31" s="63">
        <f>COUNTIFS($O$4:$O$23,Q31)</f>
        <v>1</v>
      </c>
      <c r="AD31" s="2" t="s">
        <v>172</v>
      </c>
      <c r="AE31" s="2"/>
      <c r="AF31" s="2" t="s">
        <v>67</v>
      </c>
      <c r="AG31" s="2"/>
      <c r="AH31" s="2" t="s">
        <v>68</v>
      </c>
      <c r="AI31" s="2"/>
    </row>
    <row r="32" ht="20" customHeight="1" spans="17:35">
      <c r="Q32" s="62" t="s">
        <v>101</v>
      </c>
      <c r="R32" s="59">
        <f>COUNTIFS($C$4:$O$23,Q32)</f>
        <v>4</v>
      </c>
      <c r="S32" s="60">
        <f t="shared" si="1"/>
        <v>450</v>
      </c>
      <c r="T32" s="63">
        <f>COUNTIFS($C$4:$D$23,Q32)</f>
        <v>1</v>
      </c>
      <c r="U32" s="63">
        <f>COUNTIFS($E$4:$F$23,Q32)</f>
        <v>1</v>
      </c>
      <c r="V32" s="63">
        <f>COUNTIFS($G$4:$H$23,Q32)</f>
        <v>0</v>
      </c>
      <c r="W32" s="63">
        <f>COUNTIFS($I$4:$I$23,Q32)</f>
        <v>0</v>
      </c>
      <c r="X32" s="63">
        <f>COUNTIFS($J$4:$K$23,Q32)</f>
        <v>1</v>
      </c>
      <c r="Y32" s="63">
        <f>COUNTIFS($L$4:$L$23,Q32)</f>
        <v>0</v>
      </c>
      <c r="Z32" s="63">
        <f>COUNTIFS($M$4:$N$23,Q32)</f>
        <v>0</v>
      </c>
      <c r="AA32" s="63">
        <f>COUNTIFS($O$4:$O$23,Q32)</f>
        <v>1</v>
      </c>
      <c r="AD32" s="2" t="s">
        <v>173</v>
      </c>
      <c r="AE32" s="2"/>
      <c r="AF32" s="2" t="s">
        <v>67</v>
      </c>
      <c r="AG32" s="2"/>
      <c r="AH32" s="2" t="s">
        <v>69</v>
      </c>
      <c r="AI32" s="2"/>
    </row>
    <row r="33" ht="20" customHeight="1" spans="5:35">
      <c r="E33" s="37"/>
      <c r="F33" s="37"/>
      <c r="G33" s="38"/>
      <c r="H33" s="38"/>
      <c r="I33" s="37"/>
      <c r="Q33" s="62" t="s">
        <v>119</v>
      </c>
      <c r="R33" s="59">
        <f>COUNTIFS($C$4:$O$23,Q33)</f>
        <v>4</v>
      </c>
      <c r="S33" s="60">
        <f t="shared" si="1"/>
        <v>450</v>
      </c>
      <c r="T33" s="63">
        <f>COUNTIFS($C$4:$D$23,Q33)</f>
        <v>1</v>
      </c>
      <c r="U33" s="63">
        <f>COUNTIFS($E$4:$F$23,Q33)</f>
        <v>1</v>
      </c>
      <c r="V33" s="63">
        <f>COUNTIFS($G$4:$H$23,Q33)</f>
        <v>0</v>
      </c>
      <c r="W33" s="63">
        <f>COUNTIFS($I$4:$I$23,Q33)</f>
        <v>0</v>
      </c>
      <c r="X33" s="63">
        <f>COUNTIFS($J$4:$K$23,Q33)</f>
        <v>1</v>
      </c>
      <c r="Y33" s="63">
        <f>COUNTIFS($L$4:$L$23,Q33)</f>
        <v>0</v>
      </c>
      <c r="Z33" s="63">
        <f>COUNTIFS($M$4:$N$23,Q33)</f>
        <v>0</v>
      </c>
      <c r="AA33" s="63">
        <f>COUNTIFS($O$4:$O$23,Q33)</f>
        <v>1</v>
      </c>
      <c r="AD33" s="2" t="s">
        <v>174</v>
      </c>
      <c r="AE33" s="2"/>
      <c r="AF33" s="2" t="s">
        <v>67</v>
      </c>
      <c r="AG33" s="2"/>
      <c r="AH33" s="2" t="s">
        <v>70</v>
      </c>
      <c r="AI33" s="2"/>
    </row>
    <row r="34" ht="20" customHeight="1" spans="5:35">
      <c r="E34" s="37"/>
      <c r="F34" s="37"/>
      <c r="G34" s="39"/>
      <c r="H34" s="39"/>
      <c r="I34" s="37"/>
      <c r="Q34" s="65" t="s">
        <v>175</v>
      </c>
      <c r="R34" s="67" t="s">
        <v>176</v>
      </c>
      <c r="S34" s="60">
        <f t="shared" si="1"/>
        <v>0</v>
      </c>
      <c r="T34" s="63">
        <f>COUNTIFS($C$4:$D$23,Q34)</f>
        <v>0</v>
      </c>
      <c r="U34" s="63">
        <f>COUNTIFS($E$4:$F$23,Q34)</f>
        <v>0</v>
      </c>
      <c r="V34" s="63">
        <f>COUNTIFS($G$4:$H$23,Q34)</f>
        <v>0</v>
      </c>
      <c r="W34" s="63">
        <f>COUNTIFS($I$4:$I$23,Q34)</f>
        <v>0</v>
      </c>
      <c r="X34" s="63">
        <f>COUNTIFS($J$4:$K$23,Q34)</f>
        <v>0</v>
      </c>
      <c r="Y34" s="63">
        <f>COUNTIFS($L$4:$L$23,Q34)</f>
        <v>0</v>
      </c>
      <c r="Z34" s="63">
        <f>COUNTIFS($M$4:$N$23,Q34)</f>
        <v>0</v>
      </c>
      <c r="AA34" s="63">
        <f>COUNTIFS($O$4:$O$23,Q34)</f>
        <v>0</v>
      </c>
      <c r="AD34" s="2" t="s">
        <v>177</v>
      </c>
      <c r="AE34" s="2"/>
      <c r="AF34" s="2" t="s">
        <v>69</v>
      </c>
      <c r="AG34" s="2"/>
      <c r="AH34" s="2" t="s">
        <v>70</v>
      </c>
      <c r="AI34" s="2"/>
    </row>
    <row r="35" ht="20" customHeight="1" spans="5:35">
      <c r="E35" s="37"/>
      <c r="F35" s="37"/>
      <c r="G35" s="37"/>
      <c r="H35" s="37"/>
      <c r="I35" s="37"/>
      <c r="Q35" s="62" t="s">
        <v>134</v>
      </c>
      <c r="R35" s="59">
        <f>COUNTIFS($C$4:$O$23,Q35)</f>
        <v>5</v>
      </c>
      <c r="S35" s="60">
        <f t="shared" si="1"/>
        <v>510</v>
      </c>
      <c r="T35" s="63">
        <f>COUNTIFS($C$4:$D$23,Q35)</f>
        <v>1</v>
      </c>
      <c r="U35" s="63">
        <f>COUNTIFS($E$4:$F$23,Q35)</f>
        <v>1</v>
      </c>
      <c r="V35" s="63">
        <f>COUNTIFS($G$4:$H$23,Q35)</f>
        <v>0</v>
      </c>
      <c r="W35" s="63">
        <f>COUNTIFS($I$4:$I$23,Q35)</f>
        <v>0</v>
      </c>
      <c r="X35" s="63">
        <f>COUNTIFS($J$4:$K$23,Q35)</f>
        <v>1</v>
      </c>
      <c r="Y35" s="63">
        <f>COUNTIFS($L$4:$L$23,Q35)</f>
        <v>1</v>
      </c>
      <c r="Z35" s="63">
        <f>COUNTIFS($M$4:$N$23,Q35)</f>
        <v>0</v>
      </c>
      <c r="AA35" s="63">
        <f>COUNTIFS($O$4:$O$23,Q35)</f>
        <v>1</v>
      </c>
      <c r="AD35" s="2" t="s">
        <v>178</v>
      </c>
      <c r="AE35" s="2"/>
      <c r="AF35" s="3" t="s">
        <v>187</v>
      </c>
      <c r="AG35" s="3"/>
      <c r="AH35" s="3" t="s">
        <v>188</v>
      </c>
      <c r="AI35" s="3"/>
    </row>
    <row r="36" ht="20" customHeight="1" spans="5:35">
      <c r="E36" s="37"/>
      <c r="F36" s="37"/>
      <c r="G36" s="37"/>
      <c r="H36" s="37"/>
      <c r="I36" s="37"/>
      <c r="Q36" s="65" t="s">
        <v>81</v>
      </c>
      <c r="R36" s="59">
        <f>COUNTIFS($C$4:$O$23,Q36)</f>
        <v>4</v>
      </c>
      <c r="S36" s="60">
        <f t="shared" si="1"/>
        <v>450</v>
      </c>
      <c r="T36" s="63">
        <f>COUNTIFS($C$4:$D$23,Q36)</f>
        <v>1</v>
      </c>
      <c r="U36" s="63">
        <f>COUNTIFS($E$4:$F$23,Q36)</f>
        <v>1</v>
      </c>
      <c r="V36" s="63">
        <f>COUNTIFS($G$4:$H$23,Q36)</f>
        <v>0</v>
      </c>
      <c r="W36" s="63">
        <f>COUNTIFS($I$4:$I$23,Q36)</f>
        <v>0</v>
      </c>
      <c r="X36" s="63">
        <f>COUNTIFS($J$4:$K$23,Q36)</f>
        <v>1</v>
      </c>
      <c r="Y36" s="63">
        <f>COUNTIFS($L$4:$L$23,Q36)</f>
        <v>1</v>
      </c>
      <c r="Z36" s="67">
        <f>COUNTIFS($M$4:$N$23,Q36)</f>
        <v>0</v>
      </c>
      <c r="AA36" s="67">
        <f>COUNTIFS($O$4:$O$23,Q36)</f>
        <v>0</v>
      </c>
      <c r="AD36" s="2"/>
      <c r="AE36" s="2"/>
      <c r="AF36" s="3"/>
      <c r="AG36" s="3"/>
      <c r="AH36" s="3"/>
      <c r="AI36" s="3"/>
    </row>
    <row r="37" ht="20" customHeight="1" spans="5:35">
      <c r="E37" s="37"/>
      <c r="F37" s="37"/>
      <c r="G37" s="40"/>
      <c r="H37" s="40"/>
      <c r="I37" s="37"/>
      <c r="Q37" s="62" t="s">
        <v>82</v>
      </c>
      <c r="R37" s="59">
        <f>COUNTIFS($C$4:$O$23,Q37)</f>
        <v>4</v>
      </c>
      <c r="S37" s="60">
        <f t="shared" si="1"/>
        <v>465</v>
      </c>
      <c r="T37" s="63">
        <f>COUNTIFS($C$4:$D$23,Q37)</f>
        <v>0</v>
      </c>
      <c r="U37" s="63">
        <f>COUNTIFS($E$4:$F$23,Q37)</f>
        <v>0</v>
      </c>
      <c r="V37" s="63">
        <f>COUNTIFS($G$4:$H$23,Q37)</f>
        <v>1</v>
      </c>
      <c r="W37" s="63">
        <f>COUNTIFS($I$4:$I$23,Q37)</f>
        <v>0</v>
      </c>
      <c r="X37" s="63">
        <f>COUNTIFS($J$4:$K$23,Q37)</f>
        <v>1</v>
      </c>
      <c r="Y37" s="63">
        <f>COUNTIFS($L$4:$L$23,Q37)</f>
        <v>0</v>
      </c>
      <c r="Z37" s="63">
        <f>COUNTIFS($M$4:$N$23,Q37)</f>
        <v>1</v>
      </c>
      <c r="AA37" s="63">
        <f>COUNTIFS($O$4:$O$23,Q37)</f>
        <v>1</v>
      </c>
      <c r="AD37" s="2"/>
      <c r="AE37" s="2"/>
      <c r="AF37" s="3"/>
      <c r="AG37" s="3"/>
      <c r="AH37" s="3"/>
      <c r="AI37" s="3"/>
    </row>
    <row r="38" ht="20" customHeight="1" spans="5:35">
      <c r="E38" s="37"/>
      <c r="F38" s="37"/>
      <c r="G38" s="37"/>
      <c r="H38" s="37"/>
      <c r="I38" s="37"/>
      <c r="Q38" s="64" t="s">
        <v>79</v>
      </c>
      <c r="R38" s="59">
        <f>COUNTIFS($C$4:$O$23,Q38)</f>
        <v>4</v>
      </c>
      <c r="S38" s="60">
        <f t="shared" si="1"/>
        <v>465</v>
      </c>
      <c r="T38" s="63">
        <f>COUNTIFS($C$4:$D$23,Q38)</f>
        <v>0</v>
      </c>
      <c r="U38" s="63">
        <f>COUNTIFS($E$4:$F$23,Q38)</f>
        <v>0</v>
      </c>
      <c r="V38" s="63">
        <f>COUNTIFS($G$4:$H$23,Q38)</f>
        <v>1</v>
      </c>
      <c r="W38" s="63">
        <f>COUNTIFS($I$4:$I$23,Q38)</f>
        <v>0</v>
      </c>
      <c r="X38" s="63">
        <f>COUNTIFS($J$4:$K$23,Q38)</f>
        <v>1</v>
      </c>
      <c r="Y38" s="63">
        <f>COUNTIFS($L$4:$L$23,Q38)</f>
        <v>0</v>
      </c>
      <c r="Z38" s="63">
        <f>COUNTIFS($M$4:$N$23,Q38)</f>
        <v>1</v>
      </c>
      <c r="AA38" s="63">
        <f>COUNTIFS($O$4:$O$23,Q38)</f>
        <v>1</v>
      </c>
      <c r="AD38" s="4" t="s">
        <v>181</v>
      </c>
      <c r="AE38" s="4"/>
      <c r="AF38" s="3" t="s">
        <v>182</v>
      </c>
      <c r="AG38" s="3"/>
      <c r="AH38" s="3" t="s">
        <v>183</v>
      </c>
      <c r="AI38" s="3"/>
    </row>
    <row r="39" ht="20" customHeight="1" spans="17:35">
      <c r="Q39" s="62" t="s">
        <v>76</v>
      </c>
      <c r="R39" s="59">
        <f>COUNTIFS($C$4:$O$23,Q39)</f>
        <v>4</v>
      </c>
      <c r="S39" s="60">
        <f t="shared" si="1"/>
        <v>450</v>
      </c>
      <c r="T39" s="63">
        <f>COUNTIFS($C$4:$D$23,Q39)</f>
        <v>1</v>
      </c>
      <c r="U39" s="63">
        <f>COUNTIFS($E$4:$F$23,Q39)</f>
        <v>1</v>
      </c>
      <c r="V39" s="63">
        <f>COUNTIFS($G$4:$H$23,Q39)</f>
        <v>0</v>
      </c>
      <c r="W39" s="63">
        <f>COUNTIFS($I$4:$I$23,Q39)</f>
        <v>0</v>
      </c>
      <c r="X39" s="63">
        <f>COUNTIFS($J$4:$K$23,Q39)</f>
        <v>1</v>
      </c>
      <c r="Y39" s="63">
        <f>COUNTIFS($L$4:$L$23,Q39)</f>
        <v>1</v>
      </c>
      <c r="Z39" s="63">
        <f>COUNTIFS($M$4:$N$23,Q39)</f>
        <v>0</v>
      </c>
      <c r="AA39" s="63">
        <f>COUNTIFS($O$4:$O$23,Q39)</f>
        <v>0</v>
      </c>
      <c r="AD39" s="4"/>
      <c r="AE39" s="4"/>
      <c r="AF39" s="3"/>
      <c r="AG39" s="3"/>
      <c r="AH39" s="3"/>
      <c r="AI39" s="3"/>
    </row>
    <row r="40" ht="20" customHeight="1" spans="17:35">
      <c r="Q40" s="62" t="s">
        <v>89</v>
      </c>
      <c r="R40" s="59">
        <f>COUNTIFS($C$4:$O$23,Q40)</f>
        <v>4</v>
      </c>
      <c r="S40" s="60">
        <f t="shared" si="1"/>
        <v>465</v>
      </c>
      <c r="T40" s="63">
        <f>COUNTIFS($C$4:$D$23,Q40)</f>
        <v>0</v>
      </c>
      <c r="U40" s="63">
        <f>COUNTIFS($E$4:$F$23,Q40)</f>
        <v>0</v>
      </c>
      <c r="V40" s="63">
        <f>COUNTIFS($G$4:$H$23,Q40)</f>
        <v>1</v>
      </c>
      <c r="W40" s="63">
        <f>COUNTIFS($I$4:$I$23,Q40)</f>
        <v>0</v>
      </c>
      <c r="X40" s="63">
        <f>COUNTIFS($J$4:$K$23,Q40)</f>
        <v>1</v>
      </c>
      <c r="Y40" s="63">
        <f>COUNTIFS($L$4:$L$23,Q40)</f>
        <v>0</v>
      </c>
      <c r="Z40" s="63">
        <f>COUNTIFS($M$4:$N$23,Q40)</f>
        <v>1</v>
      </c>
      <c r="AA40" s="63">
        <f>COUNTIFS($O$4:$O$23,Q40)</f>
        <v>1</v>
      </c>
      <c r="AD40" s="4"/>
      <c r="AE40" s="4"/>
      <c r="AF40" s="3"/>
      <c r="AG40" s="3"/>
      <c r="AH40" s="3"/>
      <c r="AI40" s="3"/>
    </row>
    <row r="41" ht="20" customHeight="1" spans="17:27">
      <c r="Q41" s="62" t="s">
        <v>99</v>
      </c>
      <c r="R41" s="59">
        <f>COUNTIFS($C$4:$O$23,Q41)</f>
        <v>4</v>
      </c>
      <c r="S41" s="60">
        <f t="shared" si="1"/>
        <v>465</v>
      </c>
      <c r="T41" s="63">
        <f>COUNTIFS($C$4:$D$23,Q41)</f>
        <v>0</v>
      </c>
      <c r="U41" s="63">
        <f>COUNTIFS($E$4:$F$23,Q41)</f>
        <v>0</v>
      </c>
      <c r="V41" s="63">
        <f>COUNTIFS($G$4:$H$23,Q41)</f>
        <v>1</v>
      </c>
      <c r="W41" s="63">
        <f>COUNTIFS($I$4:$I$23,Q41)</f>
        <v>0</v>
      </c>
      <c r="X41" s="63">
        <f>COUNTIFS($J$4:$K$23,Q41)</f>
        <v>1</v>
      </c>
      <c r="Y41" s="63">
        <f>COUNTIFS($L$4:$L$23,Q41)</f>
        <v>0</v>
      </c>
      <c r="Z41" s="63">
        <f>COUNTIFS($M$4:$N$23,Q41)</f>
        <v>1</v>
      </c>
      <c r="AA41" s="63">
        <f>COUNTIFS($O$4:$O$23,Q41)</f>
        <v>1</v>
      </c>
    </row>
    <row r="42" ht="20" customHeight="1" spans="17:27">
      <c r="Q42" s="64" t="s">
        <v>100</v>
      </c>
      <c r="R42" s="59">
        <f>COUNTIFS($C$4:$O$23,Q42)</f>
        <v>4</v>
      </c>
      <c r="S42" s="60">
        <f t="shared" si="1"/>
        <v>465</v>
      </c>
      <c r="T42" s="63">
        <f>COUNTIFS($C$4:$D$23,Q42)</f>
        <v>0</v>
      </c>
      <c r="U42" s="63">
        <f>COUNTIFS($E$4:$F$23,Q42)</f>
        <v>0</v>
      </c>
      <c r="V42" s="63">
        <f>COUNTIFS($G$4:$H$23,Q42)</f>
        <v>1</v>
      </c>
      <c r="W42" s="63">
        <f>COUNTIFS($I$4:$I$23,Q42)</f>
        <v>0</v>
      </c>
      <c r="X42" s="63">
        <f>COUNTIFS($J$4:$K$23,Q42)</f>
        <v>1</v>
      </c>
      <c r="Y42" s="63">
        <f>COUNTIFS($L$4:$L$23,Q42)</f>
        <v>0</v>
      </c>
      <c r="Z42" s="63">
        <f>COUNTIFS($M$4:$N$23,Q42)</f>
        <v>1</v>
      </c>
      <c r="AA42" s="63">
        <f>COUNTIFS($O$4:$O$23,Q42)</f>
        <v>1</v>
      </c>
    </row>
    <row r="43" ht="20" customHeight="1" spans="17:27">
      <c r="Q43" s="64" t="s">
        <v>106</v>
      </c>
      <c r="R43" s="59">
        <f>COUNTIFS($C$4:$O$23,Q43)</f>
        <v>4</v>
      </c>
      <c r="S43" s="60">
        <f t="shared" si="1"/>
        <v>465</v>
      </c>
      <c r="T43" s="63">
        <f>COUNTIFS($C$4:$D$23,Q43)</f>
        <v>0</v>
      </c>
      <c r="U43" s="63">
        <f>COUNTIFS($E$4:$F$23,Q43)</f>
        <v>0</v>
      </c>
      <c r="V43" s="63">
        <f>COUNTIFS($G$4:$H$23,Q43)</f>
        <v>1</v>
      </c>
      <c r="W43" s="63">
        <f>COUNTIFS($I$4:$I$23,Q43)</f>
        <v>0</v>
      </c>
      <c r="X43" s="63">
        <f>COUNTIFS($J$4:$K$23,Q43)</f>
        <v>1</v>
      </c>
      <c r="Y43" s="63">
        <f>COUNTIFS($L$4:$L$23,Q43)</f>
        <v>0</v>
      </c>
      <c r="Z43" s="63">
        <f>COUNTIFS($M$4:$N$23,Q43)</f>
        <v>1</v>
      </c>
      <c r="AA43" s="63">
        <f>COUNTIFS($O$4:$O$23,Q43)</f>
        <v>1</v>
      </c>
    </row>
    <row r="44" ht="20" customHeight="1" spans="17:27">
      <c r="Q44" s="62" t="s">
        <v>113</v>
      </c>
      <c r="R44" s="59">
        <f>COUNTIFS($C$4:$O$23,Q44)</f>
        <v>4</v>
      </c>
      <c r="S44" s="60">
        <f t="shared" si="1"/>
        <v>465</v>
      </c>
      <c r="T44" s="63">
        <f>COUNTIFS($C$4:$D$23,Q44)</f>
        <v>0</v>
      </c>
      <c r="U44" s="63">
        <f>COUNTIFS($E$4:$F$23,Q44)</f>
        <v>0</v>
      </c>
      <c r="V44" s="63">
        <f>COUNTIFS($G$4:$H$23,Q44)</f>
        <v>1</v>
      </c>
      <c r="W44" s="63">
        <f>COUNTIFS($I$4:$I$23,Q44)</f>
        <v>0</v>
      </c>
      <c r="X44" s="63">
        <f>COUNTIFS($J$4:$K$23,Q44)</f>
        <v>1</v>
      </c>
      <c r="Y44" s="63">
        <f>COUNTIFS($L$4:$L$23,Q44)</f>
        <v>0</v>
      </c>
      <c r="Z44" s="63">
        <f>COUNTIFS($M$4:$N$23,Q44)</f>
        <v>1</v>
      </c>
      <c r="AA44" s="63">
        <f>COUNTIFS($O$4:$O$23,Q44)</f>
        <v>1</v>
      </c>
    </row>
    <row r="45" ht="20" customHeight="1" spans="17:27">
      <c r="Q45" s="66" t="s">
        <v>115</v>
      </c>
      <c r="R45" s="59">
        <f>COUNTIFS($C$4:$O$23,Q45)</f>
        <v>4</v>
      </c>
      <c r="S45" s="60">
        <f t="shared" si="1"/>
        <v>450</v>
      </c>
      <c r="T45" s="63">
        <f>COUNTIFS($C$4:$D$23,Q45)</f>
        <v>1</v>
      </c>
      <c r="U45" s="63">
        <f>COUNTIFS($E$4:$F$23,Q45)</f>
        <v>0</v>
      </c>
      <c r="V45" s="63">
        <f>COUNTIFS($G$4:$H$23,Q45)</f>
        <v>1</v>
      </c>
      <c r="W45" s="63">
        <f>COUNTIFS($I$4:$I$23,Q45)</f>
        <v>0</v>
      </c>
      <c r="X45" s="63">
        <f>COUNTIFS($J$4:$K$23,Q45)</f>
        <v>0</v>
      </c>
      <c r="Y45" s="63">
        <f>COUNTIFS($L$4:$L$23,Q45)</f>
        <v>0</v>
      </c>
      <c r="Z45" s="63">
        <f>COUNTIFS($M$4:$N$23,Q45)</f>
        <v>1</v>
      </c>
      <c r="AA45" s="63">
        <f>COUNTIFS($O$4:$O$23,Q45)</f>
        <v>1</v>
      </c>
    </row>
    <row r="46" ht="20" customHeight="1" spans="17:27">
      <c r="Q46" s="66" t="s">
        <v>150</v>
      </c>
      <c r="R46" s="59">
        <f>COUNTIFS($C$4:$O$23,Q46)</f>
        <v>4</v>
      </c>
      <c r="S46" s="60">
        <f t="shared" si="1"/>
        <v>465</v>
      </c>
      <c r="T46" s="63">
        <f>COUNTIFS($C$4:$D$23,Q46)</f>
        <v>1</v>
      </c>
      <c r="U46" s="63">
        <f>COUNTIFS($E$4:$F$23,Q46)</f>
        <v>1</v>
      </c>
      <c r="V46" s="63">
        <f>COUNTIFS($G$4:$H$23,Q46)</f>
        <v>1</v>
      </c>
      <c r="W46" s="63">
        <f>COUNTIFS($I$4:$I$23,Q46)</f>
        <v>0</v>
      </c>
      <c r="X46" s="63">
        <f>COUNTIFS($J$4:$K$23,Q46)</f>
        <v>0</v>
      </c>
      <c r="Y46" s="63">
        <f>COUNTIFS($L$4:$L$23,Q46)</f>
        <v>0</v>
      </c>
      <c r="Z46" s="63">
        <f>COUNTIFS($M$4:$N$23,Q46)</f>
        <v>1</v>
      </c>
      <c r="AA46" s="63">
        <f>COUNTIFS($O$4:$O$23,Q46)</f>
        <v>0</v>
      </c>
    </row>
    <row r="47" ht="20" customHeight="1" spans="17:27">
      <c r="Q47" s="66" t="s">
        <v>128</v>
      </c>
      <c r="R47" s="59">
        <f>COUNTIFS($C$4:$O$23,Q47)</f>
        <v>4</v>
      </c>
      <c r="S47" s="60">
        <f t="shared" si="1"/>
        <v>465</v>
      </c>
      <c r="T47" s="63">
        <f>COUNTIFS($C$4:$D$23,Q47)</f>
        <v>1</v>
      </c>
      <c r="U47" s="63">
        <f>COUNTIFS($E$4:$F$23,Q47)</f>
        <v>1</v>
      </c>
      <c r="V47" s="63">
        <f>COUNTIFS($G$4:$H$23,Q47)</f>
        <v>1</v>
      </c>
      <c r="W47" s="63">
        <f>COUNTIFS($I$4:$I$23,Q47)</f>
        <v>0</v>
      </c>
      <c r="X47" s="63">
        <f>COUNTIFS($J$4:$K$23,Q47)</f>
        <v>0</v>
      </c>
      <c r="Y47" s="63">
        <f>COUNTIFS($L$4:$L$23,Q47)</f>
        <v>0</v>
      </c>
      <c r="Z47" s="63">
        <f>COUNTIFS($M$4:$N$23,Q47)</f>
        <v>1</v>
      </c>
      <c r="AA47" s="63">
        <f>COUNTIFS($O$4:$O$23,Q47)</f>
        <v>0</v>
      </c>
    </row>
    <row r="48" ht="20" customHeight="1" spans="17:27">
      <c r="Q48" s="66" t="s">
        <v>129</v>
      </c>
      <c r="R48" s="59">
        <f>COUNTIFS($C$4:$O$23,Q48)</f>
        <v>4</v>
      </c>
      <c r="S48" s="60">
        <f t="shared" si="1"/>
        <v>465</v>
      </c>
      <c r="T48" s="63">
        <f>COUNTIFS($C$4:$D$23,Q48)</f>
        <v>1</v>
      </c>
      <c r="U48" s="63">
        <f>COUNTIFS($E$4:$F$23,Q48)</f>
        <v>1</v>
      </c>
      <c r="V48" s="63">
        <f>COUNTIFS($G$4:$H$23,Q48)</f>
        <v>1</v>
      </c>
      <c r="W48" s="63">
        <f>COUNTIFS($I$4:$I$23,Q48)</f>
        <v>0</v>
      </c>
      <c r="X48" s="63">
        <f>COUNTIFS($J$4:$K$23,Q48)</f>
        <v>0</v>
      </c>
      <c r="Y48" s="63">
        <f>COUNTIFS($L$4:$L$23,Q48)</f>
        <v>0</v>
      </c>
      <c r="Z48" s="63">
        <f>COUNTIFS($M$4:$N$23,Q48)</f>
        <v>1</v>
      </c>
      <c r="AA48" s="63">
        <f>COUNTIFS($O$4:$O$23,Q48)</f>
        <v>0</v>
      </c>
    </row>
    <row r="49" ht="20" customHeight="1" spans="17:27">
      <c r="Q49" s="66" t="s">
        <v>92</v>
      </c>
      <c r="R49" s="59">
        <f>COUNTIFS($C$4:$O$23,Q49)</f>
        <v>4</v>
      </c>
      <c r="S49" s="60">
        <f t="shared" si="1"/>
        <v>450</v>
      </c>
      <c r="T49" s="63">
        <f>COUNTIFS($C$4:$D$23,Q49)</f>
        <v>1</v>
      </c>
      <c r="U49" s="63">
        <f>COUNTIFS($E$4:$F$23,Q49)</f>
        <v>0</v>
      </c>
      <c r="V49" s="63">
        <f>COUNTIFS($G$4:$H$23,Q49)</f>
        <v>1</v>
      </c>
      <c r="W49" s="63">
        <f>COUNTIFS($I$4:$I$23,Q49)</f>
        <v>0</v>
      </c>
      <c r="X49" s="63">
        <f>COUNTIFS($J$4:$K$23,Q49)</f>
        <v>0</v>
      </c>
      <c r="Y49" s="63">
        <f>COUNTIFS($L$4:$L$23,Q49)</f>
        <v>1</v>
      </c>
      <c r="Z49" s="63">
        <f>COUNTIFS($M$4:$N$23,Q49)</f>
        <v>1</v>
      </c>
      <c r="AA49" s="63">
        <f>COUNTIFS($O$4:$O$23,Q49)</f>
        <v>0</v>
      </c>
    </row>
    <row r="50" ht="20" customHeight="1" spans="17:27">
      <c r="Q50" s="66" t="s">
        <v>140</v>
      </c>
      <c r="R50" s="59">
        <f>COUNTIFS($C$4:$O$23,Q50)</f>
        <v>4</v>
      </c>
      <c r="S50" s="60">
        <f t="shared" si="1"/>
        <v>450</v>
      </c>
      <c r="T50" s="63">
        <f>COUNTIFS($C$4:$D$23,Q50)</f>
        <v>1</v>
      </c>
      <c r="U50" s="63">
        <f>COUNTIFS($E$4:$F$23,Q50)</f>
        <v>0</v>
      </c>
      <c r="V50" s="63">
        <f>COUNTIFS($G$4:$H$23,Q50)</f>
        <v>1</v>
      </c>
      <c r="W50" s="63">
        <f>COUNTIFS($I$4:$I$23,Q50)</f>
        <v>0</v>
      </c>
      <c r="X50" s="63">
        <f>COUNTIFS($J$4:$K$23,Q50)</f>
        <v>0</v>
      </c>
      <c r="Y50" s="63">
        <f>COUNTIFS($L$4:$L$23,Q50)</f>
        <v>0</v>
      </c>
      <c r="Z50" s="63">
        <f>COUNTIFS($M$4:$N$23,Q50)</f>
        <v>1</v>
      </c>
      <c r="AA50" s="63">
        <f>COUNTIFS($O$4:$O$23,Q50)</f>
        <v>1</v>
      </c>
    </row>
    <row r="51" ht="20" customHeight="1" spans="17:27">
      <c r="Q51" s="65" t="s">
        <v>77</v>
      </c>
      <c r="R51" s="59">
        <f>COUNTIFS($C$4:$O$23,Q51)</f>
        <v>4</v>
      </c>
      <c r="S51" s="60">
        <f t="shared" si="1"/>
        <v>450</v>
      </c>
      <c r="T51" s="63">
        <f>COUNTIFS($C$4:$D$23,Q51)</f>
        <v>1</v>
      </c>
      <c r="U51" s="63">
        <f>COUNTIFS($E$4:$F$23,Q51)</f>
        <v>1</v>
      </c>
      <c r="V51" s="63">
        <f>COUNTIFS($G$4:$H$23,Q51)</f>
        <v>0</v>
      </c>
      <c r="W51" s="63">
        <f>COUNTIFS($I$4:$I$23,Q51)</f>
        <v>0</v>
      </c>
      <c r="X51" s="63">
        <f>COUNTIFS($J$4:$K$23,Q51)</f>
        <v>1</v>
      </c>
      <c r="Y51" s="63">
        <f>COUNTIFS($L$4:$L$23,Q51)</f>
        <v>1</v>
      </c>
      <c r="Z51" s="65">
        <f>COUNTIFS($M$4:$N$23,Q51)</f>
        <v>0</v>
      </c>
      <c r="AA51" s="65">
        <f>COUNTIFS($O$4:$O$23,Q51)</f>
        <v>0</v>
      </c>
    </row>
    <row r="52" ht="20" customHeight="1" spans="17:27">
      <c r="Q52" s="65" t="s">
        <v>88</v>
      </c>
      <c r="R52" s="59">
        <f>COUNTIFS($C$4:$O$23,Q52)</f>
        <v>4</v>
      </c>
      <c r="S52" s="60">
        <f t="shared" si="1"/>
        <v>450</v>
      </c>
      <c r="T52" s="63">
        <f>COUNTIFS($C$4:$D$23,Q52)</f>
        <v>1</v>
      </c>
      <c r="U52" s="63">
        <f>COUNTIFS($E$4:$F$23,Q52)</f>
        <v>1</v>
      </c>
      <c r="V52" s="63">
        <f>COUNTIFS($G$4:$H$23,Q52)</f>
        <v>0</v>
      </c>
      <c r="W52" s="63">
        <f>COUNTIFS($I$4:$I$23,Q52)</f>
        <v>0</v>
      </c>
      <c r="X52" s="63">
        <f>COUNTIFS($J$4:$K$23,Q52)</f>
        <v>1</v>
      </c>
      <c r="Y52" s="63">
        <f>COUNTIFS($L$4:$L$23,Q52)</f>
        <v>1</v>
      </c>
      <c r="Z52" s="65">
        <f>COUNTIFS($M$4:$N$23,Q52)</f>
        <v>0</v>
      </c>
      <c r="AA52" s="65">
        <f>COUNTIFS($O$4:$O$23,Q52)</f>
        <v>0</v>
      </c>
    </row>
    <row r="53" ht="20" customHeight="1" spans="17:27">
      <c r="Q53" s="65" t="s">
        <v>98</v>
      </c>
      <c r="R53" s="59">
        <f>COUNTIFS($C$4:$O$23,Q53)</f>
        <v>4</v>
      </c>
      <c r="S53" s="60">
        <f t="shared" si="1"/>
        <v>450</v>
      </c>
      <c r="T53" s="63">
        <f>COUNTIFS($C$4:$D$23,Q53)</f>
        <v>1</v>
      </c>
      <c r="U53" s="63">
        <f>COUNTIFS($E$4:$F$23,Q53)</f>
        <v>1</v>
      </c>
      <c r="V53" s="63">
        <f>COUNTIFS($G$4:$H$23,Q53)</f>
        <v>0</v>
      </c>
      <c r="W53" s="63">
        <f>COUNTIFS($I$4:$I$23,Q53)</f>
        <v>0</v>
      </c>
      <c r="X53" s="63">
        <f>COUNTIFS($J$4:$K$23,Q53)</f>
        <v>1</v>
      </c>
      <c r="Y53" s="63">
        <f>COUNTIFS($L$4:$L$23,Q53)</f>
        <v>1</v>
      </c>
      <c r="Z53" s="65">
        <f>COUNTIFS($M$4:$N$23,Q53)</f>
        <v>0</v>
      </c>
      <c r="AA53" s="65">
        <f>COUNTIFS($O$4:$O$23,Q53)</f>
        <v>0</v>
      </c>
    </row>
    <row r="54" spans="20:27">
      <c r="T54" s="46"/>
      <c r="U54" s="46"/>
      <c r="V54" s="46"/>
      <c r="W54" s="46"/>
      <c r="X54" s="46"/>
      <c r="Y54" s="46"/>
      <c r="Z54" s="46"/>
      <c r="AA54" s="46"/>
    </row>
    <row r="55" spans="20:27">
      <c r="T55" s="46"/>
      <c r="U55" s="46"/>
      <c r="V55" s="46"/>
      <c r="W55" s="46"/>
      <c r="X55" s="46"/>
      <c r="Y55" s="46"/>
      <c r="Z55" s="46"/>
      <c r="AA55" s="46"/>
    </row>
    <row r="56" spans="20:27">
      <c r="T56" s="46"/>
      <c r="U56" s="46"/>
      <c r="V56" s="46"/>
      <c r="W56" s="46"/>
      <c r="X56" s="46"/>
      <c r="Y56" s="46"/>
      <c r="Z56" s="46"/>
      <c r="AA56" s="46"/>
    </row>
    <row r="57" spans="20:27">
      <c r="T57" s="46"/>
      <c r="U57" s="46"/>
      <c r="V57" s="46"/>
      <c r="W57" s="46"/>
      <c r="X57" s="46"/>
      <c r="Y57" s="46"/>
      <c r="Z57" s="46"/>
      <c r="AA57" s="46"/>
    </row>
    <row r="58" spans="20:27">
      <c r="T58" s="46"/>
      <c r="U58" s="46"/>
      <c r="V58" s="46"/>
      <c r="W58" s="46"/>
      <c r="X58" s="46"/>
      <c r="Y58" s="46"/>
      <c r="Z58" s="46"/>
      <c r="AA58" s="46"/>
    </row>
    <row r="59" spans="20:27">
      <c r="T59" s="46"/>
      <c r="U59" s="46"/>
      <c r="V59" s="46"/>
      <c r="W59" s="46"/>
      <c r="X59" s="46"/>
      <c r="Y59" s="46"/>
      <c r="Z59" s="46"/>
      <c r="AA59" s="46"/>
    </row>
    <row r="60" spans="20:27">
      <c r="T60" s="46"/>
      <c r="U60" s="46"/>
      <c r="V60" s="46"/>
      <c r="W60" s="46"/>
      <c r="X60" s="46"/>
      <c r="Y60" s="46"/>
      <c r="Z60" s="46"/>
      <c r="AA60" s="46"/>
    </row>
    <row r="61" spans="20:27">
      <c r="T61" s="46"/>
      <c r="U61" s="46"/>
      <c r="V61" s="46"/>
      <c r="W61" s="46"/>
      <c r="X61" s="46"/>
      <c r="Y61" s="46"/>
      <c r="Z61" s="46"/>
      <c r="AA61" s="46"/>
    </row>
    <row r="62" spans="20:27">
      <c r="T62" s="46"/>
      <c r="U62" s="46"/>
      <c r="V62" s="46"/>
      <c r="W62" s="46"/>
      <c r="X62" s="46"/>
      <c r="Y62" s="46"/>
      <c r="Z62" s="46"/>
      <c r="AA62" s="46"/>
    </row>
  </sheetData>
  <autoFilter xmlns:etc="http://www.wps.cn/officeDocument/2017/etCustomData" ref="Q2:AI53" etc:filterBottomFollowUsedRange="0">
    <extLst/>
  </autoFilter>
  <mergeCells count="85">
    <mergeCell ref="A1:O1"/>
    <mergeCell ref="T1:W1"/>
    <mergeCell ref="X1:AA1"/>
    <mergeCell ref="C2:I2"/>
    <mergeCell ref="J2:O2"/>
    <mergeCell ref="C3:D3"/>
    <mergeCell ref="E3:F3"/>
    <mergeCell ref="G3:H3"/>
    <mergeCell ref="J3:K3"/>
    <mergeCell ref="M3:N3"/>
    <mergeCell ref="A24:O24"/>
    <mergeCell ref="AD30:AE30"/>
    <mergeCell ref="AF30:AG30"/>
    <mergeCell ref="AH30:AI30"/>
    <mergeCell ref="AD31:AE31"/>
    <mergeCell ref="AF31:AG31"/>
    <mergeCell ref="AH31:AI31"/>
    <mergeCell ref="AD32:AE32"/>
    <mergeCell ref="AF32:AG32"/>
    <mergeCell ref="AH32:AI32"/>
    <mergeCell ref="AD33:AE33"/>
    <mergeCell ref="AF33:AG33"/>
    <mergeCell ref="AH33:AI33"/>
    <mergeCell ref="AD34:AE34"/>
    <mergeCell ref="AF34:AG34"/>
    <mergeCell ref="AH34:AI34"/>
    <mergeCell ref="A2:A3"/>
    <mergeCell ref="B2:B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F4:F5"/>
    <mergeCell ref="F6:F7"/>
    <mergeCell ref="F8:F9"/>
    <mergeCell ref="F10:F11"/>
    <mergeCell ref="F12:F13"/>
    <mergeCell ref="F14:F15"/>
    <mergeCell ref="F16:F17"/>
    <mergeCell ref="F18:F19"/>
    <mergeCell ref="F20:F21"/>
    <mergeCell ref="F22:F23"/>
    <mergeCell ref="H4:H5"/>
    <mergeCell ref="H6:H7"/>
    <mergeCell ref="H8:H9"/>
    <mergeCell ref="H10:H11"/>
    <mergeCell ref="H12:H13"/>
    <mergeCell ref="H14:H15"/>
    <mergeCell ref="H16:H17"/>
    <mergeCell ref="H18:H19"/>
    <mergeCell ref="H20:H21"/>
    <mergeCell ref="H22:H23"/>
    <mergeCell ref="K4:K5"/>
    <mergeCell ref="K6:K7"/>
    <mergeCell ref="K8:K9"/>
    <mergeCell ref="K10:K11"/>
    <mergeCell ref="K12:K13"/>
    <mergeCell ref="K14:K15"/>
    <mergeCell ref="K16:K17"/>
    <mergeCell ref="K18:K19"/>
    <mergeCell ref="K20:K21"/>
    <mergeCell ref="K22:K23"/>
    <mergeCell ref="N4:N5"/>
    <mergeCell ref="N6:N7"/>
    <mergeCell ref="N8:N9"/>
    <mergeCell ref="N10:N11"/>
    <mergeCell ref="N12:N13"/>
    <mergeCell ref="N14:N15"/>
    <mergeCell ref="N16:N17"/>
    <mergeCell ref="N18:N19"/>
    <mergeCell ref="N20:N21"/>
    <mergeCell ref="N22:N23"/>
    <mergeCell ref="AD28:AI29"/>
    <mergeCell ref="AD35:AE37"/>
    <mergeCell ref="AF35:AG37"/>
    <mergeCell ref="AH35:AI37"/>
    <mergeCell ref="AD38:AE40"/>
    <mergeCell ref="AF38:AG40"/>
    <mergeCell ref="AH38:AI40"/>
  </mergeCells>
  <printOptions horizontalCentered="1" verticalCentered="1"/>
  <pageMargins left="0.118110236220472" right="0.118110236220472" top="0.551181102362205" bottom="0.551181102362205" header="0.31496062992126" footer="0.31496062992126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AO62"/>
  <sheetViews>
    <sheetView workbookViewId="0">
      <selection activeCell="E8" sqref="E8"/>
    </sheetView>
  </sheetViews>
  <sheetFormatPr defaultColWidth="9" defaultRowHeight="14.25"/>
  <cols>
    <col min="1" max="1" width="9.88333333333333" style="24" customWidth="1"/>
    <col min="2" max="2" width="5.63333333333333" style="24" customWidth="1"/>
    <col min="3" max="8" width="7.625" style="25" customWidth="1"/>
    <col min="9" max="9" width="14.625" style="25" customWidth="1"/>
    <col min="10" max="11" width="7.625" style="25" customWidth="1"/>
    <col min="12" max="12" width="14.625" style="25" customWidth="1"/>
    <col min="13" max="14" width="7.625" style="25" customWidth="1"/>
    <col min="15" max="15" width="14.625" style="25" customWidth="1"/>
    <col min="16" max="16" width="13.5" style="25" customWidth="1"/>
    <col min="17" max="17" width="10.6333333333333" style="46" customWidth="1"/>
    <col min="18" max="19" width="8.63333333333333" style="46" customWidth="1"/>
    <col min="20" max="27" width="8.63333333333333" style="47" customWidth="1"/>
    <col min="28" max="31" width="9" style="24"/>
    <col min="32" max="32" width="11.25" style="24" customWidth="1"/>
    <col min="33" max="33" width="18.8833333333333" style="24" customWidth="1"/>
    <col min="34" max="34" width="16.6333333333333" style="24" customWidth="1"/>
    <col min="35" max="35" width="23.25" style="24" customWidth="1"/>
    <col min="36" max="36" width="9" style="24"/>
    <col min="37" max="37" width="15.1333333333333" style="26" customWidth="1"/>
    <col min="38" max="16384" width="9" style="26"/>
  </cols>
  <sheetData>
    <row r="1" ht="27.75" spans="1:27">
      <c r="A1" s="27" t="str">
        <f>[1]巡视!$A$1&amp;"监考安排"</f>
        <v>2025-2026学年高二第一学期期中考监考安排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54"/>
      <c r="T1" s="58" t="s">
        <v>18</v>
      </c>
      <c r="U1" s="58"/>
      <c r="V1" s="58"/>
      <c r="W1" s="58"/>
      <c r="X1" s="58" t="s">
        <v>19</v>
      </c>
      <c r="Y1" s="58"/>
      <c r="Z1" s="58"/>
      <c r="AA1" s="58"/>
    </row>
    <row r="2" ht="28.5" customHeight="1" spans="1:27">
      <c r="A2" s="48" t="s">
        <v>41</v>
      </c>
      <c r="B2" s="48" t="s">
        <v>42</v>
      </c>
      <c r="C2" s="49" t="s">
        <v>18</v>
      </c>
      <c r="D2" s="49"/>
      <c r="E2" s="49"/>
      <c r="F2" s="49"/>
      <c r="G2" s="49"/>
      <c r="H2" s="49"/>
      <c r="I2" s="55"/>
      <c r="J2" s="49" t="s">
        <v>19</v>
      </c>
      <c r="K2" s="49"/>
      <c r="L2" s="49"/>
      <c r="M2" s="49"/>
      <c r="N2" s="49"/>
      <c r="O2" s="55"/>
      <c r="P2" s="56"/>
      <c r="Q2" s="59"/>
      <c r="R2" s="59"/>
      <c r="S2" s="60"/>
      <c r="T2" s="61" t="s">
        <v>43</v>
      </c>
      <c r="U2" s="61" t="s">
        <v>44</v>
      </c>
      <c r="V2" s="61" t="s">
        <v>45</v>
      </c>
      <c r="W2" s="61" t="s">
        <v>39</v>
      </c>
      <c r="X2" s="61" t="s">
        <v>46</v>
      </c>
      <c r="Y2" s="61" t="s">
        <v>34</v>
      </c>
      <c r="Z2" s="61" t="s">
        <v>47</v>
      </c>
      <c r="AA2" s="61" t="s">
        <v>40</v>
      </c>
    </row>
    <row r="3" ht="33.75" customHeight="1" spans="1:41">
      <c r="A3" s="48"/>
      <c r="B3" s="48"/>
      <c r="C3" s="50" t="s">
        <v>48</v>
      </c>
      <c r="D3" s="50"/>
      <c r="E3" s="50" t="s">
        <v>49</v>
      </c>
      <c r="F3" s="50"/>
      <c r="G3" s="50" t="s">
        <v>50</v>
      </c>
      <c r="H3" s="50"/>
      <c r="I3" s="50" t="s">
        <v>51</v>
      </c>
      <c r="J3" s="50" t="s">
        <v>52</v>
      </c>
      <c r="K3" s="50"/>
      <c r="L3" s="50" t="s">
        <v>53</v>
      </c>
      <c r="M3" s="50" t="s">
        <v>54</v>
      </c>
      <c r="N3" s="50"/>
      <c r="O3" s="50" t="s">
        <v>55</v>
      </c>
      <c r="P3" s="57"/>
      <c r="Q3" s="58" t="s">
        <v>56</v>
      </c>
      <c r="R3" s="59" t="s">
        <v>57</v>
      </c>
      <c r="S3" s="60" t="s">
        <v>58</v>
      </c>
      <c r="T3" s="61" t="s">
        <v>59</v>
      </c>
      <c r="U3" s="61" t="s">
        <v>60</v>
      </c>
      <c r="V3" s="61" t="s">
        <v>61</v>
      </c>
      <c r="W3" s="61" t="s">
        <v>62</v>
      </c>
      <c r="X3" s="61" t="s">
        <v>63</v>
      </c>
      <c r="Y3" s="61" t="s">
        <v>64</v>
      </c>
      <c r="Z3" s="61" t="s">
        <v>61</v>
      </c>
      <c r="AA3" s="61" t="s">
        <v>62</v>
      </c>
      <c r="AC3" s="68"/>
      <c r="AD3" s="68" t="s">
        <v>65</v>
      </c>
      <c r="AE3" s="68" t="s">
        <v>66</v>
      </c>
      <c r="AF3" s="68" t="s">
        <v>67</v>
      </c>
      <c r="AG3" s="68" t="s">
        <v>68</v>
      </c>
      <c r="AH3" s="68" t="s">
        <v>69</v>
      </c>
      <c r="AI3" s="68" t="s">
        <v>70</v>
      </c>
      <c r="AK3" s="24" t="s">
        <v>71</v>
      </c>
      <c r="AL3" s="24" t="s">
        <v>72</v>
      </c>
      <c r="AM3" s="24">
        <f>20*45</f>
        <v>900</v>
      </c>
      <c r="AN3" s="24">
        <v>50</v>
      </c>
      <c r="AO3" s="24">
        <f t="shared" ref="AO3:AO11" si="0">AM3+AN3</f>
        <v>950</v>
      </c>
    </row>
    <row r="4" ht="20" customHeight="1" spans="1:41">
      <c r="A4" s="51" t="s">
        <v>73</v>
      </c>
      <c r="B4" s="51" t="e">
        <f>COUNTIFS([1]学生编排结果!$H:$H,A4)</f>
        <v>#VALUE!</v>
      </c>
      <c r="C4" s="52" t="str">
        <f>IF(监考安排!C4='监考安排（旧）'!C4,"1",监考安排!C4)</f>
        <v>1</v>
      </c>
      <c r="D4" s="52" t="str">
        <f>IF(监考安排!D4='监考安排（旧）'!D4,"1",监考安排!D4)</f>
        <v>1</v>
      </c>
      <c r="E4" s="52" t="str">
        <f>IF(监考安排!E4='监考安排（旧）'!E4,"1",监考安排!E4)</f>
        <v>1</v>
      </c>
      <c r="F4" s="52" t="str">
        <f>IF(监考安排!F4='监考安排（旧）'!F4,"1",监考安排!F4)</f>
        <v>1</v>
      </c>
      <c r="G4" s="52" t="str">
        <f>IF(监考安排!G4='监考安排（旧）'!G4,"1",监考安排!G4)</f>
        <v>郑婉慧</v>
      </c>
      <c r="H4" s="52" t="str">
        <f>IF(监考安排!H4='监考安排（旧）'!H4,"1",监考安排!H4)</f>
        <v>1</v>
      </c>
      <c r="I4" s="52" t="str">
        <f>IF(监考安排!I4='监考安排（旧）'!I4,"1",监考安排!I4)</f>
        <v>陈美苑</v>
      </c>
      <c r="J4" s="52" t="str">
        <f>IF(监考安排!J4='监考安排（旧）'!J4,"1",监考安排!J4)</f>
        <v>1</v>
      </c>
      <c r="K4" s="52" t="str">
        <f>IF(监考安排!K4='监考安排（旧）'!K4,"1",监考安排!K4)</f>
        <v>1</v>
      </c>
      <c r="L4" s="52" t="str">
        <f>IF(监考安排!L4='监考安排（旧）'!L4,"1",监考安排!L4)</f>
        <v>1</v>
      </c>
      <c r="M4" s="52" t="str">
        <f>IF(监考安排!M4='监考安排（旧）'!M4,"1",监考安排!M4)</f>
        <v>1</v>
      </c>
      <c r="N4" s="52" t="str">
        <f>IF(监考安排!N4='监考安排（旧）'!N4,"1",监考安排!N4)</f>
        <v>1</v>
      </c>
      <c r="O4" s="52" t="str">
        <f>IF(监考安排!O4='监考安排（旧）'!O4,"1",监考安排!O4)</f>
        <v>1</v>
      </c>
      <c r="Q4" s="62" t="s">
        <v>84</v>
      </c>
      <c r="R4" s="59">
        <f>COUNTIFS($C$4:$O$23,Q4)</f>
        <v>2</v>
      </c>
      <c r="S4" s="60">
        <f t="shared" ref="S4:S53" si="1">+T4*150+U4*75+V4*120+W4*60+X4*165+Y4*60+Z4*120+AA4*60</f>
        <v>210</v>
      </c>
      <c r="T4" s="63">
        <f>COUNTIFS($C$4:$D$23,Q4)</f>
        <v>1</v>
      </c>
      <c r="U4" s="63">
        <f>COUNTIFS($E$4:$F$23,Q4)</f>
        <v>0</v>
      </c>
      <c r="V4" s="63">
        <f>COUNTIFS($G$4:$H$23,Q4)</f>
        <v>0</v>
      </c>
      <c r="W4" s="63">
        <f>COUNTIFS($I$4:$I$23,Q4)</f>
        <v>0</v>
      </c>
      <c r="X4" s="63">
        <f>COUNTIFS($J$4:$K$23,Q4)</f>
        <v>0</v>
      </c>
      <c r="Y4" s="63">
        <f>COUNTIFS($L$4:$L$23,Q4)</f>
        <v>0</v>
      </c>
      <c r="Z4" s="63">
        <f>COUNTIFS($M$4:$N$23,Q4)</f>
        <v>0</v>
      </c>
      <c r="AA4" s="63">
        <f>COUNTIFS($O$4:$O$23,Q4)</f>
        <v>1</v>
      </c>
      <c r="AC4" s="68" t="s">
        <v>73</v>
      </c>
      <c r="AD4" s="68">
        <v>42</v>
      </c>
      <c r="AE4" s="68">
        <v>0</v>
      </c>
      <c r="AF4" s="68">
        <v>42</v>
      </c>
      <c r="AG4" s="68">
        <v>42</v>
      </c>
      <c r="AH4" s="68">
        <v>0</v>
      </c>
      <c r="AI4" s="68">
        <v>0</v>
      </c>
      <c r="AK4" s="24" t="s">
        <v>85</v>
      </c>
      <c r="AL4" s="24" t="s">
        <v>72</v>
      </c>
      <c r="AM4" s="24">
        <f>20*45</f>
        <v>900</v>
      </c>
      <c r="AN4" s="24">
        <v>50</v>
      </c>
      <c r="AO4" s="24">
        <f t="shared" si="0"/>
        <v>950</v>
      </c>
    </row>
    <row r="5" ht="20" customHeight="1" spans="1:41">
      <c r="A5" s="51" t="s">
        <v>86</v>
      </c>
      <c r="B5" s="51" t="e">
        <f>COUNTIFS([1]学生编排结果!$H:$H,A5)</f>
        <v>#VALUE!</v>
      </c>
      <c r="C5" s="52" t="str">
        <f>IF(监考安排!C5='监考安排（旧）'!C5,"1",监考安排!C5)</f>
        <v>王倩</v>
      </c>
      <c r="D5" s="52" t="str">
        <f>IF(监考安排!D5='监考安排（旧）'!D5,"1",监考安排!D5)</f>
        <v>1</v>
      </c>
      <c r="E5" s="52" t="str">
        <f>IF(监考安排!E5='监考安排（旧）'!E5,"1",监考安排!E5)</f>
        <v>1</v>
      </c>
      <c r="F5" s="52" t="str">
        <f>IF(监考安排!F5='监考安排（旧）'!F5,"1",监考安排!F5)</f>
        <v>1</v>
      </c>
      <c r="G5" s="52" t="str">
        <f>IF(监考安排!G5='监考安排（旧）'!G5,"1",监考安排!G5)</f>
        <v>1</v>
      </c>
      <c r="H5" s="52" t="str">
        <f>IF(监考安排!H5='监考安排（旧）'!H5,"1",监考安排!H5)</f>
        <v>1</v>
      </c>
      <c r="I5" s="52" t="str">
        <f>IF(监考安排!I5='监考安排（旧）'!I5,"1",监考安排!I5)</f>
        <v>王菲飞</v>
      </c>
      <c r="J5" s="52" t="str">
        <f>IF(监考安排!J5='监考安排（旧）'!J5,"1",监考安排!J5)</f>
        <v>1</v>
      </c>
      <c r="K5" s="52" t="str">
        <f>IF(监考安排!K5='监考安排（旧）'!K5,"1",监考安排!K5)</f>
        <v>1</v>
      </c>
      <c r="L5" s="52" t="str">
        <f>IF(监考安排!L5='监考安排（旧）'!L5,"1",监考安排!L5)</f>
        <v>1</v>
      </c>
      <c r="M5" s="52" t="str">
        <f>IF(监考安排!M5='监考安排（旧）'!M5,"1",监考安排!M5)</f>
        <v>1</v>
      </c>
      <c r="N5" s="52" t="str">
        <f>IF(监考安排!N5='监考安排（旧）'!N5,"1",监考安排!N5)</f>
        <v>1</v>
      </c>
      <c r="O5" s="52" t="str">
        <f>IF(监考安排!O5='监考安排（旧）'!O5,"1",监考安排!O5)</f>
        <v>1</v>
      </c>
      <c r="Q5" s="64" t="s">
        <v>93</v>
      </c>
      <c r="R5" s="59">
        <f>COUNTIFS($C$4:$O$23,Q5)</f>
        <v>2</v>
      </c>
      <c r="S5" s="60">
        <f t="shared" si="1"/>
        <v>210</v>
      </c>
      <c r="T5" s="63">
        <f>COUNTIFS($C$4:$D$23,Q5)</f>
        <v>1</v>
      </c>
      <c r="U5" s="63">
        <f>COUNTIFS($E$4:$F$23,Q5)</f>
        <v>0</v>
      </c>
      <c r="V5" s="63">
        <f>COUNTIFS($G$4:$H$23,Q5)</f>
        <v>0</v>
      </c>
      <c r="W5" s="63">
        <f>COUNTIFS($I$4:$I$23,Q5)</f>
        <v>0</v>
      </c>
      <c r="X5" s="63">
        <f>COUNTIFS($J$4:$K$23,Q5)</f>
        <v>0</v>
      </c>
      <c r="Y5" s="63">
        <f>COUNTIFS($L$4:$L$23,Q5)</f>
        <v>0</v>
      </c>
      <c r="Z5" s="63">
        <f>COUNTIFS($M$4:$N$23,Q5)</f>
        <v>0</v>
      </c>
      <c r="AA5" s="63">
        <f>COUNTIFS($O$4:$O$23,Q5)</f>
        <v>1</v>
      </c>
      <c r="AC5" s="68" t="s">
        <v>86</v>
      </c>
      <c r="AD5" s="68">
        <v>42</v>
      </c>
      <c r="AE5" s="68">
        <v>0</v>
      </c>
      <c r="AF5" s="68">
        <v>42</v>
      </c>
      <c r="AG5" s="68">
        <v>42</v>
      </c>
      <c r="AH5" s="68">
        <v>0</v>
      </c>
      <c r="AI5" s="68">
        <v>0</v>
      </c>
      <c r="AK5" s="24" t="s">
        <v>94</v>
      </c>
      <c r="AL5" s="24" t="s">
        <v>72</v>
      </c>
      <c r="AM5" s="24">
        <f>20*45</f>
        <v>900</v>
      </c>
      <c r="AN5" s="24">
        <v>50</v>
      </c>
      <c r="AO5" s="24">
        <f t="shared" si="0"/>
        <v>950</v>
      </c>
    </row>
    <row r="6" ht="20" customHeight="1" spans="1:41">
      <c r="A6" s="51" t="s">
        <v>95</v>
      </c>
      <c r="B6" s="51" t="e">
        <f>COUNTIFS([1]学生编排结果!$H:$H,A6)</f>
        <v>#VALUE!</v>
      </c>
      <c r="C6" s="52" t="str">
        <f>IF(监考安排!C6='监考安排（旧）'!C6,"1",监考安排!C6)</f>
        <v>1</v>
      </c>
      <c r="D6" s="52" t="str">
        <f>IF(监考安排!D6='监考安排（旧）'!D6,"1",监考安排!D6)</f>
        <v>1</v>
      </c>
      <c r="E6" s="52" t="str">
        <f>IF(监考安排!E6='监考安排（旧）'!E6,"1",监考安排!E6)</f>
        <v>1</v>
      </c>
      <c r="F6" s="52" t="str">
        <f>IF(监考安排!F6='监考安排（旧）'!F6,"1",监考安排!F6)</f>
        <v>1</v>
      </c>
      <c r="G6" s="52" t="str">
        <f>IF(监考安排!G6='监考安排（旧）'!G6,"1",监考安排!G6)</f>
        <v>1</v>
      </c>
      <c r="H6" s="52" t="str">
        <f>IF(监考安排!H6='监考安排（旧）'!H6,"1",监考安排!H6)</f>
        <v>1</v>
      </c>
      <c r="I6" s="52" t="str">
        <f>IF(监考安排!I6='监考安排（旧）'!I6,"1",监考安排!I6)</f>
        <v>1</v>
      </c>
      <c r="J6" s="52" t="str">
        <f>IF(监考安排!J6='监考安排（旧）'!J6,"1",监考安排!J6)</f>
        <v>1</v>
      </c>
      <c r="K6" s="52" t="str">
        <f>IF(监考安排!K6='监考安排（旧）'!K6,"1",监考安排!K6)</f>
        <v>1</v>
      </c>
      <c r="L6" s="52" t="str">
        <f>IF(监考安排!L6='监考安排（旧）'!L6,"1",监考安排!L6)</f>
        <v>1</v>
      </c>
      <c r="M6" s="52" t="str">
        <f>IF(监考安排!M6='监考安排（旧）'!M6,"1",监考安排!M6)</f>
        <v>1</v>
      </c>
      <c r="N6" s="52" t="str">
        <f>IF(监考安排!N6='监考安排（旧）'!N6,"1",监考安排!N6)</f>
        <v>1</v>
      </c>
      <c r="O6" s="52" t="str">
        <f>IF(监考安排!O6='监考安排（旧）'!O6,"1",监考安排!O6)</f>
        <v>明珊珊</v>
      </c>
      <c r="Q6" s="64" t="s">
        <v>74</v>
      </c>
      <c r="R6" s="59">
        <f>COUNTIFS($C$4:$O$23,Q6)</f>
        <v>0</v>
      </c>
      <c r="S6" s="60">
        <f t="shared" si="1"/>
        <v>0</v>
      </c>
      <c r="T6" s="63">
        <f>COUNTIFS($C$4:$D$23,Q6)</f>
        <v>0</v>
      </c>
      <c r="U6" s="63">
        <f>COUNTIFS($E$4:$F$23,Q6)</f>
        <v>0</v>
      </c>
      <c r="V6" s="63">
        <f>COUNTIFS($G$4:$H$23,Q6)</f>
        <v>0</v>
      </c>
      <c r="W6" s="63">
        <f>COUNTIFS($I$4:$I$23,Q6)</f>
        <v>0</v>
      </c>
      <c r="X6" s="63">
        <f>COUNTIFS($J$4:$K$23,Q6)</f>
        <v>0</v>
      </c>
      <c r="Y6" s="63">
        <f>COUNTIFS($L$4:$L$23,Q6)</f>
        <v>0</v>
      </c>
      <c r="Z6" s="63">
        <f>COUNTIFS($M$4:$N$23,Q6)</f>
        <v>0</v>
      </c>
      <c r="AA6" s="63">
        <f>COUNTIFS($O$4:$O$23,Q6)</f>
        <v>0</v>
      </c>
      <c r="AC6" s="68" t="s">
        <v>95</v>
      </c>
      <c r="AD6" s="68">
        <v>42</v>
      </c>
      <c r="AE6" s="68">
        <v>0</v>
      </c>
      <c r="AF6" s="68">
        <v>42</v>
      </c>
      <c r="AG6" s="68">
        <v>42</v>
      </c>
      <c r="AH6" s="68">
        <v>0</v>
      </c>
      <c r="AI6" s="68">
        <v>0</v>
      </c>
      <c r="AK6" s="24" t="s">
        <v>102</v>
      </c>
      <c r="AL6" s="24" t="s">
        <v>103</v>
      </c>
      <c r="AM6" s="24">
        <f>15*45</f>
        <v>675</v>
      </c>
      <c r="AN6" s="24">
        <v>50</v>
      </c>
      <c r="AO6" s="24">
        <f t="shared" si="0"/>
        <v>725</v>
      </c>
    </row>
    <row r="7" ht="20" customHeight="1" spans="1:41">
      <c r="A7" s="51" t="s">
        <v>104</v>
      </c>
      <c r="B7" s="51" t="e">
        <f>COUNTIFS([1]学生编排结果!$H:$H,A7)</f>
        <v>#VALUE!</v>
      </c>
      <c r="C7" s="52" t="str">
        <f>IF(监考安排!C7='监考安排（旧）'!C7,"1",监考安排!C7)</f>
        <v>1</v>
      </c>
      <c r="D7" s="52" t="str">
        <f>IF(监考安排!D7='监考安排（旧）'!D7,"1",监考安排!D7)</f>
        <v>1</v>
      </c>
      <c r="E7" s="52" t="str">
        <f>IF(监考安排!E7='监考安排（旧）'!E7,"1",监考安排!E7)</f>
        <v>1</v>
      </c>
      <c r="F7" s="52" t="str">
        <f>IF(监考安排!F7='监考安排（旧）'!F7,"1",监考安排!F7)</f>
        <v>1</v>
      </c>
      <c r="G7" s="52" t="str">
        <f>IF(监考安排!G7='监考安排（旧）'!G7,"1",监考安排!G7)</f>
        <v>1</v>
      </c>
      <c r="H7" s="52" t="str">
        <f>IF(监考安排!H7='监考安排（旧）'!H7,"1",监考安排!H7)</f>
        <v>1</v>
      </c>
      <c r="I7" s="52" t="str">
        <f>IF(监考安排!I7='监考安排（旧）'!I7,"1",监考安排!I7)</f>
        <v>1</v>
      </c>
      <c r="J7" s="52" t="str">
        <f>IF(监考安排!J7='监考安排（旧）'!J7,"1",监考安排!J7)</f>
        <v>李智芳</v>
      </c>
      <c r="K7" s="52" t="str">
        <f>IF(监考安排!K7='监考安排（旧）'!K7,"1",监考安排!K7)</f>
        <v>1</v>
      </c>
      <c r="L7" s="52" t="str">
        <f>IF(监考安排!L7='监考安排（旧）'!L7,"1",监考安排!L7)</f>
        <v>1</v>
      </c>
      <c r="M7" s="52" t="str">
        <f>IF(监考安排!M7='监考安排（旧）'!M7,"1",监考安排!M7)</f>
        <v>1</v>
      </c>
      <c r="N7" s="52" t="str">
        <f>IF(监考安排!N7='监考安排（旧）'!N7,"1",监考安排!N7)</f>
        <v>1</v>
      </c>
      <c r="O7" s="52" t="str">
        <f>IF(监考安排!O7='监考安排（旧）'!O7,"1",监考安排!O7)</f>
        <v>1</v>
      </c>
      <c r="Q7" s="64" t="s">
        <v>75</v>
      </c>
      <c r="R7" s="59">
        <f>COUNTIFS($C$4:$O$23,Q7)</f>
        <v>0</v>
      </c>
      <c r="S7" s="60">
        <f t="shared" si="1"/>
        <v>0</v>
      </c>
      <c r="T7" s="63">
        <f>COUNTIFS($C$4:$D$23,Q7)</f>
        <v>0</v>
      </c>
      <c r="U7" s="63">
        <f>COUNTIFS($E$4:$F$23,Q7)</f>
        <v>0</v>
      </c>
      <c r="V7" s="63">
        <f>COUNTIFS($G$4:$H$23,Q7)</f>
        <v>0</v>
      </c>
      <c r="W7" s="63">
        <f>COUNTIFS($I$4:$I$23,Q7)</f>
        <v>0</v>
      </c>
      <c r="X7" s="63">
        <f>COUNTIFS($J$4:$K$23,Q7)</f>
        <v>0</v>
      </c>
      <c r="Y7" s="63">
        <f>COUNTIFS($L$4:$L$23,Q7)</f>
        <v>0</v>
      </c>
      <c r="Z7" s="63">
        <f>COUNTIFS($M$4:$N$23,Q7)</f>
        <v>0</v>
      </c>
      <c r="AA7" s="63">
        <f>COUNTIFS($O$4:$O$23,Q7)</f>
        <v>0</v>
      </c>
      <c r="AC7" s="68" t="s">
        <v>104</v>
      </c>
      <c r="AD7" s="68">
        <v>42</v>
      </c>
      <c r="AE7" s="68">
        <v>0</v>
      </c>
      <c r="AF7" s="68">
        <v>42</v>
      </c>
      <c r="AG7" s="68">
        <v>42</v>
      </c>
      <c r="AH7" s="68">
        <v>0</v>
      </c>
      <c r="AI7" s="68">
        <v>0</v>
      </c>
      <c r="AK7" s="24" t="s">
        <v>108</v>
      </c>
      <c r="AL7" s="24" t="s">
        <v>109</v>
      </c>
      <c r="AM7" s="24">
        <f>5*45</f>
        <v>225</v>
      </c>
      <c r="AN7" s="24">
        <v>25</v>
      </c>
      <c r="AO7" s="24">
        <f t="shared" si="0"/>
        <v>250</v>
      </c>
    </row>
    <row r="8" ht="20" customHeight="1" spans="1:41">
      <c r="A8" s="51" t="s">
        <v>110</v>
      </c>
      <c r="B8" s="51" t="e">
        <f>COUNTIFS([1]学生编排结果!$H:$H,A8)</f>
        <v>#VALUE!</v>
      </c>
      <c r="C8" s="52" t="str">
        <f>IF(监考安排!C8='监考安排（旧）'!C8,"1",监考安排!C8)</f>
        <v>林蕴瑜</v>
      </c>
      <c r="D8" s="52" t="str">
        <f>IF(监考安排!D8='监考安排（旧）'!D8,"1",监考安排!D8)</f>
        <v>1</v>
      </c>
      <c r="E8" s="52" t="str">
        <f>IF(监考安排!E8='监考安排（旧）'!E8,"1",监考安排!E8)</f>
        <v>1</v>
      </c>
      <c r="F8" s="52" t="str">
        <f>IF(监考安排!F8='监考安排（旧）'!F8,"1",监考安排!F8)</f>
        <v>1</v>
      </c>
      <c r="G8" s="52" t="str">
        <f>IF(监考安排!G8='监考安排（旧）'!G8,"1",监考安排!G8)</f>
        <v>1</v>
      </c>
      <c r="H8" s="52" t="str">
        <f>IF(监考安排!H8='监考安排（旧）'!H8,"1",监考安排!H8)</f>
        <v>1</v>
      </c>
      <c r="I8" s="52" t="str">
        <f>IF(监考安排!I8='监考安排（旧）'!I8,"1",监考安排!I8)</f>
        <v>1</v>
      </c>
      <c r="J8" s="52" t="str">
        <f>IF(监考安排!J8='监考安排（旧）'!J8,"1",监考安排!J8)</f>
        <v>1</v>
      </c>
      <c r="K8" s="52" t="str">
        <f>IF(监考安排!K8='监考安排（旧）'!K8,"1",监考安排!K8)</f>
        <v>1</v>
      </c>
      <c r="L8" s="52" t="str">
        <f>IF(监考安排!L8='监考安排（旧）'!L8,"1",监考安排!L8)</f>
        <v>1</v>
      </c>
      <c r="M8" s="52" t="str">
        <f>IF(监考安排!M8='监考安排（旧）'!M8,"1",监考安排!M8)</f>
        <v>1</v>
      </c>
      <c r="N8" s="52" t="str">
        <f>IF(监考安排!N8='监考安排（旧）'!N8,"1",监考安排!N8)</f>
        <v>1</v>
      </c>
      <c r="O8" s="52" t="str">
        <f>IF(监考安排!O8='监考安排（旧）'!O8,"1",监考安排!O8)</f>
        <v>林蕴瑜</v>
      </c>
      <c r="Q8" s="64" t="s">
        <v>114</v>
      </c>
      <c r="R8" s="59">
        <f>COUNTIFS($C$4:$O$23,Q8)</f>
        <v>2</v>
      </c>
      <c r="S8" s="60">
        <f t="shared" si="1"/>
        <v>210</v>
      </c>
      <c r="T8" s="63">
        <f>COUNTIFS($C$4:$D$23,Q8)</f>
        <v>1</v>
      </c>
      <c r="U8" s="63">
        <f>COUNTIFS($E$4:$F$23,Q8)</f>
        <v>0</v>
      </c>
      <c r="V8" s="63">
        <f>COUNTIFS($G$4:$H$23,Q8)</f>
        <v>0</v>
      </c>
      <c r="W8" s="63">
        <f>COUNTIFS($I$4:$I$23,Q8)</f>
        <v>0</v>
      </c>
      <c r="X8" s="63">
        <f>COUNTIFS($J$4:$K$23,Q8)</f>
        <v>0</v>
      </c>
      <c r="Y8" s="63">
        <f>COUNTIFS($L$4:$L$23,Q8)</f>
        <v>0</v>
      </c>
      <c r="Z8" s="63">
        <f>COUNTIFS($M$4:$N$23,Q8)</f>
        <v>0</v>
      </c>
      <c r="AA8" s="63">
        <f>COUNTIFS($O$4:$O$23,Q8)</f>
        <v>1</v>
      </c>
      <c r="AC8" s="68" t="s">
        <v>110</v>
      </c>
      <c r="AD8" s="68">
        <v>42</v>
      </c>
      <c r="AE8" s="68">
        <v>0</v>
      </c>
      <c r="AF8" s="68">
        <v>42</v>
      </c>
      <c r="AG8" s="68">
        <v>42</v>
      </c>
      <c r="AH8" s="68">
        <v>0</v>
      </c>
      <c r="AI8" s="68">
        <v>0</v>
      </c>
      <c r="AK8" s="24" t="s">
        <v>116</v>
      </c>
      <c r="AL8" s="24" t="s">
        <v>117</v>
      </c>
      <c r="AM8" s="24">
        <f>16*45</f>
        <v>720</v>
      </c>
      <c r="AN8" s="24">
        <v>0</v>
      </c>
      <c r="AO8" s="24">
        <f t="shared" si="0"/>
        <v>720</v>
      </c>
    </row>
    <row r="9" ht="20" customHeight="1" spans="1:41">
      <c r="A9" s="51" t="s">
        <v>118</v>
      </c>
      <c r="B9" s="51" t="e">
        <f>COUNTIFS([1]学生编排结果!$H:$H,A9)</f>
        <v>#VALUE!</v>
      </c>
      <c r="C9" s="52" t="str">
        <f>IF(监考安排!C9='监考安排（旧）'!C9,"1",监考安排!C9)</f>
        <v>1</v>
      </c>
      <c r="D9" s="52" t="str">
        <f>IF(监考安排!D9='监考安排（旧）'!D9,"1",监考安排!D9)</f>
        <v>1</v>
      </c>
      <c r="E9" s="52" t="str">
        <f>IF(监考安排!E9='监考安排（旧）'!E9,"1",监考安排!E9)</f>
        <v>1</v>
      </c>
      <c r="F9" s="52" t="str">
        <f>IF(监考安排!F9='监考安排（旧）'!F9,"1",监考安排!F9)</f>
        <v>1</v>
      </c>
      <c r="G9" s="52" t="str">
        <f>IF(监考安排!G9='监考安排（旧）'!G9,"1",监考安排!G9)</f>
        <v>1</v>
      </c>
      <c r="H9" s="52" t="str">
        <f>IF(监考安排!H9='监考安排（旧）'!H9,"1",监考安排!H9)</f>
        <v>1</v>
      </c>
      <c r="I9" s="52" t="str">
        <f>IF(监考安排!I9='监考安排（旧）'!I9,"1",监考安排!I9)</f>
        <v>李昕雨</v>
      </c>
      <c r="J9" s="52" t="str">
        <f>IF(监考安排!J9='监考安排（旧）'!J9,"1",监考安排!J9)</f>
        <v>1</v>
      </c>
      <c r="K9" s="52" t="str">
        <f>IF(监考安排!K9='监考安排（旧）'!K9,"1",监考安排!K9)</f>
        <v>1</v>
      </c>
      <c r="L9" s="52" t="str">
        <f>IF(监考安排!L9='监考安排（旧）'!L9,"1",监考安排!L9)</f>
        <v>1</v>
      </c>
      <c r="M9" s="52" t="str">
        <f>IF(监考安排!M9='监考安排（旧）'!M9,"1",监考安排!M9)</f>
        <v>许业琳</v>
      </c>
      <c r="N9" s="52" t="str">
        <f>IF(监考安排!N9='监考安排（旧）'!N9,"1",监考安排!N9)</f>
        <v>1</v>
      </c>
      <c r="O9" s="52" t="str">
        <f>IF(监考安排!O9='监考安排（旧）'!O9,"1",监考安排!O9)</f>
        <v>许业琳</v>
      </c>
      <c r="Q9" s="62" t="s">
        <v>96</v>
      </c>
      <c r="R9" s="59">
        <f>COUNTIFS($C$4:$O$23,Q9)</f>
        <v>0</v>
      </c>
      <c r="S9" s="60">
        <f t="shared" si="1"/>
        <v>0</v>
      </c>
      <c r="T9" s="63">
        <f>COUNTIFS($C$4:$D$23,Q9)</f>
        <v>0</v>
      </c>
      <c r="U9" s="63">
        <f>COUNTIFS($E$4:$F$23,Q9)</f>
        <v>0</v>
      </c>
      <c r="V9" s="63">
        <f>COUNTIFS($G$4:$H$23,Q9)</f>
        <v>0</v>
      </c>
      <c r="W9" s="63">
        <f>COUNTIFS($I$4:$I$23,Q9)</f>
        <v>0</v>
      </c>
      <c r="X9" s="63">
        <f>COUNTIFS($J$4:$K$23,Q9)</f>
        <v>0</v>
      </c>
      <c r="Y9" s="63">
        <f>COUNTIFS($L$4:$L$23,Q9)</f>
        <v>0</v>
      </c>
      <c r="Z9" s="63">
        <f>COUNTIFS($M$4:$N$23,Q9)</f>
        <v>0</v>
      </c>
      <c r="AA9" s="63">
        <f>COUNTIFS($O$4:$O$23,Q9)</f>
        <v>0</v>
      </c>
      <c r="AC9" s="68" t="s">
        <v>118</v>
      </c>
      <c r="AD9" s="68">
        <v>42</v>
      </c>
      <c r="AE9" s="68">
        <v>0</v>
      </c>
      <c r="AF9" s="68">
        <v>42</v>
      </c>
      <c r="AG9" s="68">
        <v>42</v>
      </c>
      <c r="AH9" s="68">
        <v>0</v>
      </c>
      <c r="AI9" s="68">
        <v>0</v>
      </c>
      <c r="AK9" s="24" t="s">
        <v>121</v>
      </c>
      <c r="AL9" s="24" t="s">
        <v>122</v>
      </c>
      <c r="AM9" s="24">
        <f>12*45</f>
        <v>540</v>
      </c>
      <c r="AN9" s="24">
        <v>0</v>
      </c>
      <c r="AO9" s="24">
        <f t="shared" si="0"/>
        <v>540</v>
      </c>
    </row>
    <row r="10" ht="20" customHeight="1" spans="1:41">
      <c r="A10" s="51" t="s">
        <v>123</v>
      </c>
      <c r="B10" s="51" t="e">
        <f>COUNTIFS([1]学生编排结果!$H:$H,A10)</f>
        <v>#VALUE!</v>
      </c>
      <c r="C10" s="52" t="str">
        <f>IF(监考安排!C10='监考安排（旧）'!C10,"1",监考安排!C10)</f>
        <v>周罗洁</v>
      </c>
      <c r="D10" s="52" t="str">
        <f>IF(监考安排!D10='监考安排（旧）'!D10,"1",监考安排!D10)</f>
        <v>1</v>
      </c>
      <c r="E10" s="52" t="str">
        <f>IF(监考安排!E10='监考安排（旧）'!E10,"1",监考安排!E10)</f>
        <v>1</v>
      </c>
      <c r="F10" s="52" t="str">
        <f>IF(监考安排!F10='监考安排（旧）'!F10,"1",监考安排!F10)</f>
        <v>1</v>
      </c>
      <c r="G10" s="52" t="str">
        <f>IF(监考安排!G10='监考安排（旧）'!G10,"1",监考安排!G10)</f>
        <v>1</v>
      </c>
      <c r="H10" s="52" t="str">
        <f>IF(监考安排!H10='监考安排（旧）'!H10,"1",监考安排!H10)</f>
        <v>1</v>
      </c>
      <c r="I10" s="52" t="str">
        <f>IF(监考安排!I10='监考安排（旧）'!I10,"1",监考安排!I10)</f>
        <v>1</v>
      </c>
      <c r="J10" s="52" t="str">
        <f>IF(监考安排!J10='监考安排（旧）'!J10,"1",监考安排!J10)</f>
        <v>1</v>
      </c>
      <c r="K10" s="52" t="str">
        <f>IF(监考安排!K10='监考安排（旧）'!K10,"1",监考安排!K10)</f>
        <v>1</v>
      </c>
      <c r="L10" s="52" t="str">
        <f>IF(监考安排!L10='监考安排（旧）'!L10,"1",监考安排!L10)</f>
        <v>1</v>
      </c>
      <c r="M10" s="52" t="str">
        <f>IF(监考安排!M10='监考安排（旧）'!M10,"1",监考安排!M10)</f>
        <v>1</v>
      </c>
      <c r="N10" s="52" t="str">
        <f>IF(监考安排!N10='监考安排（旧）'!N10,"1",监考安排!N10)</f>
        <v>1</v>
      </c>
      <c r="O10" s="52" t="str">
        <f>IF(监考安排!O10='监考安排（旧）'!O10,"1",监考安排!O10)</f>
        <v>1</v>
      </c>
      <c r="Q10" s="62" t="s">
        <v>127</v>
      </c>
      <c r="R10" s="59">
        <f>COUNTIFS($C$4:$O$23,Q10)</f>
        <v>0</v>
      </c>
      <c r="S10" s="60">
        <f t="shared" si="1"/>
        <v>0</v>
      </c>
      <c r="T10" s="63">
        <f>COUNTIFS($C$4:$D$23,Q10)</f>
        <v>0</v>
      </c>
      <c r="U10" s="63">
        <f>COUNTIFS($E$4:$F$23,Q10)</f>
        <v>0</v>
      </c>
      <c r="V10" s="63">
        <f>COUNTIFS($G$4:$H$23,Q10)</f>
        <v>0</v>
      </c>
      <c r="W10" s="63">
        <f>COUNTIFS($I$4:$I$23,Q10)</f>
        <v>0</v>
      </c>
      <c r="X10" s="63">
        <f>COUNTIFS($J$4:$K$23,Q10)</f>
        <v>0</v>
      </c>
      <c r="Y10" s="63">
        <f>COUNTIFS($L$4:$L$23,Q10)</f>
        <v>0</v>
      </c>
      <c r="Z10" s="63">
        <f>COUNTIFS($M$4:$N$23,Q10)</f>
        <v>0</v>
      </c>
      <c r="AA10" s="63">
        <f>COUNTIFS($O$4:$O$23,Q10)</f>
        <v>0</v>
      </c>
      <c r="AC10" s="68" t="s">
        <v>123</v>
      </c>
      <c r="AD10" s="68">
        <v>42</v>
      </c>
      <c r="AE10" s="68">
        <v>0</v>
      </c>
      <c r="AF10" s="68">
        <v>42</v>
      </c>
      <c r="AG10" s="68">
        <v>42</v>
      </c>
      <c r="AH10" s="68">
        <v>0</v>
      </c>
      <c r="AI10" s="68">
        <v>0</v>
      </c>
      <c r="AK10" s="24" t="s">
        <v>130</v>
      </c>
      <c r="AL10" s="24" t="s">
        <v>131</v>
      </c>
      <c r="AM10" s="24">
        <f>8*45</f>
        <v>360</v>
      </c>
      <c r="AN10" s="24">
        <v>0</v>
      </c>
      <c r="AO10" s="24">
        <f t="shared" si="0"/>
        <v>360</v>
      </c>
    </row>
    <row r="11" ht="20" customHeight="1" spans="1:41">
      <c r="A11" s="51" t="s">
        <v>132</v>
      </c>
      <c r="B11" s="51" t="e">
        <f>COUNTIFS([1]学生编排结果!$H:$H,A11)</f>
        <v>#VALUE!</v>
      </c>
      <c r="C11" s="52" t="str">
        <f>IF(监考安排!C11='监考安排（旧）'!C11,"1",监考安排!C11)</f>
        <v>1</v>
      </c>
      <c r="D11" s="52" t="str">
        <f>IF(监考安排!D11='监考安排（旧）'!D11,"1",监考安排!D11)</f>
        <v>1</v>
      </c>
      <c r="E11" s="52" t="str">
        <f>IF(监考安排!E11='监考安排（旧）'!E11,"1",监考安排!E11)</f>
        <v>1</v>
      </c>
      <c r="F11" s="52" t="str">
        <f>IF(监考安排!F11='监考安排（旧）'!F11,"1",监考安排!F11)</f>
        <v>1</v>
      </c>
      <c r="G11" s="52" t="str">
        <f>IF(监考安排!G11='监考安排（旧）'!G11,"1",监考安排!G11)</f>
        <v>1</v>
      </c>
      <c r="H11" s="52" t="str">
        <f>IF(监考安排!H11='监考安排（旧）'!H11,"1",监考安排!H11)</f>
        <v>1</v>
      </c>
      <c r="I11" s="52" t="str">
        <f>IF(监考安排!I11='监考安排（旧）'!I11,"1",监考安排!I11)</f>
        <v>1</v>
      </c>
      <c r="J11" s="52" t="str">
        <f>IF(监考安排!J11='监考安排（旧）'!J11,"1",监考安排!J11)</f>
        <v>1</v>
      </c>
      <c r="K11" s="52" t="str">
        <f>IF(监考安排!K11='监考安排（旧）'!K11,"1",监考安排!K11)</f>
        <v>1</v>
      </c>
      <c r="L11" s="52" t="str">
        <f>IF(监考安排!L11='监考安排（旧）'!L11,"1",监考安排!L11)</f>
        <v>1</v>
      </c>
      <c r="M11" s="52" t="str">
        <f>IF(监考安排!M11='监考安排（旧）'!M11,"1",监考安排!M11)</f>
        <v>范南莺</v>
      </c>
      <c r="N11" s="52" t="str">
        <f>IF(监考安排!N11='监考安排（旧）'!N11,"1",监考安排!N11)</f>
        <v>1</v>
      </c>
      <c r="O11" s="52" t="str">
        <f>IF(监考安排!O11='监考安排（旧）'!O11,"1",监考安排!O11)</f>
        <v>1</v>
      </c>
      <c r="Q11" s="62" t="s">
        <v>133</v>
      </c>
      <c r="R11" s="59">
        <f>COUNTIFS($C$4:$O$23,Q11)</f>
        <v>0</v>
      </c>
      <c r="S11" s="60">
        <f t="shared" si="1"/>
        <v>0</v>
      </c>
      <c r="T11" s="63">
        <f>COUNTIFS($C$4:$D$23,Q11)</f>
        <v>0</v>
      </c>
      <c r="U11" s="63">
        <f>COUNTIFS($E$4:$F$23,Q11)</f>
        <v>0</v>
      </c>
      <c r="V11" s="63">
        <f>COUNTIFS($G$4:$H$23,Q11)</f>
        <v>0</v>
      </c>
      <c r="W11" s="63">
        <f>COUNTIFS($I$4:$I$23,Q11)</f>
        <v>0</v>
      </c>
      <c r="X11" s="63">
        <f>COUNTIFS($J$4:$K$23,Q11)</f>
        <v>0</v>
      </c>
      <c r="Y11" s="63">
        <f>COUNTIFS($L$4:$L$23,Q11)</f>
        <v>0</v>
      </c>
      <c r="Z11" s="63">
        <f>COUNTIFS($M$4:$N$23,Q11)</f>
        <v>0</v>
      </c>
      <c r="AA11" s="63">
        <f>COUNTIFS($O$4:$O$23,Q11)</f>
        <v>0</v>
      </c>
      <c r="AC11" s="68" t="s">
        <v>132</v>
      </c>
      <c r="AD11" s="68">
        <v>42</v>
      </c>
      <c r="AE11" s="68">
        <v>0</v>
      </c>
      <c r="AF11" s="68">
        <v>42</v>
      </c>
      <c r="AG11" s="68">
        <v>42</v>
      </c>
      <c r="AH11" s="68">
        <v>0</v>
      </c>
      <c r="AI11" s="68">
        <v>0</v>
      </c>
      <c r="AK11" s="24" t="s">
        <v>135</v>
      </c>
      <c r="AL11" s="24" t="s">
        <v>136</v>
      </c>
      <c r="AM11" s="24">
        <f>7*45</f>
        <v>315</v>
      </c>
      <c r="AN11" s="24"/>
      <c r="AO11" s="24">
        <f t="shared" si="0"/>
        <v>315</v>
      </c>
    </row>
    <row r="12" ht="20" customHeight="1" spans="1:41">
      <c r="A12" s="51" t="s">
        <v>137</v>
      </c>
      <c r="B12" s="51" t="e">
        <f>COUNTIFS([1]学生编排结果!$H:$H,A12)</f>
        <v>#VALUE!</v>
      </c>
      <c r="C12" s="52" t="str">
        <f>IF(监考安排!C12='监考安排（旧）'!C12,"1",监考安排!C12)</f>
        <v>1</v>
      </c>
      <c r="D12" s="52" t="str">
        <f>IF(监考安排!D12='监考安排（旧）'!D12,"1",监考安排!D12)</f>
        <v>1</v>
      </c>
      <c r="E12" s="52" t="str">
        <f>IF(监考安排!E12='监考安排（旧）'!E12,"1",监考安排!E12)</f>
        <v>1</v>
      </c>
      <c r="F12" s="52" t="str">
        <f>IF(监考安排!F12='监考安排（旧）'!F12,"1",监考安排!F12)</f>
        <v>1</v>
      </c>
      <c r="G12" s="52" t="str">
        <f>IF(监考安排!G12='监考安排（旧）'!G12,"1",监考安排!G12)</f>
        <v>1</v>
      </c>
      <c r="H12" s="52" t="str">
        <f>IF(监考安排!H12='监考安排（旧）'!H12,"1",监考安排!H12)</f>
        <v>刘良桂</v>
      </c>
      <c r="I12" s="52" t="str">
        <f>IF(监考安排!I12='监考安排（旧）'!I12,"1",监考安排!I12)</f>
        <v>1</v>
      </c>
      <c r="J12" s="52" t="str">
        <f>IF(监考安排!J12='监考安排（旧）'!J12,"1",监考安排!J12)</f>
        <v>1</v>
      </c>
      <c r="K12" s="52" t="str">
        <f>IF(监考安排!K12='监考安排（旧）'!K12,"1",监考安排!K12)</f>
        <v>1</v>
      </c>
      <c r="L12" s="52" t="str">
        <f>IF(监考安排!L12='监考安排（旧）'!L12,"1",监考安排!L12)</f>
        <v>1</v>
      </c>
      <c r="M12" s="52" t="str">
        <f>IF(监考安排!M12='监考安排（旧）'!M12,"1",监考安排!M12)</f>
        <v>1</v>
      </c>
      <c r="N12" s="52" t="str">
        <f>IF(监考安排!N12='监考安排（旧）'!N12,"1",监考安排!N12)</f>
        <v>1</v>
      </c>
      <c r="O12" s="52" t="str">
        <f>IF(监考安排!O12='监考安排（旧）'!O12,"1",监考安排!O12)</f>
        <v>1</v>
      </c>
      <c r="Q12" s="65" t="s">
        <v>112</v>
      </c>
      <c r="R12" s="59">
        <f>COUNTIFS($C$4:$O$23,Q12)</f>
        <v>0</v>
      </c>
      <c r="S12" s="60">
        <f t="shared" si="1"/>
        <v>0</v>
      </c>
      <c r="T12" s="65">
        <f>COUNTIFS($C$4:$D$23,Q12)</f>
        <v>0</v>
      </c>
      <c r="U12" s="65">
        <f>COUNTIFS($E$4:$F$23,Q12)</f>
        <v>0</v>
      </c>
      <c r="V12" s="63">
        <f>COUNTIFS($G$4:$H$23,Q12)</f>
        <v>0</v>
      </c>
      <c r="W12" s="63">
        <f>COUNTIFS($I$4:$I$23,Q12)</f>
        <v>0</v>
      </c>
      <c r="X12" s="63">
        <f>COUNTIFS($J$4:$K$23,Q12)</f>
        <v>0</v>
      </c>
      <c r="Y12" s="63">
        <f>COUNTIFS($L$4:$L$23,Q12)</f>
        <v>0</v>
      </c>
      <c r="Z12" s="63">
        <f>COUNTIFS($M$4:$N$23,Q12)</f>
        <v>0</v>
      </c>
      <c r="AA12" s="63">
        <f>COUNTIFS($O$4:$O$23,Q12)</f>
        <v>0</v>
      </c>
      <c r="AC12" s="68" t="s">
        <v>137</v>
      </c>
      <c r="AD12" s="68">
        <v>42</v>
      </c>
      <c r="AE12" s="68">
        <v>0</v>
      </c>
      <c r="AF12" s="68">
        <v>42</v>
      </c>
      <c r="AG12" s="68">
        <v>42</v>
      </c>
      <c r="AH12" s="68">
        <v>0</v>
      </c>
      <c r="AI12" s="68">
        <v>0</v>
      </c>
      <c r="AK12" s="24"/>
      <c r="AL12" s="24"/>
      <c r="AM12" s="24"/>
      <c r="AN12" s="24"/>
      <c r="AO12" s="24"/>
    </row>
    <row r="13" ht="20" customHeight="1" spans="1:41">
      <c r="A13" s="51" t="s">
        <v>141</v>
      </c>
      <c r="B13" s="51" t="e">
        <f>COUNTIFS([1]学生编排结果!$H:$H,A13)</f>
        <v>#VALUE!</v>
      </c>
      <c r="C13" s="52" t="str">
        <f>IF(监考安排!C13='监考安排（旧）'!C13,"1",监考安排!C13)</f>
        <v>1</v>
      </c>
      <c r="D13" s="52" t="str">
        <f>IF(监考安排!D13='监考安排（旧）'!D13,"1",监考安排!D13)</f>
        <v>1</v>
      </c>
      <c r="E13" s="52" t="str">
        <f>IF(监考安排!E13='监考安排（旧）'!E13,"1",监考安排!E13)</f>
        <v>1</v>
      </c>
      <c r="F13" s="52" t="str">
        <f>IF(监考安排!F13='监考安排（旧）'!F13,"1",监考安排!F13)</f>
        <v>1</v>
      </c>
      <c r="G13" s="52" t="str">
        <f>IF(监考安排!G13='监考安排（旧）'!G13,"1",监考安排!G13)</f>
        <v>张妮</v>
      </c>
      <c r="H13" s="52" t="str">
        <f>IF(监考安排!H13='监考安排（旧）'!H13,"1",监考安排!H13)</f>
        <v>1</v>
      </c>
      <c r="I13" s="52" t="str">
        <f>IF(监考安排!I13='监考安排（旧）'!I13,"1",监考安排!I13)</f>
        <v>1</v>
      </c>
      <c r="J13" s="52" t="str">
        <f>IF(监考安排!J13='监考安排（旧）'!J13,"1",监考安排!J13)</f>
        <v>1</v>
      </c>
      <c r="K13" s="52" t="str">
        <f>IF(监考安排!K13='监考安排（旧）'!K13,"1",监考安排!K13)</f>
        <v>1</v>
      </c>
      <c r="L13" s="52" t="str">
        <f>IF(监考安排!L13='监考安排（旧）'!L13,"1",监考安排!L13)</f>
        <v>1</v>
      </c>
      <c r="M13" s="52" t="str">
        <f>IF(监考安排!M13='监考安排（旧）'!M13,"1",监考安排!M13)</f>
        <v>1</v>
      </c>
      <c r="N13" s="52" t="str">
        <f>IF(监考安排!N13='监考安排（旧）'!N13,"1",监考安排!N13)</f>
        <v>1</v>
      </c>
      <c r="O13" s="52" t="str">
        <f>IF(监考安排!O13='监考安排（旧）'!O13,"1",监考安排!O13)</f>
        <v>1</v>
      </c>
      <c r="Q13" s="62" t="s">
        <v>142</v>
      </c>
      <c r="R13" s="59">
        <f>COUNTIFS($C$4:$O$23,Q13)</f>
        <v>0</v>
      </c>
      <c r="S13" s="60">
        <f t="shared" si="1"/>
        <v>0</v>
      </c>
      <c r="T13" s="63">
        <f>COUNTIFS($C$4:$D$23,Q13)</f>
        <v>0</v>
      </c>
      <c r="U13" s="63">
        <f>COUNTIFS($E$4:$F$23,Q13)</f>
        <v>0</v>
      </c>
      <c r="V13" s="63">
        <f>COUNTIFS($G$4:$H$23,Q13)</f>
        <v>0</v>
      </c>
      <c r="W13" s="63">
        <f>COUNTIFS($I$4:$I$23,Q13)</f>
        <v>0</v>
      </c>
      <c r="X13" s="63">
        <f>COUNTIFS($J$4:$K$23,Q13)</f>
        <v>0</v>
      </c>
      <c r="Y13" s="63">
        <f>COUNTIFS($L$4:$L$23,Q13)</f>
        <v>0</v>
      </c>
      <c r="Z13" s="63">
        <f>COUNTIFS($M$4:$N$23,Q13)</f>
        <v>0</v>
      </c>
      <c r="AA13" s="63">
        <f>COUNTIFS($O$4:$O$23,Q13)</f>
        <v>0</v>
      </c>
      <c r="AC13" s="68" t="s">
        <v>141</v>
      </c>
      <c r="AD13" s="68">
        <v>42</v>
      </c>
      <c r="AE13" s="68">
        <v>0</v>
      </c>
      <c r="AF13" s="68">
        <v>42</v>
      </c>
      <c r="AG13" s="68">
        <v>42</v>
      </c>
      <c r="AH13" s="68">
        <v>0</v>
      </c>
      <c r="AI13" s="68">
        <v>0</v>
      </c>
      <c r="AK13" s="24" t="s">
        <v>144</v>
      </c>
      <c r="AL13" s="24" t="s">
        <v>72</v>
      </c>
      <c r="AM13" s="24">
        <f>20*45</f>
        <v>900</v>
      </c>
      <c r="AN13" s="24">
        <v>50</v>
      </c>
      <c r="AO13" s="24">
        <f>AM13+AN13</f>
        <v>950</v>
      </c>
    </row>
    <row r="14" ht="20" customHeight="1" spans="1:41">
      <c r="A14" s="51" t="s">
        <v>145</v>
      </c>
      <c r="B14" s="51" t="e">
        <f>COUNTIFS([1]学生编排结果!$H:$H,A14)</f>
        <v>#VALUE!</v>
      </c>
      <c r="C14" s="52" t="str">
        <f>IF(监考安排!C14='监考安排（旧）'!C14,"1",监考安排!C14)</f>
        <v>郑婉慧</v>
      </c>
      <c r="D14" s="52" t="str">
        <f>IF(监考安排!D14='监考安排（旧）'!D14,"1",监考安排!D14)</f>
        <v>1</v>
      </c>
      <c r="E14" s="52" t="str">
        <f>IF(监考安排!E14='监考安排（旧）'!E14,"1",监考安排!E14)</f>
        <v>郑婉慧</v>
      </c>
      <c r="F14" s="52" t="str">
        <f>IF(监考安排!F14='监考安排（旧）'!F14,"1",监考安排!F14)</f>
        <v>陈晓迪</v>
      </c>
      <c r="G14" s="52" t="str">
        <f>IF(监考安排!G14='监考安排（旧）'!G14,"1",监考安排!G14)</f>
        <v>李镇国</v>
      </c>
      <c r="H14" s="52" t="str">
        <f>IF(监考安排!H14='监考安排（旧）'!H14,"1",监考安排!H14)</f>
        <v>王昕</v>
      </c>
      <c r="I14" s="52" t="str">
        <f>IF(监考安排!I14='监考安排（旧）'!I14,"1",监考安排!I14)</f>
        <v>1</v>
      </c>
      <c r="J14" s="52" t="str">
        <f>IF(监考安排!J14='监考安排（旧）'!J14,"1",监考安排!J14)</f>
        <v>1</v>
      </c>
      <c r="K14" s="52" t="str">
        <f>IF(监考安排!K14='监考安排（旧）'!K14,"1",监考安排!K14)</f>
        <v>范南莺</v>
      </c>
      <c r="L14" s="52" t="str">
        <f>IF(监考安排!L14='监考安排（旧）'!L14,"1",监考安排!L14)</f>
        <v>1</v>
      </c>
      <c r="M14" s="52" t="str">
        <f>IF(监考安排!M14='监考安排（旧）'!M14,"1",监考安排!M14)</f>
        <v>1</v>
      </c>
      <c r="N14" s="52" t="str">
        <f>IF(监考安排!N14='监考安排（旧）'!N14,"1",监考安排!N14)</f>
        <v>1</v>
      </c>
      <c r="O14" s="52" t="str">
        <f>IF(监考安排!O14='监考安排（旧）'!O14,"1",监考安排!O14)</f>
        <v>彭海影</v>
      </c>
      <c r="Q14" s="64" t="s">
        <v>139</v>
      </c>
      <c r="R14" s="59">
        <f>COUNTIFS($C$4:$O$23,Q14)</f>
        <v>1</v>
      </c>
      <c r="S14" s="60">
        <f t="shared" si="1"/>
        <v>120</v>
      </c>
      <c r="T14" s="63">
        <f>COUNTIFS($C$4:$D$23,Q14)</f>
        <v>0</v>
      </c>
      <c r="U14" s="63">
        <f>COUNTIFS($E$4:$F$23,Q14)</f>
        <v>0</v>
      </c>
      <c r="V14" s="63">
        <f>COUNTIFS($G$4:$H$23,Q14)</f>
        <v>1</v>
      </c>
      <c r="W14" s="63">
        <f>COUNTIFS($I$4:$I$23,Q14)</f>
        <v>0</v>
      </c>
      <c r="X14" s="63">
        <f>COUNTIFS($J$4:$K$23,Q14)</f>
        <v>0</v>
      </c>
      <c r="Y14" s="63">
        <f>COUNTIFS($L$4:$L$23,Q14)</f>
        <v>0</v>
      </c>
      <c r="Z14" s="63">
        <f>COUNTIFS($M$4:$N$23,Q14)</f>
        <v>0</v>
      </c>
      <c r="AA14" s="63">
        <f>COUNTIFS($O$4:$O$23,Q14)</f>
        <v>0</v>
      </c>
      <c r="AC14" s="68" t="s">
        <v>145</v>
      </c>
      <c r="AD14" s="68">
        <v>42</v>
      </c>
      <c r="AE14" s="68">
        <v>0</v>
      </c>
      <c r="AF14" s="68">
        <v>42</v>
      </c>
      <c r="AG14" s="68">
        <v>42</v>
      </c>
      <c r="AH14" s="68">
        <v>0</v>
      </c>
      <c r="AI14" s="68">
        <v>0</v>
      </c>
      <c r="AK14" s="24" t="s">
        <v>146</v>
      </c>
      <c r="AL14" s="24" t="s">
        <v>72</v>
      </c>
      <c r="AM14" s="24">
        <f>20*45</f>
        <v>900</v>
      </c>
      <c r="AN14" s="24">
        <v>50</v>
      </c>
      <c r="AO14" s="24">
        <f>AM14+AN14</f>
        <v>950</v>
      </c>
    </row>
    <row r="15" ht="20" customHeight="1" spans="1:35">
      <c r="A15" s="51" t="s">
        <v>147</v>
      </c>
      <c r="B15" s="51" t="e">
        <f>COUNTIFS([1]学生编排结果!$H:$H,A15)</f>
        <v>#VALUE!</v>
      </c>
      <c r="C15" s="52" t="str">
        <f>IF(监考安排!C15='监考安排（旧）'!C15,"1",监考安排!C15)</f>
        <v>1</v>
      </c>
      <c r="D15" s="52" t="str">
        <f>IF(监考安排!D15='监考安排（旧）'!D15,"1",监考安排!D15)</f>
        <v>1</v>
      </c>
      <c r="E15" s="52" t="str">
        <f>IF(监考安排!E15='监考安排（旧）'!E15,"1",监考安排!E15)</f>
        <v>1</v>
      </c>
      <c r="F15" s="52" t="str">
        <f>IF(监考安排!F15='监考安排（旧）'!F15,"1",监考安排!F15)</f>
        <v>1</v>
      </c>
      <c r="G15" s="52" t="str">
        <f>IF(监考安排!G15='监考安排（旧）'!G15,"1",监考安排!G15)</f>
        <v>1</v>
      </c>
      <c r="H15" s="52" t="str">
        <f>IF(监考安排!H15='监考安排（旧）'!H15,"1",监考安排!H15)</f>
        <v>1</v>
      </c>
      <c r="I15" s="52" t="str">
        <f>IF(监考安排!I15='监考安排（旧）'!I15,"1",监考安排!I15)</f>
        <v>1</v>
      </c>
      <c r="J15" s="52" t="str">
        <f>IF(监考安排!J15='监考安排（旧）'!J15,"1",监考安排!J15)</f>
        <v>1</v>
      </c>
      <c r="K15" s="52" t="str">
        <f>IF(监考安排!K15='监考安排（旧）'!K15,"1",监考安排!K15)</f>
        <v>1</v>
      </c>
      <c r="L15" s="52" t="str">
        <f>IF(监考安排!L15='监考安排（旧）'!L15,"1",监考安排!L15)</f>
        <v>王昕</v>
      </c>
      <c r="M15" s="52" t="str">
        <f>IF(监考安排!M15='监考安排（旧）'!M15,"1",监考安排!M15)</f>
        <v>1</v>
      </c>
      <c r="N15" s="52" t="str">
        <f>IF(监考安排!N15='监考安排（旧）'!N15,"1",监考安排!N15)</f>
        <v>1</v>
      </c>
      <c r="O15" s="52" t="str">
        <f>IF(监考安排!O15='监考安排（旧）'!O15,"1",监考安排!O15)</f>
        <v>1</v>
      </c>
      <c r="Q15" s="64" t="s">
        <v>125</v>
      </c>
      <c r="R15" s="59">
        <f>COUNTIFS($C$4:$O$23,Q15)</f>
        <v>0</v>
      </c>
      <c r="S15" s="60">
        <f t="shared" si="1"/>
        <v>0</v>
      </c>
      <c r="T15" s="63">
        <f>COUNTIFS($C$4:$D$23,Q15)</f>
        <v>0</v>
      </c>
      <c r="U15" s="63">
        <f>COUNTIFS($E$4:$F$23,Q15)</f>
        <v>0</v>
      </c>
      <c r="V15" s="63">
        <f>COUNTIFS($G$4:$H$23,Q15)</f>
        <v>0</v>
      </c>
      <c r="W15" s="63">
        <f>COUNTIFS($I$4:$I$23,Q15)</f>
        <v>0</v>
      </c>
      <c r="X15" s="63">
        <f>COUNTIFS($J$4:$K$23,Q15)</f>
        <v>0</v>
      </c>
      <c r="Y15" s="63">
        <f>COUNTIFS($L$4:$L$23,Q15)</f>
        <v>0</v>
      </c>
      <c r="Z15" s="63">
        <f>COUNTIFS($M$4:$N$23,Q15)</f>
        <v>0</v>
      </c>
      <c r="AA15" s="63">
        <f>COUNTIFS($O$4:$O$23,Q15)</f>
        <v>0</v>
      </c>
      <c r="AC15" s="68" t="s">
        <v>147</v>
      </c>
      <c r="AD15" s="68">
        <v>42</v>
      </c>
      <c r="AE15" s="68">
        <v>0</v>
      </c>
      <c r="AF15" s="68">
        <v>42</v>
      </c>
      <c r="AG15" s="68">
        <v>0</v>
      </c>
      <c r="AH15" s="68">
        <v>42</v>
      </c>
      <c r="AI15" s="68">
        <v>0</v>
      </c>
    </row>
    <row r="16" ht="20" customHeight="1" spans="1:35">
      <c r="A16" s="51" t="s">
        <v>148</v>
      </c>
      <c r="B16" s="51" t="e">
        <f>COUNTIFS([1]学生编排结果!$H:$H,A16)</f>
        <v>#VALUE!</v>
      </c>
      <c r="C16" s="52" t="str">
        <f>IF(监考安排!C16='监考安排（旧）'!C16,"1",监考安排!C16)</f>
        <v>蒋红</v>
      </c>
      <c r="D16" s="52" t="str">
        <f>IF(监考安排!D16='监考安排（旧）'!D16,"1",监考安排!D16)</f>
        <v>1</v>
      </c>
      <c r="E16" s="52" t="str">
        <f>IF(监考安排!E16='监考安排（旧）'!E16,"1",监考安排!E16)</f>
        <v>1</v>
      </c>
      <c r="F16" s="52" t="str">
        <f>IF(监考安排!F16='监考安排（旧）'!F16,"1",监考安排!F16)</f>
        <v>1</v>
      </c>
      <c r="G16" s="52" t="str">
        <f>IF(监考安排!G16='监考安排（旧）'!G16,"1",监考安排!G16)</f>
        <v>李昕雨</v>
      </c>
      <c r="H16" s="52" t="str">
        <f>IF(监考安排!H16='监考安排（旧）'!H16,"1",监考安排!H16)</f>
        <v>1</v>
      </c>
      <c r="I16" s="52" t="str">
        <f>IF(监考安排!I16='监考安排（旧）'!I16,"1",监考安排!I16)</f>
        <v>1</v>
      </c>
      <c r="J16" s="52" t="str">
        <f>IF(监考安排!J16='监考安排（旧）'!J16,"1",监考安排!J16)</f>
        <v>1</v>
      </c>
      <c r="K16" s="52" t="str">
        <f>IF(监考安排!K16='监考安排（旧）'!K16,"1",监考安排!K16)</f>
        <v>1</v>
      </c>
      <c r="L16" s="52" t="str">
        <f>IF(监考安排!L16='监考安排（旧）'!L16,"1",监考安排!L16)</f>
        <v>1</v>
      </c>
      <c r="M16" s="52" t="str">
        <f>IF(监考安排!M16='监考安排（旧）'!M16,"1",监考安排!M16)</f>
        <v>1</v>
      </c>
      <c r="N16" s="52" t="str">
        <f>IF(监考安排!N16='监考安排（旧）'!N16,"1",监考安排!N16)</f>
        <v>1</v>
      </c>
      <c r="O16" s="52" t="str">
        <f>IF(监考安排!O16='监考安排（旧）'!O16,"1",监考安排!O16)</f>
        <v>周罗洁</v>
      </c>
      <c r="Q16" s="66" t="s">
        <v>126</v>
      </c>
      <c r="R16" s="59">
        <f>COUNTIFS($C$4:$O$23,Q16)</f>
        <v>0</v>
      </c>
      <c r="S16" s="60">
        <f t="shared" si="1"/>
        <v>0</v>
      </c>
      <c r="T16" s="63">
        <f>COUNTIFS($C$4:$D$23,Q16)</f>
        <v>0</v>
      </c>
      <c r="U16" s="63">
        <f>COUNTIFS($E$4:$F$23,Q16)</f>
        <v>0</v>
      </c>
      <c r="V16" s="63">
        <f>COUNTIFS($G$4:$H$23,Q16)</f>
        <v>0</v>
      </c>
      <c r="W16" s="63">
        <f>COUNTIFS($I$4:$I$23,Q16)</f>
        <v>0</v>
      </c>
      <c r="X16" s="63">
        <f>COUNTIFS($J$4:$K$23,Q16)</f>
        <v>0</v>
      </c>
      <c r="Y16" s="63">
        <f>COUNTIFS($L$4:$L$23,Q16)</f>
        <v>0</v>
      </c>
      <c r="Z16" s="63">
        <f>COUNTIFS($M$4:$N$23,Q16)</f>
        <v>0</v>
      </c>
      <c r="AA16" s="63">
        <f>COUNTIFS($O$4:$O$23,Q16)</f>
        <v>0</v>
      </c>
      <c r="AC16" s="68" t="s">
        <v>148</v>
      </c>
      <c r="AD16" s="68">
        <v>42</v>
      </c>
      <c r="AE16" s="68">
        <v>0</v>
      </c>
      <c r="AF16" s="68">
        <v>42</v>
      </c>
      <c r="AG16" s="68">
        <v>0</v>
      </c>
      <c r="AH16" s="68">
        <v>42</v>
      </c>
      <c r="AI16" s="68">
        <v>0</v>
      </c>
    </row>
    <row r="17" ht="20" customHeight="1" spans="1:35">
      <c r="A17" s="51" t="s">
        <v>149</v>
      </c>
      <c r="B17" s="51" t="e">
        <f>COUNTIFS([1]学生编排结果!$H:$H,A17)</f>
        <v>#VALUE!</v>
      </c>
      <c r="C17" s="52" t="str">
        <f>IF(监考安排!C17='监考安排（旧）'!C17,"1",监考安排!C17)</f>
        <v>1</v>
      </c>
      <c r="D17" s="52" t="str">
        <f>IF(监考安排!D17='监考安排（旧）'!D17,"1",监考安排!D17)</f>
        <v>1</v>
      </c>
      <c r="E17" s="52" t="str">
        <f>IF(监考安排!E17='监考安排（旧）'!E17,"1",监考安排!E17)</f>
        <v>1</v>
      </c>
      <c r="F17" s="52" t="str">
        <f>IF(监考安排!F17='监考安排（旧）'!F17,"1",监考安排!F17)</f>
        <v>1</v>
      </c>
      <c r="G17" s="52" t="str">
        <f>IF(监考安排!G17='监考安排（旧）'!G17,"1",监考安排!G17)</f>
        <v>1</v>
      </c>
      <c r="H17" s="52" t="str">
        <f>IF(监考安排!H17='监考安排（旧）'!H17,"1",监考安排!H17)</f>
        <v>1</v>
      </c>
      <c r="I17" s="52" t="str">
        <f>IF(监考安排!I17='监考安排（旧）'!I17,"1",监考安排!I17)</f>
        <v>蒋虹</v>
      </c>
      <c r="J17" s="52" t="str">
        <f>IF(监考安排!J17='监考安排（旧）'!J17,"1",监考安排!J17)</f>
        <v>张芷欣</v>
      </c>
      <c r="K17" s="52" t="str">
        <f>IF(监考安排!K17='监考安排（旧）'!K17,"1",监考安排!K17)</f>
        <v>1</v>
      </c>
      <c r="L17" s="52" t="str">
        <f>IF(监考安排!L17='监考安排（旧）'!L17,"1",监考安排!L17)</f>
        <v>1</v>
      </c>
      <c r="M17" s="52" t="str">
        <f>IF(监考安排!M17='监考安排（旧）'!M17,"1",监考安排!M17)</f>
        <v>1</v>
      </c>
      <c r="N17" s="52" t="str">
        <f>IF(监考安排!N17='监考安排（旧）'!N17,"1",监考安排!N17)</f>
        <v>1</v>
      </c>
      <c r="O17" s="52" t="str">
        <f>IF(监考安排!O17='监考安排（旧）'!O17,"1",监考安排!O17)</f>
        <v>李镇国</v>
      </c>
      <c r="Q17" s="62" t="s">
        <v>120</v>
      </c>
      <c r="R17" s="59">
        <f>COUNTIFS($C$4:$O$23,Q17)</f>
        <v>2</v>
      </c>
      <c r="S17" s="60">
        <f t="shared" si="1"/>
        <v>180</v>
      </c>
      <c r="T17" s="63">
        <f>COUNTIFS($C$4:$D$23,Q17)</f>
        <v>0</v>
      </c>
      <c r="U17" s="63">
        <f>COUNTIFS($E$4:$F$23,Q17)</f>
        <v>0</v>
      </c>
      <c r="V17" s="63">
        <f>COUNTIFS($G$4:$H$23,Q17)</f>
        <v>0</v>
      </c>
      <c r="W17" s="63">
        <f>COUNTIFS($I$4:$I$23,Q17)</f>
        <v>0</v>
      </c>
      <c r="X17" s="63">
        <f>COUNTIFS($J$4:$K$23,Q17)</f>
        <v>0</v>
      </c>
      <c r="Y17" s="63">
        <f>COUNTIFS($L$4:$L$23,Q17)</f>
        <v>0</v>
      </c>
      <c r="Z17" s="63">
        <f>COUNTIFS($M$4:$N$23,Q17)</f>
        <v>1</v>
      </c>
      <c r="AA17" s="63">
        <f>COUNTIFS($O$4:$O$23,Q17)</f>
        <v>1</v>
      </c>
      <c r="AC17" s="68" t="s">
        <v>149</v>
      </c>
      <c r="AD17" s="68">
        <v>42</v>
      </c>
      <c r="AE17" s="68">
        <v>0</v>
      </c>
      <c r="AF17" s="68">
        <v>42</v>
      </c>
      <c r="AG17" s="68">
        <v>0</v>
      </c>
      <c r="AH17" s="68">
        <v>0</v>
      </c>
      <c r="AI17" s="68">
        <v>42</v>
      </c>
    </row>
    <row r="18" ht="20" customHeight="1" spans="1:35">
      <c r="A18" s="51" t="s">
        <v>151</v>
      </c>
      <c r="B18" s="51" t="e">
        <f>COUNTIFS([1]学生编排结果!$H:$H,A18)</f>
        <v>#VALUE!</v>
      </c>
      <c r="C18" s="52" t="str">
        <f>IF(监考安排!C18='监考安排（旧）'!C18,"1",监考安排!C18)</f>
        <v>1</v>
      </c>
      <c r="D18" s="52" t="str">
        <f>IF(监考安排!D18='监考安排（旧）'!D18,"1",监考安排!D18)</f>
        <v>1</v>
      </c>
      <c r="E18" s="52" t="str">
        <f>IF(监考安排!E18='监考安排（旧）'!E18,"1",监考安排!E18)</f>
        <v>孙静</v>
      </c>
      <c r="F18" s="52" t="str">
        <f>IF(监考安排!F18='监考安排（旧）'!F18,"1",监考安排!F18)</f>
        <v>1</v>
      </c>
      <c r="G18" s="52" t="str">
        <f>IF(监考安排!G18='监考安排（旧）'!G18,"1",监考安排!G18)</f>
        <v>1</v>
      </c>
      <c r="H18" s="52" t="str">
        <f>IF(监考安排!H18='监考安排（旧）'!H18,"1",监考安排!H18)</f>
        <v>1</v>
      </c>
      <c r="I18" s="52" t="str">
        <f>IF(监考安排!I18='监考安排（旧）'!I18,"1",监考安排!I18)</f>
        <v>张芷欣</v>
      </c>
      <c r="J18" s="52" t="str">
        <f>IF(监考安排!J18='监考安排（旧）'!J18,"1",监考安排!J18)</f>
        <v>1</v>
      </c>
      <c r="K18" s="52" t="str">
        <f>IF(监考安排!K18='监考安排（旧）'!K18,"1",监考安排!K18)</f>
        <v>1</v>
      </c>
      <c r="L18" s="52" t="str">
        <f>IF(监考安排!L18='监考安排（旧）'!L18,"1",监考安排!L18)</f>
        <v>1</v>
      </c>
      <c r="M18" s="52" t="str">
        <f>IF(监考安排!M18='监考安排（旧）'!M18,"1",监考安排!M18)</f>
        <v>1</v>
      </c>
      <c r="N18" s="52" t="str">
        <f>IF(监考安排!N18='监考安排（旧）'!N18,"1",监考安排!N18)</f>
        <v>1</v>
      </c>
      <c r="O18" s="52" t="str">
        <f>IF(监考安排!O18='监考安排（旧）'!O18,"1",监考安排!O18)</f>
        <v>陈坚</v>
      </c>
      <c r="Q18" s="64" t="s">
        <v>138</v>
      </c>
      <c r="R18" s="59">
        <f>COUNTIFS($C$4:$O$23,Q18)</f>
        <v>1</v>
      </c>
      <c r="S18" s="60">
        <f t="shared" si="1"/>
        <v>60</v>
      </c>
      <c r="T18" s="63">
        <f>COUNTIFS($C$4:$D$23,Q18)</f>
        <v>0</v>
      </c>
      <c r="U18" s="63">
        <f>COUNTIFS($E$4:$F$23,Q18)</f>
        <v>0</v>
      </c>
      <c r="V18" s="63">
        <f>COUNTIFS($G$4:$H$23,Q18)</f>
        <v>0</v>
      </c>
      <c r="W18" s="63">
        <f>COUNTIFS($I$4:$I$23,Q18)</f>
        <v>0</v>
      </c>
      <c r="X18" s="63">
        <f>COUNTIFS($J$4:$K$23,Q18)</f>
        <v>0</v>
      </c>
      <c r="Y18" s="63">
        <f>COUNTIFS($L$4:$L$23,Q18)</f>
        <v>0</v>
      </c>
      <c r="Z18" s="63">
        <f>COUNTIFS($M$4:$N$23,Q18)</f>
        <v>0</v>
      </c>
      <c r="AA18" s="63">
        <f>COUNTIFS($O$4:$O$23,Q18)</f>
        <v>1</v>
      </c>
      <c r="AC18" s="68" t="s">
        <v>151</v>
      </c>
      <c r="AD18" s="68">
        <v>0</v>
      </c>
      <c r="AE18" s="68">
        <v>42</v>
      </c>
      <c r="AF18" s="68">
        <v>0</v>
      </c>
      <c r="AG18" s="68">
        <v>0</v>
      </c>
      <c r="AH18" s="68">
        <v>42</v>
      </c>
      <c r="AI18" s="68">
        <v>42</v>
      </c>
    </row>
    <row r="19" ht="20" customHeight="1" spans="1:35">
      <c r="A19" s="51" t="s">
        <v>152</v>
      </c>
      <c r="B19" s="51" t="e">
        <f>COUNTIFS([1]学生编排结果!$H:$H,A19)</f>
        <v>#VALUE!</v>
      </c>
      <c r="C19" s="52" t="str">
        <f>IF(监考安排!C19='监考安排（旧）'!C19,"1",监考安排!C19)</f>
        <v>1</v>
      </c>
      <c r="D19" s="52" t="str">
        <f>IF(监考安排!D19='监考安排（旧）'!D19,"1",监考安排!D19)</f>
        <v>1</v>
      </c>
      <c r="E19" s="52" t="str">
        <f>IF(监考安排!E19='监考安排（旧）'!E19,"1",监考安排!E19)</f>
        <v>1</v>
      </c>
      <c r="F19" s="52" t="str">
        <f>IF(监考安排!F19='监考安排（旧）'!F19,"1",监考安排!F19)</f>
        <v>1</v>
      </c>
      <c r="G19" s="52" t="str">
        <f>IF(监考安排!G19='监考安排（旧）'!G19,"1",监考安排!G19)</f>
        <v>1</v>
      </c>
      <c r="H19" s="52" t="str">
        <f>IF(监考安排!H19='监考安排（旧）'!H19,"1",监考安排!H19)</f>
        <v>1</v>
      </c>
      <c r="I19" s="52" t="str">
        <f>IF(监考安排!I19='监考安排（旧）'!I19,"1",监考安排!I19)</f>
        <v>谢晨阳</v>
      </c>
      <c r="J19" s="52" t="str">
        <f>IF(监考安排!J19='监考安排（旧）'!J19,"1",监考安排!J19)</f>
        <v>1</v>
      </c>
      <c r="K19" s="52" t="str">
        <f>IF(监考安排!K19='监考安排（旧）'!K19,"1",监考安排!K19)</f>
        <v>1</v>
      </c>
      <c r="L19" s="52" t="str">
        <f>IF(监考安排!L19='监考安排（旧）'!L19,"1",监考安排!L19)</f>
        <v>1</v>
      </c>
      <c r="M19" s="52" t="str">
        <f>IF(监考安排!M19='监考安排（旧）'!M19,"1",监考安排!M19)</f>
        <v>1</v>
      </c>
      <c r="N19" s="52" t="str">
        <f>IF(监考安排!N19='监考安排（旧）'!N19,"1",监考安排!N19)</f>
        <v>1</v>
      </c>
      <c r="O19" s="52" t="str">
        <f>IF(监考安排!O19='监考安排（旧）'!O19,"1",监考安排!O19)</f>
        <v>1</v>
      </c>
      <c r="Q19" s="64" t="s">
        <v>78</v>
      </c>
      <c r="R19" s="59">
        <f>COUNTIFS($C$4:$O$23,Q19)</f>
        <v>3</v>
      </c>
      <c r="S19" s="60">
        <f t="shared" si="1"/>
        <v>345</v>
      </c>
      <c r="T19" s="63">
        <f>COUNTIFS($C$4:$D$23,Q19)</f>
        <v>1</v>
      </c>
      <c r="U19" s="63">
        <f>COUNTIFS($E$4:$F$23,Q19)</f>
        <v>1</v>
      </c>
      <c r="V19" s="63">
        <f>COUNTIFS($G$4:$H$23,Q19)</f>
        <v>1</v>
      </c>
      <c r="W19" s="63">
        <f>COUNTIFS($I$4:$I$23,Q19)</f>
        <v>0</v>
      </c>
      <c r="X19" s="63">
        <f>COUNTIFS($J$4:$K$23,Q19)</f>
        <v>0</v>
      </c>
      <c r="Y19" s="63">
        <f>COUNTIFS($L$4:$L$23,Q19)</f>
        <v>0</v>
      </c>
      <c r="Z19" s="63">
        <f>COUNTIFS($M$4:$N$23,Q19)</f>
        <v>0</v>
      </c>
      <c r="AA19" s="63">
        <f>COUNTIFS($O$4:$O$23,Q19)</f>
        <v>0</v>
      </c>
      <c r="AC19" s="68" t="s">
        <v>152</v>
      </c>
      <c r="AD19" s="68">
        <v>0</v>
      </c>
      <c r="AE19" s="68">
        <v>42</v>
      </c>
      <c r="AF19" s="68">
        <v>0</v>
      </c>
      <c r="AG19" s="68">
        <v>0</v>
      </c>
      <c r="AH19" s="68">
        <v>42</v>
      </c>
      <c r="AI19" s="68">
        <v>42</v>
      </c>
    </row>
    <row r="20" ht="20" customHeight="1" spans="1:35">
      <c r="A20" s="51" t="s">
        <v>153</v>
      </c>
      <c r="B20" s="51" t="e">
        <f>COUNTIFS([1]学生编排结果!$H:$H,A20)</f>
        <v>#VALUE!</v>
      </c>
      <c r="C20" s="52" t="str">
        <f>IF(监考安排!C20='监考安排（旧）'!C20,"1",监考安排!C20)</f>
        <v>1</v>
      </c>
      <c r="D20" s="52" t="str">
        <f>IF(监考安排!D20='监考安排（旧）'!D20,"1",监考安排!D20)</f>
        <v>1</v>
      </c>
      <c r="E20" s="52" t="str">
        <f>IF(监考安排!E20='监考安排（旧）'!E20,"1",监考安排!E20)</f>
        <v>1</v>
      </c>
      <c r="F20" s="52" t="str">
        <f>IF(监考安排!F20='监考安排（旧）'!F20,"1",监考安排!F20)</f>
        <v>1</v>
      </c>
      <c r="G20" s="52" t="str">
        <f>IF(监考安排!G20='监考安排（旧）'!G20,"1",监考安排!G20)</f>
        <v>1</v>
      </c>
      <c r="H20" s="52" t="str">
        <f>IF(监考安排!H20='监考安排（旧）'!H20,"1",监考安排!H20)</f>
        <v>1</v>
      </c>
      <c r="I20" s="52" t="str">
        <f>IF(监考安排!I20='监考安排（旧）'!I20,"1",监考安排!I20)</f>
        <v>王帅</v>
      </c>
      <c r="J20" s="52" t="str">
        <f>IF(监考安排!J20='监考安排（旧）'!J20,"1",监考安排!J20)</f>
        <v>黄朝阳</v>
      </c>
      <c r="K20" s="52" t="str">
        <f>IF(监考安排!K20='监考安排（旧）'!K20,"1",监考安排!K20)</f>
        <v>1</v>
      </c>
      <c r="L20" s="52" t="str">
        <f>IF(监考安排!L20='监考安排（旧）'!L20,"1",监考安排!L20)</f>
        <v>1</v>
      </c>
      <c r="M20" s="52" t="str">
        <f>IF(监考安排!M20='监考安排（旧）'!M20,"1",监考安排!M20)</f>
        <v>1</v>
      </c>
      <c r="N20" s="52" t="str">
        <f>IF(监考安排!N20='监考安排（旧）'!N20,"1",监考安排!N20)</f>
        <v>1</v>
      </c>
      <c r="O20" s="52" t="str">
        <f>IF(监考安排!O20='监考安排（旧）'!O20,"1",监考安排!O20)</f>
        <v>1</v>
      </c>
      <c r="Q20" s="62" t="s">
        <v>124</v>
      </c>
      <c r="R20" s="59">
        <f>COUNTIFS($C$4:$O$23,Q20)</f>
        <v>2</v>
      </c>
      <c r="S20" s="60">
        <f t="shared" si="1"/>
        <v>210</v>
      </c>
      <c r="T20" s="63">
        <f>COUNTIFS($C$4:$D$23,Q20)</f>
        <v>1</v>
      </c>
      <c r="U20" s="63">
        <f>COUNTIFS($E$4:$F$23,Q20)</f>
        <v>0</v>
      </c>
      <c r="V20" s="63">
        <f>COUNTIFS($G$4:$H$23,Q20)</f>
        <v>0</v>
      </c>
      <c r="W20" s="63">
        <f>COUNTIFS($I$4:$I$23,Q20)</f>
        <v>0</v>
      </c>
      <c r="X20" s="63">
        <f>COUNTIFS($J$4:$K$23,Q20)</f>
        <v>0</v>
      </c>
      <c r="Y20" s="63">
        <f>COUNTIFS($L$4:$L$23,Q20)</f>
        <v>0</v>
      </c>
      <c r="Z20" s="63">
        <f>COUNTIFS($M$4:$N$23,Q20)</f>
        <v>0</v>
      </c>
      <c r="AA20" s="63">
        <f>COUNTIFS($O$4:$O$23,Q20)</f>
        <v>1</v>
      </c>
      <c r="AC20" s="68" t="s">
        <v>153</v>
      </c>
      <c r="AD20" s="68">
        <v>0</v>
      </c>
      <c r="AE20" s="68">
        <v>42</v>
      </c>
      <c r="AF20" s="68">
        <v>0</v>
      </c>
      <c r="AG20" s="68">
        <v>0</v>
      </c>
      <c r="AH20" s="68">
        <v>42</v>
      </c>
      <c r="AI20" s="68">
        <v>42</v>
      </c>
    </row>
    <row r="21" ht="20" customHeight="1" spans="1:35">
      <c r="A21" s="51" t="s">
        <v>154</v>
      </c>
      <c r="B21" s="51" t="e">
        <f>COUNTIFS([1]学生编排结果!$H:$H,A21)</f>
        <v>#VALUE!</v>
      </c>
      <c r="C21" s="52" t="str">
        <f>IF(监考安排!C21='监考安排（旧）'!C21,"1",监考安排!C21)</f>
        <v>彭海影</v>
      </c>
      <c r="D21" s="52" t="str">
        <f>IF(监考安排!D21='监考安排（旧）'!D21,"1",监考安排!D21)</f>
        <v>1</v>
      </c>
      <c r="E21" s="52" t="str">
        <f>IF(监考安排!E21='监考安排（旧）'!E21,"1",监考安排!E21)</f>
        <v>1</v>
      </c>
      <c r="F21" s="52" t="str">
        <f>IF(监考安排!F21='监考安排（旧）'!F21,"1",监考安排!F21)</f>
        <v>1</v>
      </c>
      <c r="G21" s="52" t="str">
        <f>IF(监考安排!G21='监考安排（旧）'!G21,"1",监考安排!G21)</f>
        <v>1</v>
      </c>
      <c r="H21" s="52" t="str">
        <f>IF(监考安排!H21='监考安排（旧）'!H21,"1",监考安排!H21)</f>
        <v>1</v>
      </c>
      <c r="I21" s="52" t="str">
        <f>IF(监考安排!I21='监考安排（旧）'!I21,"1",监考安排!I21)</f>
        <v>1</v>
      </c>
      <c r="J21" s="52" t="str">
        <f>IF(监考安排!J21='监考安排（旧）'!J21,"1",监考安排!J21)</f>
        <v>1</v>
      </c>
      <c r="K21" s="52" t="str">
        <f>IF(监考安排!K21='监考安排（旧）'!K21,"1",监考安排!K21)</f>
        <v>1</v>
      </c>
      <c r="L21" s="52" t="str">
        <f>IF(监考安排!L21='监考安排（旧）'!L21,"1",监考安排!L21)</f>
        <v>1</v>
      </c>
      <c r="M21" s="52" t="str">
        <f>IF(监考安排!M21='监考安排（旧）'!M21,"1",监考安排!M21)</f>
        <v>1</v>
      </c>
      <c r="N21" s="52" t="str">
        <f>IF(监考安排!N21='监考安排（旧）'!N21,"1",监考安排!N21)</f>
        <v>1</v>
      </c>
      <c r="O21" s="52" t="str">
        <f>IF(监考安排!O21='监考安排（旧）'!O21,"1",监考安排!O21)</f>
        <v>1</v>
      </c>
      <c r="Q21" s="62" t="s">
        <v>97</v>
      </c>
      <c r="R21" s="59">
        <f>COUNTIFS($C$4:$O$23,Q21)</f>
        <v>2</v>
      </c>
      <c r="S21" s="60">
        <f t="shared" si="1"/>
        <v>180</v>
      </c>
      <c r="T21" s="63">
        <f>COUNTIFS($C$4:$D$23,Q21)</f>
        <v>0</v>
      </c>
      <c r="U21" s="63">
        <f>COUNTIFS($E$4:$F$23,Q21)</f>
        <v>0</v>
      </c>
      <c r="V21" s="63">
        <f>COUNTIFS($G$4:$H$23,Q21)</f>
        <v>1</v>
      </c>
      <c r="W21" s="63">
        <f>COUNTIFS($I$4:$I$23,Q21)</f>
        <v>0</v>
      </c>
      <c r="X21" s="63">
        <f>COUNTIFS($J$4:$K$23,Q21)</f>
        <v>0</v>
      </c>
      <c r="Y21" s="63">
        <f>COUNTIFS($L$4:$L$23,Q21)</f>
        <v>1</v>
      </c>
      <c r="Z21" s="63">
        <f>COUNTIFS($M$4:$N$23,Q21)</f>
        <v>0</v>
      </c>
      <c r="AA21" s="63">
        <f>COUNTIFS($O$4:$O$23,Q21)</f>
        <v>0</v>
      </c>
      <c r="AC21" s="68" t="s">
        <v>154</v>
      </c>
      <c r="AD21" s="68">
        <v>0</v>
      </c>
      <c r="AE21" s="68">
        <v>42</v>
      </c>
      <c r="AF21" s="68">
        <v>0</v>
      </c>
      <c r="AG21" s="68">
        <v>0</v>
      </c>
      <c r="AH21" s="68">
        <v>42</v>
      </c>
      <c r="AI21" s="68">
        <v>42</v>
      </c>
    </row>
    <row r="22" ht="20" customHeight="1" spans="1:35">
      <c r="A22" s="51" t="s">
        <v>155</v>
      </c>
      <c r="B22" s="51" t="e">
        <f>COUNTIFS([1]学生编排结果!$H:$H,A22)</f>
        <v>#VALUE!</v>
      </c>
      <c r="C22" s="52" t="str">
        <f>IF(监考安排!C22='监考安排（旧）'!C22,"1",监考安排!C22)</f>
        <v>明珊珊</v>
      </c>
      <c r="D22" s="52" t="str">
        <f>IF(监考安排!D22='监考安排（旧）'!D22,"1",监考安排!D22)</f>
        <v>1</v>
      </c>
      <c r="E22" s="52" t="str">
        <f>IF(监考安排!E22='监考安排（旧）'!E22,"1",监考安排!E22)</f>
        <v>黄朝阳</v>
      </c>
      <c r="F22" s="52" t="str">
        <f>IF(监考安排!F22='监考安排（旧）'!F22,"1",监考安排!F22)</f>
        <v>1</v>
      </c>
      <c r="G22" s="52" t="str">
        <f>IF(监考安排!G22='监考安排（旧）'!G22,"1",监考安排!G22)</f>
        <v>1</v>
      </c>
      <c r="H22" s="52" t="str">
        <f>IF(监考安排!H22='监考安排（旧）'!H22,"1",监考安排!H22)</f>
        <v>1</v>
      </c>
      <c r="I22" s="52" t="str">
        <f>IF(监考安排!I22='监考安排（旧）'!I22,"1",监考安排!I22)</f>
        <v>1</v>
      </c>
      <c r="J22" s="52" t="str">
        <f>IF(监考安排!J22='监考安排（旧）'!J22,"1",监考安排!J22)</f>
        <v>1</v>
      </c>
      <c r="K22" s="52" t="str">
        <f>IF(监考安排!K22='监考安排（旧）'!K22,"1",监考安排!K22)</f>
        <v>1</v>
      </c>
      <c r="L22" s="52" t="str">
        <f>IF(监考安排!L22='监考安排（旧）'!L22,"1",监考安排!L22)</f>
        <v>1</v>
      </c>
      <c r="M22" s="52" t="str">
        <f>IF(监考安排!M22='监考安排（旧）'!M22,"1",监考安排!M22)</f>
        <v>1</v>
      </c>
      <c r="N22" s="52" t="str">
        <f>IF(监考安排!N22='监考安排（旧）'!N22,"1",监考安排!N22)</f>
        <v>1</v>
      </c>
      <c r="O22" s="52" t="str">
        <f>IF(监考安排!O22='监考安排（旧）'!O22,"1",监考安排!O22)</f>
        <v>1</v>
      </c>
      <c r="Q22" s="62" t="s">
        <v>105</v>
      </c>
      <c r="R22" s="59">
        <f>COUNTIFS($C$4:$O$23,Q22)</f>
        <v>0</v>
      </c>
      <c r="S22" s="60">
        <f t="shared" si="1"/>
        <v>0</v>
      </c>
      <c r="T22" s="63">
        <f>COUNTIFS($C$4:$D$23,Q22)</f>
        <v>0</v>
      </c>
      <c r="U22" s="63">
        <f>COUNTIFS($E$4:$F$23,Q22)</f>
        <v>0</v>
      </c>
      <c r="V22" s="63">
        <f>COUNTIFS($G$4:$H$23,Q22)</f>
        <v>0</v>
      </c>
      <c r="W22" s="63">
        <f>COUNTIFS($I$4:$I$23,Q22)</f>
        <v>0</v>
      </c>
      <c r="X22" s="63">
        <f>COUNTIFS($J$4:$K$23,Q22)</f>
        <v>0</v>
      </c>
      <c r="Y22" s="63">
        <f>COUNTIFS($L$4:$L$23,Q22)</f>
        <v>0</v>
      </c>
      <c r="Z22" s="63">
        <f>COUNTIFS($M$4:$N$23,Q22)</f>
        <v>0</v>
      </c>
      <c r="AA22" s="63">
        <f>COUNTIFS($O$4:$O$23,Q22)</f>
        <v>0</v>
      </c>
      <c r="AC22" s="68" t="s">
        <v>155</v>
      </c>
      <c r="AD22" s="68" t="s">
        <v>184</v>
      </c>
      <c r="AE22" s="68">
        <v>0</v>
      </c>
      <c r="AF22" s="68" t="s">
        <v>185</v>
      </c>
      <c r="AG22" s="68" t="s">
        <v>158</v>
      </c>
      <c r="AH22" s="68" t="s">
        <v>159</v>
      </c>
      <c r="AI22" s="68" t="s">
        <v>186</v>
      </c>
    </row>
    <row r="23" ht="20" customHeight="1" spans="1:35">
      <c r="A23" s="51" t="s">
        <v>161</v>
      </c>
      <c r="B23" s="51" t="e">
        <f>COUNTIFS([1]学生编排结果!$H:$H,A23)</f>
        <v>#VALUE!</v>
      </c>
      <c r="C23" s="52" t="str">
        <f>IF(监考安排!C23='监考安排（旧）'!C23,"1",监考安排!C23)</f>
        <v>1</v>
      </c>
      <c r="D23" s="52" t="str">
        <f>IF(监考安排!D23='监考安排（旧）'!D23,"1",监考安排!D23)</f>
        <v>1</v>
      </c>
      <c r="E23" s="52" t="str">
        <f>IF(监考安排!E23='监考安排（旧）'!E23,"1",监考安排!E23)</f>
        <v>1</v>
      </c>
      <c r="F23" s="52" t="str">
        <f>IF(监考安排!F23='监考安排（旧）'!F23,"1",监考安排!F23)</f>
        <v>1</v>
      </c>
      <c r="G23" s="52" t="str">
        <f>IF(监考安排!G23='监考安排（旧）'!G23,"1",监考安排!G23)</f>
        <v>1</v>
      </c>
      <c r="H23" s="52" t="str">
        <f>IF(监考安排!H23='监考安排（旧）'!H23,"1",监考安排!H23)</f>
        <v>1</v>
      </c>
      <c r="I23" s="52" t="str">
        <f>IF(监考安排!I23='监考安排（旧）'!I23,"1",监考安排!I23)</f>
        <v>1</v>
      </c>
      <c r="J23" s="52" t="str">
        <f>IF(监考安排!J23='监考安排（旧）'!J23,"1",监考安排!J23)</f>
        <v>1</v>
      </c>
      <c r="K23" s="52" t="str">
        <f>IF(监考安排!K23='监考安排（旧）'!K23,"1",监考安排!K23)</f>
        <v>1</v>
      </c>
      <c r="L23" s="52" t="str">
        <f>IF(监考安排!L23='监考安排（旧）'!L23,"1",监考安排!L23)</f>
        <v>1</v>
      </c>
      <c r="M23" s="52" t="str">
        <f>IF(监考安排!M23='监考安排（旧）'!M23,"1",监考安排!M23)</f>
        <v>1</v>
      </c>
      <c r="N23" s="52" t="str">
        <f>IF(监考安排!N23='监考安排（旧）'!N23,"1",监考安排!N23)</f>
        <v>1</v>
      </c>
      <c r="O23" s="52" t="str">
        <f>IF(监考安排!O23='监考安排（旧）'!O23,"1",监考安排!O23)</f>
        <v>1</v>
      </c>
      <c r="Q23" s="62" t="s">
        <v>111</v>
      </c>
      <c r="R23" s="59">
        <f>COUNTIFS($C$4:$O$23,Q23)</f>
        <v>2</v>
      </c>
      <c r="S23" s="60">
        <f t="shared" si="1"/>
        <v>180</v>
      </c>
      <c r="T23" s="63">
        <f>COUNTIFS($C$4:$D$23,Q23)</f>
        <v>0</v>
      </c>
      <c r="U23" s="63">
        <f>COUNTIFS($E$4:$F$23,Q23)</f>
        <v>0</v>
      </c>
      <c r="V23" s="63">
        <f>COUNTIFS($G$4:$H$23,Q23)</f>
        <v>1</v>
      </c>
      <c r="W23" s="63">
        <f>COUNTIFS($I$4:$I$23,Q23)</f>
        <v>0</v>
      </c>
      <c r="X23" s="63">
        <f>COUNTIFS($J$4:$K$23,Q23)</f>
        <v>0</v>
      </c>
      <c r="Y23" s="63">
        <f>COUNTIFS($L$4:$L$23,Q23)</f>
        <v>0</v>
      </c>
      <c r="Z23" s="63">
        <f>COUNTIFS($M$4:$N$23,Q23)</f>
        <v>0</v>
      </c>
      <c r="AA23" s="63">
        <f>COUNTIFS($O$4:$O$23,Q23)</f>
        <v>1</v>
      </c>
      <c r="AC23" s="68" t="s">
        <v>161</v>
      </c>
      <c r="AD23" s="68">
        <v>0</v>
      </c>
      <c r="AE23" s="68" t="s">
        <v>162</v>
      </c>
      <c r="AF23" s="68" t="s">
        <v>163</v>
      </c>
      <c r="AG23" s="68" t="s">
        <v>164</v>
      </c>
      <c r="AH23" s="68" t="s">
        <v>165</v>
      </c>
      <c r="AI23" s="68" t="s">
        <v>166</v>
      </c>
    </row>
    <row r="24" ht="20" customHeight="1" spans="1:35">
      <c r="A24" s="53" t="s">
        <v>167</v>
      </c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Q24" s="62" t="s">
        <v>83</v>
      </c>
      <c r="R24" s="59">
        <f>COUNTIFS($C$4:$O$23,Q24)</f>
        <v>0</v>
      </c>
      <c r="S24" s="60">
        <f t="shared" si="1"/>
        <v>0</v>
      </c>
      <c r="T24" s="63">
        <f>COUNTIFS($C$4:$D$23,Q24)</f>
        <v>0</v>
      </c>
      <c r="U24" s="63">
        <f>COUNTIFS($E$4:$F$23,Q24)</f>
        <v>0</v>
      </c>
      <c r="V24" s="63">
        <f>COUNTIFS($G$4:$H$23,Q24)</f>
        <v>0</v>
      </c>
      <c r="W24" s="63">
        <f>COUNTIFS($I$4:$I$23,Q24)</f>
        <v>0</v>
      </c>
      <c r="X24" s="63">
        <f>COUNTIFS($J$4:$K$23,Q24)</f>
        <v>0</v>
      </c>
      <c r="Y24" s="63">
        <f>COUNTIFS($L$4:$L$23,Q24)</f>
        <v>0</v>
      </c>
      <c r="Z24" s="63">
        <f>COUNTIFS($M$4:$N$23,Q24)</f>
        <v>0</v>
      </c>
      <c r="AA24" s="63">
        <f>COUNTIFS($O$4:$O$23,Q24)</f>
        <v>0</v>
      </c>
      <c r="AC24" s="68" t="s">
        <v>168</v>
      </c>
      <c r="AD24" s="68">
        <v>624</v>
      </c>
      <c r="AE24" s="68">
        <v>193</v>
      </c>
      <c r="AF24" s="68">
        <v>622</v>
      </c>
      <c r="AG24" s="68">
        <v>479</v>
      </c>
      <c r="AH24" s="68">
        <v>289</v>
      </c>
      <c r="AI24" s="68">
        <v>244</v>
      </c>
    </row>
    <row r="25" ht="20" customHeight="1" spans="17:27">
      <c r="Q25" s="62" t="s">
        <v>12</v>
      </c>
      <c r="R25" s="59">
        <f>COUNTIFS($C$4:$O$23,Q25)</f>
        <v>0</v>
      </c>
      <c r="S25" s="60">
        <f t="shared" si="1"/>
        <v>0</v>
      </c>
      <c r="T25" s="63">
        <f>COUNTIFS($C$4:$D$23,Q25)</f>
        <v>0</v>
      </c>
      <c r="U25" s="63">
        <f>COUNTIFS($E$4:$F$23,Q25)</f>
        <v>0</v>
      </c>
      <c r="V25" s="63">
        <f>COUNTIFS($G$4:$H$23,Q25)</f>
        <v>0</v>
      </c>
      <c r="W25" s="63">
        <f>COUNTIFS($I$4:$I$23,Q25)</f>
        <v>0</v>
      </c>
      <c r="X25" s="63">
        <f>COUNTIFS($J$4:$K$23,Q25)</f>
        <v>0</v>
      </c>
      <c r="Y25" s="63">
        <f>COUNTIFS($L$4:$L$23,Q25)</f>
        <v>0</v>
      </c>
      <c r="Z25" s="63">
        <f>COUNTIFS($M$4:$N$23,Q25)</f>
        <v>0</v>
      </c>
      <c r="AA25" s="63">
        <f>COUNTIFS($O$4:$O$23,Q25)</f>
        <v>0</v>
      </c>
    </row>
    <row r="26" ht="20" customHeight="1" spans="17:27">
      <c r="Q26" s="62" t="s">
        <v>90</v>
      </c>
      <c r="R26" s="59">
        <f>COUNTIFS($C$4:$O$23,Q26)</f>
        <v>1</v>
      </c>
      <c r="S26" s="60">
        <f t="shared" si="1"/>
        <v>60</v>
      </c>
      <c r="T26" s="63">
        <f>COUNTIFS($C$4:$D$23,Q26)</f>
        <v>0</v>
      </c>
      <c r="U26" s="63">
        <f>COUNTIFS($E$4:$F$23,Q26)</f>
        <v>0</v>
      </c>
      <c r="V26" s="63">
        <f>COUNTIFS($G$4:$H$23,Q26)</f>
        <v>0</v>
      </c>
      <c r="W26" s="63">
        <f>COUNTIFS($I$4:$I$23,Q26)</f>
        <v>1</v>
      </c>
      <c r="X26" s="63">
        <f>COUNTIFS($J$4:$K$23,Q26)</f>
        <v>0</v>
      </c>
      <c r="Y26" s="63">
        <f>COUNTIFS($L$4:$L$23,Q26)</f>
        <v>0</v>
      </c>
      <c r="Z26" s="63">
        <f>COUNTIFS($M$4:$N$23,Q26)</f>
        <v>0</v>
      </c>
      <c r="AA26" s="63">
        <f>COUNTIFS($O$4:$O$23,Q26)</f>
        <v>0</v>
      </c>
    </row>
    <row r="27" ht="20" customHeight="1" spans="17:27">
      <c r="Q27" s="62" t="s">
        <v>107</v>
      </c>
      <c r="R27" s="59">
        <f>COUNTIFS($C$4:$O$23,Q27)</f>
        <v>0</v>
      </c>
      <c r="S27" s="60">
        <f t="shared" si="1"/>
        <v>0</v>
      </c>
      <c r="T27" s="63">
        <f>COUNTIFS($C$4:$D$23,Q27)</f>
        <v>0</v>
      </c>
      <c r="U27" s="63">
        <f>COUNTIFS($E$4:$F$23,Q27)</f>
        <v>0</v>
      </c>
      <c r="V27" s="63">
        <f>COUNTIFS($G$4:$H$23,Q27)</f>
        <v>0</v>
      </c>
      <c r="W27" s="63">
        <f>COUNTIFS($I$4:$I$23,Q27)</f>
        <v>0</v>
      </c>
      <c r="X27" s="63">
        <f>COUNTIFS($J$4:$K$23,Q27)</f>
        <v>0</v>
      </c>
      <c r="Y27" s="63">
        <f>COUNTIFS($L$4:$L$23,Q27)</f>
        <v>0</v>
      </c>
      <c r="Z27" s="63">
        <f>COUNTIFS($M$4:$N$23,Q27)</f>
        <v>0</v>
      </c>
      <c r="AA27" s="63">
        <f>COUNTIFS($O$4:$O$23,Q27)</f>
        <v>0</v>
      </c>
    </row>
    <row r="28" ht="20" customHeight="1" spans="17:35">
      <c r="Q28" s="62" t="s">
        <v>80</v>
      </c>
      <c r="R28" s="59">
        <f>COUNTIFS($C$4:$O$23,Q28)</f>
        <v>1</v>
      </c>
      <c r="S28" s="60">
        <f t="shared" si="1"/>
        <v>60</v>
      </c>
      <c r="T28" s="63">
        <f>COUNTIFS($C$4:$D$23,Q28)</f>
        <v>0</v>
      </c>
      <c r="U28" s="63">
        <f>COUNTIFS($E$4:$F$23,Q28)</f>
        <v>0</v>
      </c>
      <c r="V28" s="63">
        <f>COUNTIFS($G$4:$H$23,Q28)</f>
        <v>0</v>
      </c>
      <c r="W28" s="63">
        <f>COUNTIFS($I$4:$I$23,Q28)</f>
        <v>1</v>
      </c>
      <c r="X28" s="63">
        <f>COUNTIFS($J$4:$K$23,Q28)</f>
        <v>0</v>
      </c>
      <c r="Y28" s="63">
        <f>COUNTIFS($L$4:$L$23,Q28)</f>
        <v>0</v>
      </c>
      <c r="Z28" s="63">
        <f>COUNTIFS($M$4:$N$23,Q28)</f>
        <v>0</v>
      </c>
      <c r="AA28" s="63">
        <f>COUNTIFS($O$4:$O$23,Q28)</f>
        <v>0</v>
      </c>
      <c r="AD28" s="1" t="s">
        <v>169</v>
      </c>
      <c r="AE28" s="1"/>
      <c r="AF28" s="1"/>
      <c r="AG28" s="1"/>
      <c r="AH28" s="1"/>
      <c r="AI28" s="1"/>
    </row>
    <row r="29" ht="20" customHeight="1" spans="17:35">
      <c r="Q29" s="62" t="s">
        <v>143</v>
      </c>
      <c r="R29" s="59">
        <f>COUNTIFS($C$4:$O$23,Q29)</f>
        <v>1</v>
      </c>
      <c r="S29" s="60">
        <f t="shared" si="1"/>
        <v>60</v>
      </c>
      <c r="T29" s="63">
        <f>COUNTIFS($C$4:$D$23,Q29)</f>
        <v>0</v>
      </c>
      <c r="U29" s="63">
        <f>COUNTIFS($E$4:$F$23,Q29)</f>
        <v>0</v>
      </c>
      <c r="V29" s="63">
        <f>COUNTIFS($G$4:$H$23,Q29)</f>
        <v>0</v>
      </c>
      <c r="W29" s="63">
        <f>COUNTIFS($I$4:$I$23,Q29)</f>
        <v>1</v>
      </c>
      <c r="X29" s="63">
        <f>COUNTIFS($J$4:$K$23,Q29)</f>
        <v>0</v>
      </c>
      <c r="Y29" s="63">
        <f>COUNTIFS($L$4:$L$23,Q29)</f>
        <v>0</v>
      </c>
      <c r="Z29" s="63">
        <f>COUNTIFS($M$4:$N$23,Q29)</f>
        <v>0</v>
      </c>
      <c r="AA29" s="63">
        <f>COUNTIFS($O$4:$O$23,Q29)</f>
        <v>0</v>
      </c>
      <c r="AD29" s="1"/>
      <c r="AE29" s="1"/>
      <c r="AF29" s="1"/>
      <c r="AG29" s="1"/>
      <c r="AH29" s="1"/>
      <c r="AI29" s="1"/>
    </row>
    <row r="30" ht="20" customHeight="1" spans="17:35">
      <c r="Q30" s="62" t="s">
        <v>91</v>
      </c>
      <c r="R30" s="59">
        <f>COUNTIFS($C$4:$O$23,Q30)</f>
        <v>0</v>
      </c>
      <c r="S30" s="60">
        <f t="shared" si="1"/>
        <v>0</v>
      </c>
      <c r="T30" s="63">
        <f>COUNTIFS($C$4:$D$23,Q30)</f>
        <v>0</v>
      </c>
      <c r="U30" s="63">
        <f>COUNTIFS($E$4:$F$23,Q30)</f>
        <v>0</v>
      </c>
      <c r="V30" s="63">
        <f>COUNTIFS($G$4:$H$23,Q30)</f>
        <v>0</v>
      </c>
      <c r="W30" s="63">
        <f>COUNTIFS($I$4:$I$23,Q30)</f>
        <v>0</v>
      </c>
      <c r="X30" s="63">
        <f>COUNTIFS($J$4:$K$23,Q30)</f>
        <v>0</v>
      </c>
      <c r="Y30" s="63">
        <f>COUNTIFS($L$4:$L$23,Q30)</f>
        <v>0</v>
      </c>
      <c r="Z30" s="63">
        <f>COUNTIFS($M$4:$N$23,Q30)</f>
        <v>0</v>
      </c>
      <c r="AA30" s="63">
        <f>COUNTIFS($O$4:$O$23,Q30)</f>
        <v>0</v>
      </c>
      <c r="AD30" s="2"/>
      <c r="AE30" s="2"/>
      <c r="AF30" s="2" t="s">
        <v>170</v>
      </c>
      <c r="AG30" s="2"/>
      <c r="AH30" s="2" t="s">
        <v>171</v>
      </c>
      <c r="AI30" s="2"/>
    </row>
    <row r="31" ht="20" customHeight="1" spans="17:35">
      <c r="Q31" s="62" t="s">
        <v>87</v>
      </c>
      <c r="R31" s="59">
        <f>COUNTIFS($C$4:$O$23,Q31)</f>
        <v>1</v>
      </c>
      <c r="S31" s="60">
        <f t="shared" si="1"/>
        <v>150</v>
      </c>
      <c r="T31" s="63">
        <f>COUNTIFS($C$4:$D$23,Q31)</f>
        <v>1</v>
      </c>
      <c r="U31" s="63">
        <f>COUNTIFS($E$4:$F$23,Q31)</f>
        <v>0</v>
      </c>
      <c r="V31" s="63">
        <f>COUNTIFS($G$4:$H$23,Q31)</f>
        <v>0</v>
      </c>
      <c r="W31" s="63">
        <f>COUNTIFS($I$4:$I$23,Q31)</f>
        <v>0</v>
      </c>
      <c r="X31" s="63">
        <f>COUNTIFS($J$4:$K$23,Q31)</f>
        <v>0</v>
      </c>
      <c r="Y31" s="63">
        <f>COUNTIFS($L$4:$L$23,Q31)</f>
        <v>0</v>
      </c>
      <c r="Z31" s="63">
        <f>COUNTIFS($M$4:$N$23,Q31)</f>
        <v>0</v>
      </c>
      <c r="AA31" s="63">
        <f>COUNTIFS($O$4:$O$23,Q31)</f>
        <v>0</v>
      </c>
      <c r="AD31" s="2" t="s">
        <v>172</v>
      </c>
      <c r="AE31" s="2"/>
      <c r="AF31" s="2" t="s">
        <v>67</v>
      </c>
      <c r="AG31" s="2"/>
      <c r="AH31" s="2" t="s">
        <v>68</v>
      </c>
      <c r="AI31" s="2"/>
    </row>
    <row r="32" ht="20" customHeight="1" spans="17:35">
      <c r="Q32" s="62" t="s">
        <v>101</v>
      </c>
      <c r="R32" s="59">
        <f>COUNTIFS($C$4:$O$23,Q32)</f>
        <v>1</v>
      </c>
      <c r="S32" s="60">
        <f t="shared" si="1"/>
        <v>60</v>
      </c>
      <c r="T32" s="63">
        <f>COUNTIFS($C$4:$D$23,Q32)</f>
        <v>0</v>
      </c>
      <c r="U32" s="63">
        <f>COUNTIFS($E$4:$F$23,Q32)</f>
        <v>0</v>
      </c>
      <c r="V32" s="63">
        <f>COUNTIFS($G$4:$H$23,Q32)</f>
        <v>0</v>
      </c>
      <c r="W32" s="63">
        <f>COUNTIFS($I$4:$I$23,Q32)</f>
        <v>1</v>
      </c>
      <c r="X32" s="63">
        <f>COUNTIFS($J$4:$K$23,Q32)</f>
        <v>0</v>
      </c>
      <c r="Y32" s="63">
        <f>COUNTIFS($L$4:$L$23,Q32)</f>
        <v>0</v>
      </c>
      <c r="Z32" s="63">
        <f>COUNTIFS($M$4:$N$23,Q32)</f>
        <v>0</v>
      </c>
      <c r="AA32" s="63">
        <f>COUNTIFS($O$4:$O$23,Q32)</f>
        <v>0</v>
      </c>
      <c r="AD32" s="2" t="s">
        <v>173</v>
      </c>
      <c r="AE32" s="2"/>
      <c r="AF32" s="2" t="s">
        <v>67</v>
      </c>
      <c r="AG32" s="2"/>
      <c r="AH32" s="2" t="s">
        <v>69</v>
      </c>
      <c r="AI32" s="2"/>
    </row>
    <row r="33" ht="20" customHeight="1" spans="5:35">
      <c r="E33" s="37"/>
      <c r="F33" s="37"/>
      <c r="G33" s="38"/>
      <c r="H33" s="38"/>
      <c r="I33" s="37"/>
      <c r="Q33" s="62" t="s">
        <v>119</v>
      </c>
      <c r="R33" s="59">
        <f>COUNTIFS($C$4:$O$23,Q33)</f>
        <v>2</v>
      </c>
      <c r="S33" s="60">
        <f t="shared" si="1"/>
        <v>285</v>
      </c>
      <c r="T33" s="63">
        <f>COUNTIFS($C$4:$D$23,Q33)</f>
        <v>0</v>
      </c>
      <c r="U33" s="63">
        <f>COUNTIFS($E$4:$F$23,Q33)</f>
        <v>0</v>
      </c>
      <c r="V33" s="63">
        <f>COUNTIFS($G$4:$H$23,Q33)</f>
        <v>0</v>
      </c>
      <c r="W33" s="63">
        <f>COUNTIFS($I$4:$I$23,Q33)</f>
        <v>0</v>
      </c>
      <c r="X33" s="63">
        <f>COUNTIFS($J$4:$K$23,Q33)</f>
        <v>1</v>
      </c>
      <c r="Y33" s="63">
        <f>COUNTIFS($L$4:$L$23,Q33)</f>
        <v>0</v>
      </c>
      <c r="Z33" s="63">
        <f>COUNTIFS($M$4:$N$23,Q33)</f>
        <v>1</v>
      </c>
      <c r="AA33" s="63">
        <f>COUNTIFS($O$4:$O$23,Q33)</f>
        <v>0</v>
      </c>
      <c r="AD33" s="2" t="s">
        <v>174</v>
      </c>
      <c r="AE33" s="2"/>
      <c r="AF33" s="2" t="s">
        <v>67</v>
      </c>
      <c r="AG33" s="2"/>
      <c r="AH33" s="2" t="s">
        <v>70</v>
      </c>
      <c r="AI33" s="2"/>
    </row>
    <row r="34" ht="20" customHeight="1" spans="5:35">
      <c r="E34" s="37"/>
      <c r="F34" s="37"/>
      <c r="G34" s="39"/>
      <c r="H34" s="39"/>
      <c r="I34" s="37"/>
      <c r="Q34" s="65" t="s">
        <v>175</v>
      </c>
      <c r="R34" s="67" t="s">
        <v>176</v>
      </c>
      <c r="S34" s="60">
        <f t="shared" si="1"/>
        <v>0</v>
      </c>
      <c r="T34" s="63">
        <f>COUNTIFS($C$4:$D$23,Q34)</f>
        <v>0</v>
      </c>
      <c r="U34" s="63">
        <f>COUNTIFS($E$4:$F$23,Q34)</f>
        <v>0</v>
      </c>
      <c r="V34" s="63">
        <f>COUNTIFS($G$4:$H$23,Q34)</f>
        <v>0</v>
      </c>
      <c r="W34" s="63">
        <f>COUNTIFS($I$4:$I$23,Q34)</f>
        <v>0</v>
      </c>
      <c r="X34" s="63">
        <f>COUNTIFS($J$4:$K$23,Q34)</f>
        <v>0</v>
      </c>
      <c r="Y34" s="63">
        <f>COUNTIFS($L$4:$L$23,Q34)</f>
        <v>0</v>
      </c>
      <c r="Z34" s="63">
        <f>COUNTIFS($M$4:$N$23,Q34)</f>
        <v>0</v>
      </c>
      <c r="AA34" s="63">
        <f>COUNTIFS($O$4:$O$23,Q34)</f>
        <v>0</v>
      </c>
      <c r="AD34" s="2" t="s">
        <v>177</v>
      </c>
      <c r="AE34" s="2"/>
      <c r="AF34" s="2" t="s">
        <v>69</v>
      </c>
      <c r="AG34" s="2"/>
      <c r="AH34" s="2" t="s">
        <v>70</v>
      </c>
      <c r="AI34" s="2"/>
    </row>
    <row r="35" ht="20" customHeight="1" spans="5:35">
      <c r="E35" s="37"/>
      <c r="F35" s="37"/>
      <c r="G35" s="37"/>
      <c r="H35" s="37"/>
      <c r="I35" s="37"/>
      <c r="Q35" s="62" t="s">
        <v>134</v>
      </c>
      <c r="R35" s="59">
        <f>COUNTIFS($C$4:$O$23,Q35)</f>
        <v>1</v>
      </c>
      <c r="S35" s="60">
        <f t="shared" si="1"/>
        <v>120</v>
      </c>
      <c r="T35" s="63">
        <f>COUNTIFS($C$4:$D$23,Q35)</f>
        <v>0</v>
      </c>
      <c r="U35" s="63">
        <f>COUNTIFS($E$4:$F$23,Q35)</f>
        <v>0</v>
      </c>
      <c r="V35" s="63">
        <f>COUNTIFS($G$4:$H$23,Q35)</f>
        <v>1</v>
      </c>
      <c r="W35" s="63">
        <f>COUNTIFS($I$4:$I$23,Q35)</f>
        <v>0</v>
      </c>
      <c r="X35" s="63">
        <f>COUNTIFS($J$4:$K$23,Q35)</f>
        <v>0</v>
      </c>
      <c r="Y35" s="63">
        <f>COUNTIFS($L$4:$L$23,Q35)</f>
        <v>0</v>
      </c>
      <c r="Z35" s="63">
        <f>COUNTIFS($M$4:$N$23,Q35)</f>
        <v>0</v>
      </c>
      <c r="AA35" s="63">
        <f>COUNTIFS($O$4:$O$23,Q35)</f>
        <v>0</v>
      </c>
      <c r="AD35" s="2" t="s">
        <v>178</v>
      </c>
      <c r="AE35" s="2"/>
      <c r="AF35" s="3" t="s">
        <v>187</v>
      </c>
      <c r="AG35" s="3"/>
      <c r="AH35" s="3" t="s">
        <v>188</v>
      </c>
      <c r="AI35" s="3"/>
    </row>
    <row r="36" ht="20" customHeight="1" spans="5:35">
      <c r="E36" s="37"/>
      <c r="F36" s="37"/>
      <c r="G36" s="37"/>
      <c r="H36" s="37"/>
      <c r="I36" s="37"/>
      <c r="Q36" s="65" t="s">
        <v>81</v>
      </c>
      <c r="R36" s="59">
        <f>COUNTIFS($C$4:$O$23,Q36)</f>
        <v>0</v>
      </c>
      <c r="S36" s="60">
        <f t="shared" si="1"/>
        <v>0</v>
      </c>
      <c r="T36" s="63">
        <f>COUNTIFS($C$4:$D$23,Q36)</f>
        <v>0</v>
      </c>
      <c r="U36" s="63">
        <f>COUNTIFS($E$4:$F$23,Q36)</f>
        <v>0</v>
      </c>
      <c r="V36" s="63">
        <f>COUNTIFS($G$4:$H$23,Q36)</f>
        <v>0</v>
      </c>
      <c r="W36" s="63">
        <f>COUNTIFS($I$4:$I$23,Q36)</f>
        <v>0</v>
      </c>
      <c r="X36" s="63">
        <f>COUNTIFS($J$4:$K$23,Q36)</f>
        <v>0</v>
      </c>
      <c r="Y36" s="63">
        <f>COUNTIFS($L$4:$L$23,Q36)</f>
        <v>0</v>
      </c>
      <c r="Z36" s="67">
        <f>COUNTIFS($M$4:$N$23,Q36)</f>
        <v>0</v>
      </c>
      <c r="AA36" s="67">
        <f>COUNTIFS($O$4:$O$23,Q36)</f>
        <v>0</v>
      </c>
      <c r="AD36" s="2"/>
      <c r="AE36" s="2"/>
      <c r="AF36" s="3"/>
      <c r="AG36" s="3"/>
      <c r="AH36" s="3"/>
      <c r="AI36" s="3"/>
    </row>
    <row r="37" ht="20" customHeight="1" spans="5:35">
      <c r="E37" s="37"/>
      <c r="F37" s="37"/>
      <c r="G37" s="40"/>
      <c r="H37" s="40"/>
      <c r="I37" s="37"/>
      <c r="Q37" s="62" t="s">
        <v>82</v>
      </c>
      <c r="R37" s="59">
        <f>COUNTIFS($C$4:$O$23,Q37)</f>
        <v>1</v>
      </c>
      <c r="S37" s="60">
        <f t="shared" si="1"/>
        <v>75</v>
      </c>
      <c r="T37" s="63">
        <f>COUNTIFS($C$4:$D$23,Q37)</f>
        <v>0</v>
      </c>
      <c r="U37" s="63">
        <f>COUNTIFS($E$4:$F$23,Q37)</f>
        <v>1</v>
      </c>
      <c r="V37" s="63">
        <f>COUNTIFS($G$4:$H$23,Q37)</f>
        <v>0</v>
      </c>
      <c r="W37" s="63">
        <f>COUNTIFS($I$4:$I$23,Q37)</f>
        <v>0</v>
      </c>
      <c r="X37" s="63">
        <f>COUNTIFS($J$4:$K$23,Q37)</f>
        <v>0</v>
      </c>
      <c r="Y37" s="63">
        <f>COUNTIFS($L$4:$L$23,Q37)</f>
        <v>0</v>
      </c>
      <c r="Z37" s="63">
        <f>COUNTIFS($M$4:$N$23,Q37)</f>
        <v>0</v>
      </c>
      <c r="AA37" s="63">
        <f>COUNTIFS($O$4:$O$23,Q37)</f>
        <v>0</v>
      </c>
      <c r="AD37" s="2"/>
      <c r="AE37" s="2"/>
      <c r="AF37" s="3"/>
      <c r="AG37" s="3"/>
      <c r="AH37" s="3"/>
      <c r="AI37" s="3"/>
    </row>
    <row r="38" ht="20" customHeight="1" spans="5:35">
      <c r="E38" s="37"/>
      <c r="F38" s="37"/>
      <c r="G38" s="37"/>
      <c r="H38" s="37"/>
      <c r="I38" s="37"/>
      <c r="Q38" s="64" t="s">
        <v>79</v>
      </c>
      <c r="R38" s="59">
        <f>COUNTIFS($C$4:$O$23,Q38)</f>
        <v>2</v>
      </c>
      <c r="S38" s="60">
        <f t="shared" si="1"/>
        <v>240</v>
      </c>
      <c r="T38" s="63">
        <f>COUNTIFS($C$4:$D$23,Q38)</f>
        <v>0</v>
      </c>
      <c r="U38" s="63">
        <f>COUNTIFS($E$4:$F$23,Q38)</f>
        <v>1</v>
      </c>
      <c r="V38" s="63">
        <f>COUNTIFS($G$4:$H$23,Q38)</f>
        <v>0</v>
      </c>
      <c r="W38" s="63">
        <f>COUNTIFS($I$4:$I$23,Q38)</f>
        <v>0</v>
      </c>
      <c r="X38" s="63">
        <f>COUNTIFS($J$4:$K$23,Q38)</f>
        <v>1</v>
      </c>
      <c r="Y38" s="63">
        <f>COUNTIFS($L$4:$L$23,Q38)</f>
        <v>0</v>
      </c>
      <c r="Z38" s="63">
        <f>COUNTIFS($M$4:$N$23,Q38)</f>
        <v>0</v>
      </c>
      <c r="AA38" s="63">
        <f>COUNTIFS($O$4:$O$23,Q38)</f>
        <v>0</v>
      </c>
      <c r="AD38" s="4" t="s">
        <v>181</v>
      </c>
      <c r="AE38" s="4"/>
      <c r="AF38" s="3" t="s">
        <v>182</v>
      </c>
      <c r="AG38" s="3"/>
      <c r="AH38" s="3" t="s">
        <v>183</v>
      </c>
      <c r="AI38" s="3"/>
    </row>
    <row r="39" ht="20" customHeight="1" spans="17:35">
      <c r="Q39" s="62" t="s">
        <v>76</v>
      </c>
      <c r="R39" s="59">
        <f>COUNTIFS($C$4:$O$23,Q39)</f>
        <v>0</v>
      </c>
      <c r="S39" s="60">
        <f t="shared" si="1"/>
        <v>0</v>
      </c>
      <c r="T39" s="63">
        <f>COUNTIFS($C$4:$D$23,Q39)</f>
        <v>0</v>
      </c>
      <c r="U39" s="63">
        <f>COUNTIFS($E$4:$F$23,Q39)</f>
        <v>0</v>
      </c>
      <c r="V39" s="63">
        <f>COUNTIFS($G$4:$H$23,Q39)</f>
        <v>0</v>
      </c>
      <c r="W39" s="63">
        <f>COUNTIFS($I$4:$I$23,Q39)</f>
        <v>0</v>
      </c>
      <c r="X39" s="63">
        <f>COUNTIFS($J$4:$K$23,Q39)</f>
        <v>0</v>
      </c>
      <c r="Y39" s="63">
        <f>COUNTIFS($L$4:$L$23,Q39)</f>
        <v>0</v>
      </c>
      <c r="Z39" s="63">
        <f>COUNTIFS($M$4:$N$23,Q39)</f>
        <v>0</v>
      </c>
      <c r="AA39" s="63">
        <f>COUNTIFS($O$4:$O$23,Q39)</f>
        <v>0</v>
      </c>
      <c r="AD39" s="4"/>
      <c r="AE39" s="4"/>
      <c r="AF39" s="3"/>
      <c r="AG39" s="3"/>
      <c r="AH39" s="3"/>
      <c r="AI39" s="3"/>
    </row>
    <row r="40" ht="20" customHeight="1" spans="17:35">
      <c r="Q40" s="62" t="s">
        <v>89</v>
      </c>
      <c r="R40" s="59">
        <f>COUNTIFS($C$4:$O$23,Q40)</f>
        <v>0</v>
      </c>
      <c r="S40" s="60">
        <f t="shared" si="1"/>
        <v>0</v>
      </c>
      <c r="T40" s="63">
        <f>COUNTIFS($C$4:$D$23,Q40)</f>
        <v>0</v>
      </c>
      <c r="U40" s="63">
        <f>COUNTIFS($E$4:$F$23,Q40)</f>
        <v>0</v>
      </c>
      <c r="V40" s="63">
        <f>COUNTIFS($G$4:$H$23,Q40)</f>
        <v>0</v>
      </c>
      <c r="W40" s="63">
        <f>COUNTIFS($I$4:$I$23,Q40)</f>
        <v>0</v>
      </c>
      <c r="X40" s="63">
        <f>COUNTIFS($J$4:$K$23,Q40)</f>
        <v>0</v>
      </c>
      <c r="Y40" s="63">
        <f>COUNTIFS($L$4:$L$23,Q40)</f>
        <v>0</v>
      </c>
      <c r="Z40" s="63">
        <f>COUNTIFS($M$4:$N$23,Q40)</f>
        <v>0</v>
      </c>
      <c r="AA40" s="63">
        <f>COUNTIFS($O$4:$O$23,Q40)</f>
        <v>0</v>
      </c>
      <c r="AD40" s="4"/>
      <c r="AE40" s="4"/>
      <c r="AF40" s="3"/>
      <c r="AG40" s="3"/>
      <c r="AH40" s="3"/>
      <c r="AI40" s="3"/>
    </row>
    <row r="41" ht="20" customHeight="1" spans="17:27">
      <c r="Q41" s="62" t="s">
        <v>99</v>
      </c>
      <c r="R41" s="59">
        <f>COUNTIFS($C$4:$O$23,Q41)</f>
        <v>0</v>
      </c>
      <c r="S41" s="60">
        <f t="shared" si="1"/>
        <v>0</v>
      </c>
      <c r="T41" s="63">
        <f>COUNTIFS($C$4:$D$23,Q41)</f>
        <v>0</v>
      </c>
      <c r="U41" s="63">
        <f>COUNTIFS($E$4:$F$23,Q41)</f>
        <v>0</v>
      </c>
      <c r="V41" s="63">
        <f>COUNTIFS($G$4:$H$23,Q41)</f>
        <v>0</v>
      </c>
      <c r="W41" s="63">
        <f>COUNTIFS($I$4:$I$23,Q41)</f>
        <v>0</v>
      </c>
      <c r="X41" s="63">
        <f>COUNTIFS($J$4:$K$23,Q41)</f>
        <v>0</v>
      </c>
      <c r="Y41" s="63">
        <f>COUNTIFS($L$4:$L$23,Q41)</f>
        <v>0</v>
      </c>
      <c r="Z41" s="63">
        <f>COUNTIFS($M$4:$N$23,Q41)</f>
        <v>0</v>
      </c>
      <c r="AA41" s="63">
        <f>COUNTIFS($O$4:$O$23,Q41)</f>
        <v>0</v>
      </c>
    </row>
    <row r="42" ht="20" customHeight="1" spans="17:27">
      <c r="Q42" s="64" t="s">
        <v>100</v>
      </c>
      <c r="R42" s="59">
        <f>COUNTIFS($C$4:$O$23,Q42)</f>
        <v>1</v>
      </c>
      <c r="S42" s="60">
        <f t="shared" si="1"/>
        <v>150</v>
      </c>
      <c r="T42" s="63">
        <f>COUNTIFS($C$4:$D$23,Q42)</f>
        <v>1</v>
      </c>
      <c r="U42" s="63">
        <f>COUNTIFS($E$4:$F$23,Q42)</f>
        <v>0</v>
      </c>
      <c r="V42" s="63">
        <f>COUNTIFS($G$4:$H$23,Q42)</f>
        <v>0</v>
      </c>
      <c r="W42" s="63">
        <f>COUNTIFS($I$4:$I$23,Q42)</f>
        <v>0</v>
      </c>
      <c r="X42" s="63">
        <f>COUNTIFS($J$4:$K$23,Q42)</f>
        <v>0</v>
      </c>
      <c r="Y42" s="63">
        <f>COUNTIFS($L$4:$L$23,Q42)</f>
        <v>0</v>
      </c>
      <c r="Z42" s="63">
        <f>COUNTIFS($M$4:$N$23,Q42)</f>
        <v>0</v>
      </c>
      <c r="AA42" s="63">
        <f>COUNTIFS($O$4:$O$23,Q42)</f>
        <v>0</v>
      </c>
    </row>
    <row r="43" ht="20" customHeight="1" spans="17:27">
      <c r="Q43" s="64" t="s">
        <v>106</v>
      </c>
      <c r="R43" s="59">
        <f>COUNTIFS($C$4:$O$23,Q43)</f>
        <v>0</v>
      </c>
      <c r="S43" s="60">
        <f t="shared" si="1"/>
        <v>0</v>
      </c>
      <c r="T43" s="63">
        <f>COUNTIFS($C$4:$D$23,Q43)</f>
        <v>0</v>
      </c>
      <c r="U43" s="63">
        <f>COUNTIFS($E$4:$F$23,Q43)</f>
        <v>0</v>
      </c>
      <c r="V43" s="63">
        <f>COUNTIFS($G$4:$H$23,Q43)</f>
        <v>0</v>
      </c>
      <c r="W43" s="63">
        <f>COUNTIFS($I$4:$I$23,Q43)</f>
        <v>0</v>
      </c>
      <c r="X43" s="63">
        <f>COUNTIFS($J$4:$K$23,Q43)</f>
        <v>0</v>
      </c>
      <c r="Y43" s="63">
        <f>COUNTIFS($L$4:$L$23,Q43)</f>
        <v>0</v>
      </c>
      <c r="Z43" s="63">
        <f>COUNTIFS($M$4:$N$23,Q43)</f>
        <v>0</v>
      </c>
      <c r="AA43" s="63">
        <f>COUNTIFS($O$4:$O$23,Q43)</f>
        <v>0</v>
      </c>
    </row>
    <row r="44" ht="20" customHeight="1" spans="17:27">
      <c r="Q44" s="62" t="s">
        <v>113</v>
      </c>
      <c r="R44" s="59">
        <f>COUNTIFS($C$4:$O$23,Q44)</f>
        <v>0</v>
      </c>
      <c r="S44" s="60">
        <f t="shared" si="1"/>
        <v>0</v>
      </c>
      <c r="T44" s="63">
        <f>COUNTIFS($C$4:$D$23,Q44)</f>
        <v>0</v>
      </c>
      <c r="U44" s="63">
        <f>COUNTIFS($E$4:$F$23,Q44)</f>
        <v>0</v>
      </c>
      <c r="V44" s="63">
        <f>COUNTIFS($G$4:$H$23,Q44)</f>
        <v>0</v>
      </c>
      <c r="W44" s="63">
        <f>COUNTIFS($I$4:$I$23,Q44)</f>
        <v>0</v>
      </c>
      <c r="X44" s="63">
        <f>COUNTIFS($J$4:$K$23,Q44)</f>
        <v>0</v>
      </c>
      <c r="Y44" s="63">
        <f>COUNTIFS($L$4:$L$23,Q44)</f>
        <v>0</v>
      </c>
      <c r="Z44" s="63">
        <f>COUNTIFS($M$4:$N$23,Q44)</f>
        <v>0</v>
      </c>
      <c r="AA44" s="63">
        <f>COUNTIFS($O$4:$O$23,Q44)</f>
        <v>0</v>
      </c>
    </row>
    <row r="45" ht="20" customHeight="1" spans="17:27">
      <c r="Q45" s="66" t="s">
        <v>115</v>
      </c>
      <c r="R45" s="59">
        <f>COUNTIFS($C$4:$O$23,Q45)</f>
        <v>1</v>
      </c>
      <c r="S45" s="60">
        <f t="shared" si="1"/>
        <v>75</v>
      </c>
      <c r="T45" s="63">
        <f>COUNTIFS($C$4:$D$23,Q45)</f>
        <v>0</v>
      </c>
      <c r="U45" s="63">
        <f>COUNTIFS($E$4:$F$23,Q45)</f>
        <v>1</v>
      </c>
      <c r="V45" s="63">
        <f>COUNTIFS($G$4:$H$23,Q45)</f>
        <v>0</v>
      </c>
      <c r="W45" s="63">
        <f>COUNTIFS($I$4:$I$23,Q45)</f>
        <v>0</v>
      </c>
      <c r="X45" s="63">
        <f>COUNTIFS($J$4:$K$23,Q45)</f>
        <v>0</v>
      </c>
      <c r="Y45" s="63">
        <f>COUNTIFS($L$4:$L$23,Q45)</f>
        <v>0</v>
      </c>
      <c r="Z45" s="63">
        <f>COUNTIFS($M$4:$N$23,Q45)</f>
        <v>0</v>
      </c>
      <c r="AA45" s="63">
        <f>COUNTIFS($O$4:$O$23,Q45)</f>
        <v>0</v>
      </c>
    </row>
    <row r="46" ht="20" customHeight="1" spans="17:27">
      <c r="Q46" s="66" t="s">
        <v>150</v>
      </c>
      <c r="R46" s="59">
        <f>COUNTIFS($C$4:$O$23,Q46)</f>
        <v>2</v>
      </c>
      <c r="S46" s="60">
        <f t="shared" si="1"/>
        <v>225</v>
      </c>
      <c r="T46" s="63">
        <f>COUNTIFS($C$4:$D$23,Q46)</f>
        <v>0</v>
      </c>
      <c r="U46" s="63">
        <f>COUNTIFS($E$4:$F$23,Q46)</f>
        <v>0</v>
      </c>
      <c r="V46" s="63">
        <f>COUNTIFS($G$4:$H$23,Q46)</f>
        <v>0</v>
      </c>
      <c r="W46" s="63">
        <f>COUNTIFS($I$4:$I$23,Q46)</f>
        <v>1</v>
      </c>
      <c r="X46" s="63">
        <f>COUNTIFS($J$4:$K$23,Q46)</f>
        <v>1</v>
      </c>
      <c r="Y46" s="63">
        <f>COUNTIFS($L$4:$L$23,Q46)</f>
        <v>0</v>
      </c>
      <c r="Z46" s="63">
        <f>COUNTIFS($M$4:$N$23,Q46)</f>
        <v>0</v>
      </c>
      <c r="AA46" s="63">
        <f>COUNTIFS($O$4:$O$23,Q46)</f>
        <v>0</v>
      </c>
    </row>
    <row r="47" ht="20" customHeight="1" spans="17:27">
      <c r="Q47" s="66" t="s">
        <v>128</v>
      </c>
      <c r="R47" s="59">
        <f>COUNTIFS($C$4:$O$23,Q47)</f>
        <v>0</v>
      </c>
      <c r="S47" s="60">
        <f t="shared" si="1"/>
        <v>0</v>
      </c>
      <c r="T47" s="63">
        <f>COUNTIFS($C$4:$D$23,Q47)</f>
        <v>0</v>
      </c>
      <c r="U47" s="63">
        <f>COUNTIFS($E$4:$F$23,Q47)</f>
        <v>0</v>
      </c>
      <c r="V47" s="63">
        <f>COUNTIFS($G$4:$H$23,Q47)</f>
        <v>0</v>
      </c>
      <c r="W47" s="63">
        <f>COUNTIFS($I$4:$I$23,Q47)</f>
        <v>0</v>
      </c>
      <c r="X47" s="63">
        <f>COUNTIFS($J$4:$K$23,Q47)</f>
        <v>0</v>
      </c>
      <c r="Y47" s="63">
        <f>COUNTIFS($L$4:$L$23,Q47)</f>
        <v>0</v>
      </c>
      <c r="Z47" s="63">
        <f>COUNTIFS($M$4:$N$23,Q47)</f>
        <v>0</v>
      </c>
      <c r="AA47" s="63">
        <f>COUNTIFS($O$4:$O$23,Q47)</f>
        <v>0</v>
      </c>
    </row>
    <row r="48" ht="20" customHeight="1" spans="17:27">
      <c r="Q48" s="66" t="s">
        <v>129</v>
      </c>
      <c r="R48" s="59">
        <f>COUNTIFS($C$4:$O$23,Q48)</f>
        <v>0</v>
      </c>
      <c r="S48" s="60">
        <f t="shared" si="1"/>
        <v>0</v>
      </c>
      <c r="T48" s="63">
        <f>COUNTIFS($C$4:$D$23,Q48)</f>
        <v>0</v>
      </c>
      <c r="U48" s="63">
        <f>COUNTIFS($E$4:$F$23,Q48)</f>
        <v>0</v>
      </c>
      <c r="V48" s="63">
        <f>COUNTIFS($G$4:$H$23,Q48)</f>
        <v>0</v>
      </c>
      <c r="W48" s="63">
        <f>COUNTIFS($I$4:$I$23,Q48)</f>
        <v>0</v>
      </c>
      <c r="X48" s="63">
        <f>COUNTIFS($J$4:$K$23,Q48)</f>
        <v>0</v>
      </c>
      <c r="Y48" s="63">
        <f>COUNTIFS($L$4:$L$23,Q48)</f>
        <v>0</v>
      </c>
      <c r="Z48" s="63">
        <f>COUNTIFS($M$4:$N$23,Q48)</f>
        <v>0</v>
      </c>
      <c r="AA48" s="63">
        <f>COUNTIFS($O$4:$O$23,Q48)</f>
        <v>0</v>
      </c>
    </row>
    <row r="49" ht="20" customHeight="1" spans="17:27">
      <c r="Q49" s="66" t="s">
        <v>92</v>
      </c>
      <c r="R49" s="59">
        <f>COUNTIFS($C$4:$O$23,Q49)</f>
        <v>1</v>
      </c>
      <c r="S49" s="60">
        <f t="shared" si="1"/>
        <v>165</v>
      </c>
      <c r="T49" s="63">
        <f>COUNTIFS($C$4:$D$23,Q49)</f>
        <v>0</v>
      </c>
      <c r="U49" s="63">
        <f>COUNTIFS($E$4:$F$23,Q49)</f>
        <v>0</v>
      </c>
      <c r="V49" s="63">
        <f>COUNTIFS($G$4:$H$23,Q49)</f>
        <v>0</v>
      </c>
      <c r="W49" s="63">
        <f>COUNTIFS($I$4:$I$23,Q49)</f>
        <v>0</v>
      </c>
      <c r="X49" s="63">
        <f>COUNTIFS($J$4:$K$23,Q49)</f>
        <v>1</v>
      </c>
      <c r="Y49" s="63">
        <f>COUNTIFS($L$4:$L$23,Q49)</f>
        <v>0</v>
      </c>
      <c r="Z49" s="63">
        <f>COUNTIFS($M$4:$N$23,Q49)</f>
        <v>0</v>
      </c>
      <c r="AA49" s="63">
        <f>COUNTIFS($O$4:$O$23,Q49)</f>
        <v>0</v>
      </c>
    </row>
    <row r="50" ht="20" customHeight="1" spans="17:27">
      <c r="Q50" s="66" t="s">
        <v>140</v>
      </c>
      <c r="R50" s="59">
        <f>COUNTIFS($C$4:$O$23,Q50)</f>
        <v>1</v>
      </c>
      <c r="S50" s="60">
        <f t="shared" si="1"/>
        <v>60</v>
      </c>
      <c r="T50" s="63">
        <f>COUNTIFS($C$4:$D$23,Q50)</f>
        <v>0</v>
      </c>
      <c r="U50" s="63">
        <f>COUNTIFS($E$4:$F$23,Q50)</f>
        <v>0</v>
      </c>
      <c r="V50" s="63">
        <f>COUNTIFS($G$4:$H$23,Q50)</f>
        <v>0</v>
      </c>
      <c r="W50" s="63">
        <f>COUNTIFS($I$4:$I$23,Q50)</f>
        <v>1</v>
      </c>
      <c r="X50" s="63">
        <f>COUNTIFS($J$4:$K$23,Q50)</f>
        <v>0</v>
      </c>
      <c r="Y50" s="63">
        <f>COUNTIFS($L$4:$L$23,Q50)</f>
        <v>0</v>
      </c>
      <c r="Z50" s="63">
        <f>COUNTIFS($M$4:$N$23,Q50)</f>
        <v>0</v>
      </c>
      <c r="AA50" s="63">
        <f>COUNTIFS($O$4:$O$23,Q50)</f>
        <v>0</v>
      </c>
    </row>
    <row r="51" ht="20" customHeight="1" spans="17:27">
      <c r="Q51" s="65" t="s">
        <v>77</v>
      </c>
      <c r="R51" s="59">
        <f>COUNTIFS($C$4:$O$23,Q51)</f>
        <v>0</v>
      </c>
      <c r="S51" s="60">
        <f t="shared" si="1"/>
        <v>0</v>
      </c>
      <c r="T51" s="63">
        <f>COUNTIFS($C$4:$D$23,Q51)</f>
        <v>0</v>
      </c>
      <c r="U51" s="63">
        <f>COUNTIFS($E$4:$F$23,Q51)</f>
        <v>0</v>
      </c>
      <c r="V51" s="63">
        <f>COUNTIFS($G$4:$H$23,Q51)</f>
        <v>0</v>
      </c>
      <c r="W51" s="63">
        <f>COUNTIFS($I$4:$I$23,Q51)</f>
        <v>0</v>
      </c>
      <c r="X51" s="63">
        <f>COUNTIFS($J$4:$K$23,Q51)</f>
        <v>0</v>
      </c>
      <c r="Y51" s="63">
        <f>COUNTIFS($L$4:$L$23,Q51)</f>
        <v>0</v>
      </c>
      <c r="Z51" s="65">
        <f>COUNTIFS($M$4:$N$23,Q51)</f>
        <v>0</v>
      </c>
      <c r="AA51" s="65">
        <f>COUNTIFS($O$4:$O$23,Q51)</f>
        <v>0</v>
      </c>
    </row>
    <row r="52" ht="20" customHeight="1" spans="17:27">
      <c r="Q52" s="65" t="s">
        <v>88</v>
      </c>
      <c r="R52" s="59">
        <f>COUNTIFS($C$4:$O$23,Q52)</f>
        <v>2</v>
      </c>
      <c r="S52" s="60">
        <f t="shared" si="1"/>
        <v>180</v>
      </c>
      <c r="T52" s="63">
        <f>COUNTIFS($C$4:$D$23,Q52)</f>
        <v>0</v>
      </c>
      <c r="U52" s="63">
        <f>COUNTIFS($E$4:$F$23,Q52)</f>
        <v>0</v>
      </c>
      <c r="V52" s="63">
        <f>COUNTIFS($G$4:$H$23,Q52)</f>
        <v>1</v>
      </c>
      <c r="W52" s="63">
        <f>COUNTIFS($I$4:$I$23,Q52)</f>
        <v>1</v>
      </c>
      <c r="X52" s="63">
        <f>COUNTIFS($J$4:$K$23,Q52)</f>
        <v>0</v>
      </c>
      <c r="Y52" s="63">
        <f>COUNTIFS($L$4:$L$23,Q52)</f>
        <v>0</v>
      </c>
      <c r="Z52" s="65">
        <f>COUNTIFS($M$4:$N$23,Q52)</f>
        <v>0</v>
      </c>
      <c r="AA52" s="65">
        <f>COUNTIFS($O$4:$O$23,Q52)</f>
        <v>0</v>
      </c>
    </row>
    <row r="53" ht="20" customHeight="1" spans="17:27">
      <c r="Q53" s="65" t="s">
        <v>98</v>
      </c>
      <c r="R53" s="59">
        <f>COUNTIFS($C$4:$O$23,Q53)</f>
        <v>0</v>
      </c>
      <c r="S53" s="60">
        <f t="shared" si="1"/>
        <v>0</v>
      </c>
      <c r="T53" s="63">
        <f>COUNTIFS($C$4:$D$23,Q53)</f>
        <v>0</v>
      </c>
      <c r="U53" s="63">
        <f>COUNTIFS($E$4:$F$23,Q53)</f>
        <v>0</v>
      </c>
      <c r="V53" s="63">
        <f>COUNTIFS($G$4:$H$23,Q53)</f>
        <v>0</v>
      </c>
      <c r="W53" s="63">
        <f>COUNTIFS($I$4:$I$23,Q53)</f>
        <v>0</v>
      </c>
      <c r="X53" s="63">
        <f>COUNTIFS($J$4:$K$23,Q53)</f>
        <v>0</v>
      </c>
      <c r="Y53" s="63">
        <f>COUNTIFS($L$4:$L$23,Q53)</f>
        <v>0</v>
      </c>
      <c r="Z53" s="65">
        <f>COUNTIFS($M$4:$N$23,Q53)</f>
        <v>0</v>
      </c>
      <c r="AA53" s="65">
        <f>COUNTIFS($O$4:$O$23,Q53)</f>
        <v>0</v>
      </c>
    </row>
    <row r="54" spans="20:27">
      <c r="T54" s="46"/>
      <c r="U54" s="46"/>
      <c r="V54" s="46"/>
      <c r="W54" s="46"/>
      <c r="X54" s="46"/>
      <c r="Y54" s="46"/>
      <c r="Z54" s="46"/>
      <c r="AA54" s="46"/>
    </row>
    <row r="55" spans="20:27">
      <c r="T55" s="46"/>
      <c r="U55" s="46"/>
      <c r="V55" s="46"/>
      <c r="W55" s="46"/>
      <c r="X55" s="46"/>
      <c r="Y55" s="46"/>
      <c r="Z55" s="46"/>
      <c r="AA55" s="46"/>
    </row>
    <row r="56" spans="20:27">
      <c r="T56" s="46"/>
      <c r="U56" s="46"/>
      <c r="V56" s="46"/>
      <c r="W56" s="46"/>
      <c r="X56" s="46"/>
      <c r="Y56" s="46"/>
      <c r="Z56" s="46"/>
      <c r="AA56" s="46"/>
    </row>
    <row r="57" spans="20:27">
      <c r="T57" s="46"/>
      <c r="U57" s="46"/>
      <c r="V57" s="46"/>
      <c r="W57" s="46"/>
      <c r="X57" s="46"/>
      <c r="Y57" s="46"/>
      <c r="Z57" s="46"/>
      <c r="AA57" s="46"/>
    </row>
    <row r="58" spans="20:27">
      <c r="T58" s="46"/>
      <c r="U58" s="46"/>
      <c r="V58" s="46"/>
      <c r="W58" s="46"/>
      <c r="X58" s="46"/>
      <c r="Y58" s="46"/>
      <c r="Z58" s="46"/>
      <c r="AA58" s="46"/>
    </row>
    <row r="59" spans="20:27">
      <c r="T59" s="46"/>
      <c r="U59" s="46"/>
      <c r="V59" s="46"/>
      <c r="W59" s="46"/>
      <c r="X59" s="46"/>
      <c r="Y59" s="46"/>
      <c r="Z59" s="46"/>
      <c r="AA59" s="46"/>
    </row>
    <row r="60" spans="20:27">
      <c r="T60" s="46"/>
      <c r="U60" s="46"/>
      <c r="V60" s="46"/>
      <c r="W60" s="46"/>
      <c r="X60" s="46"/>
      <c r="Y60" s="46"/>
      <c r="Z60" s="46"/>
      <c r="AA60" s="46"/>
    </row>
    <row r="61" spans="20:27">
      <c r="T61" s="46"/>
      <c r="U61" s="46"/>
      <c r="V61" s="46"/>
      <c r="W61" s="46"/>
      <c r="X61" s="46"/>
      <c r="Y61" s="46"/>
      <c r="Z61" s="46"/>
      <c r="AA61" s="46"/>
    </row>
    <row r="62" spans="20:27">
      <c r="T62" s="46"/>
      <c r="U62" s="46"/>
      <c r="V62" s="46"/>
      <c r="W62" s="46"/>
      <c r="X62" s="46"/>
      <c r="Y62" s="46"/>
      <c r="Z62" s="46"/>
      <c r="AA62" s="46"/>
    </row>
  </sheetData>
  <autoFilter xmlns:etc="http://www.wps.cn/officeDocument/2017/etCustomData" ref="Q2:AI53" etc:filterBottomFollowUsedRange="0">
    <extLst/>
  </autoFilter>
  <mergeCells count="35">
    <mergeCell ref="A1:O1"/>
    <mergeCell ref="T1:W1"/>
    <mergeCell ref="X1:AA1"/>
    <mergeCell ref="C2:I2"/>
    <mergeCell ref="J2:O2"/>
    <mergeCell ref="C3:D3"/>
    <mergeCell ref="E3:F3"/>
    <mergeCell ref="G3:H3"/>
    <mergeCell ref="J3:K3"/>
    <mergeCell ref="M3:N3"/>
    <mergeCell ref="A24:O24"/>
    <mergeCell ref="AD30:AE30"/>
    <mergeCell ref="AF30:AG30"/>
    <mergeCell ref="AH30:AI30"/>
    <mergeCell ref="AD31:AE31"/>
    <mergeCell ref="AF31:AG31"/>
    <mergeCell ref="AH31:AI31"/>
    <mergeCell ref="AD32:AE32"/>
    <mergeCell ref="AF32:AG32"/>
    <mergeCell ref="AH32:AI32"/>
    <mergeCell ref="AD33:AE33"/>
    <mergeCell ref="AF33:AG33"/>
    <mergeCell ref="AH33:AI33"/>
    <mergeCell ref="AD34:AE34"/>
    <mergeCell ref="AF34:AG34"/>
    <mergeCell ref="AH34:AI34"/>
    <mergeCell ref="A2:A3"/>
    <mergeCell ref="B2:B3"/>
    <mergeCell ref="AD28:AI29"/>
    <mergeCell ref="AD35:AE37"/>
    <mergeCell ref="AF35:AG37"/>
    <mergeCell ref="AH35:AI37"/>
    <mergeCell ref="AD38:AE40"/>
    <mergeCell ref="AF38:AG40"/>
    <mergeCell ref="AH38:AI40"/>
  </mergeCells>
  <printOptions horizontalCentered="1" verticalCentered="1"/>
  <pageMargins left="0.118110236220472" right="0.118110236220472" top="0.551181102362205" bottom="0.551181102362205" header="0.31496062992126" footer="0.31496062992126"/>
  <pageSetup paperSize="9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pageSetUpPr fitToPage="1"/>
  </sheetPr>
  <dimension ref="A1:F29"/>
  <sheetViews>
    <sheetView zoomScale="70" zoomScaleNormal="70" workbookViewId="0">
      <selection activeCell="D17" sqref="D17"/>
    </sheetView>
  </sheetViews>
  <sheetFormatPr defaultColWidth="9" defaultRowHeight="25.5" outlineLevelCol="5"/>
  <cols>
    <col min="1" max="4" width="24.625" style="41" customWidth="1"/>
    <col min="5" max="5" width="12.875" style="41" customWidth="1"/>
    <col min="6" max="6" width="21.875" style="41" customWidth="1"/>
    <col min="7" max="16384" width="9" style="41"/>
  </cols>
  <sheetData>
    <row r="1" s="41" customFormat="1" ht="40" customHeight="1" spans="1:6">
      <c r="A1" s="43" t="str">
        <f>巡视!$A$1&amp;"考务会议签到表"</f>
        <v>2025-2026学年高二第一学期期中考考务会议签到表</v>
      </c>
      <c r="B1" s="43"/>
      <c r="C1" s="43"/>
      <c r="D1" s="43"/>
      <c r="E1" s="44"/>
      <c r="F1" s="44"/>
    </row>
    <row r="2" s="42" customFormat="1" ht="35" customHeight="1" spans="1:4">
      <c r="A2" s="43" t="s">
        <v>56</v>
      </c>
      <c r="B2" s="43" t="s">
        <v>189</v>
      </c>
      <c r="C2" s="43" t="s">
        <v>56</v>
      </c>
      <c r="D2" s="43" t="s">
        <v>189</v>
      </c>
    </row>
    <row r="3" s="41" customFormat="1" ht="30" customHeight="1" spans="1:4">
      <c r="A3" s="45" t="s">
        <v>3</v>
      </c>
      <c r="B3" s="45"/>
      <c r="C3" s="45" t="s">
        <v>80</v>
      </c>
      <c r="D3" s="45"/>
    </row>
    <row r="4" s="41" customFormat="1" ht="30" customHeight="1" spans="1:4">
      <c r="A4" s="45" t="s">
        <v>5</v>
      </c>
      <c r="B4" s="45"/>
      <c r="C4" s="45" t="s">
        <v>143</v>
      </c>
      <c r="D4" s="45"/>
    </row>
    <row r="5" s="41" customFormat="1" ht="30" customHeight="1" spans="1:4">
      <c r="A5" s="45" t="s">
        <v>7</v>
      </c>
      <c r="B5" s="45"/>
      <c r="C5" s="45" t="s">
        <v>91</v>
      </c>
      <c r="D5" s="45"/>
    </row>
    <row r="6" s="41" customFormat="1" ht="30" customHeight="1" spans="1:4">
      <c r="A6" s="45" t="s">
        <v>84</v>
      </c>
      <c r="B6" s="45"/>
      <c r="C6" s="45" t="s">
        <v>87</v>
      </c>
      <c r="D6" s="45"/>
    </row>
    <row r="7" s="41" customFormat="1" ht="30" customHeight="1" spans="1:4">
      <c r="A7" s="45" t="s">
        <v>93</v>
      </c>
      <c r="B7" s="45"/>
      <c r="C7" s="45" t="s">
        <v>101</v>
      </c>
      <c r="D7" s="45"/>
    </row>
    <row r="8" s="41" customFormat="1" ht="30" customHeight="1" spans="1:4">
      <c r="A8" s="45" t="s">
        <v>74</v>
      </c>
      <c r="B8" s="45"/>
      <c r="C8" s="45" t="s">
        <v>119</v>
      </c>
      <c r="D8" s="45"/>
    </row>
    <row r="9" s="41" customFormat="1" ht="30" customHeight="1" spans="1:4">
      <c r="A9" s="45" t="s">
        <v>75</v>
      </c>
      <c r="B9" s="45"/>
      <c r="C9" s="45" t="s">
        <v>175</v>
      </c>
      <c r="D9" s="45"/>
    </row>
    <row r="10" s="41" customFormat="1" ht="30" customHeight="1" spans="1:4">
      <c r="A10" s="45" t="s">
        <v>114</v>
      </c>
      <c r="B10" s="45"/>
      <c r="C10" s="45" t="s">
        <v>134</v>
      </c>
      <c r="D10" s="45"/>
    </row>
    <row r="11" s="41" customFormat="1" ht="30" customHeight="1" spans="1:4">
      <c r="A11" s="45" t="s">
        <v>96</v>
      </c>
      <c r="B11" s="45"/>
      <c r="C11" s="45" t="s">
        <v>81</v>
      </c>
      <c r="D11" s="45"/>
    </row>
    <row r="12" s="41" customFormat="1" ht="30" customHeight="1" spans="1:4">
      <c r="A12" s="45" t="s">
        <v>127</v>
      </c>
      <c r="B12" s="45"/>
      <c r="C12" s="45" t="s">
        <v>82</v>
      </c>
      <c r="D12" s="45"/>
    </row>
    <row r="13" s="41" customFormat="1" ht="30" customHeight="1" spans="1:4">
      <c r="A13" s="45" t="s">
        <v>133</v>
      </c>
      <c r="B13" s="45"/>
      <c r="C13" s="45" t="s">
        <v>79</v>
      </c>
      <c r="D13" s="45"/>
    </row>
    <row r="14" s="41" customFormat="1" ht="30" customHeight="1" spans="1:4">
      <c r="A14" s="45" t="s">
        <v>112</v>
      </c>
      <c r="B14" s="45"/>
      <c r="C14" s="45" t="s">
        <v>76</v>
      </c>
      <c r="D14" s="45"/>
    </row>
    <row r="15" s="41" customFormat="1" ht="30" customHeight="1" spans="1:4">
      <c r="A15" s="45" t="s">
        <v>142</v>
      </c>
      <c r="B15" s="45"/>
      <c r="C15" s="45" t="s">
        <v>89</v>
      </c>
      <c r="D15" s="45"/>
    </row>
    <row r="16" s="41" customFormat="1" ht="30" customHeight="1" spans="1:4">
      <c r="A16" s="45" t="s">
        <v>139</v>
      </c>
      <c r="B16" s="45"/>
      <c r="C16" s="45" t="s">
        <v>99</v>
      </c>
      <c r="D16" s="45"/>
    </row>
    <row r="17" s="41" customFormat="1" ht="30" customHeight="1" spans="1:4">
      <c r="A17" s="45" t="s">
        <v>125</v>
      </c>
      <c r="B17" s="45"/>
      <c r="C17" s="45" t="s">
        <v>100</v>
      </c>
      <c r="D17" s="45"/>
    </row>
    <row r="18" s="41" customFormat="1" ht="30" customHeight="1" spans="1:4">
      <c r="A18" s="45" t="s">
        <v>126</v>
      </c>
      <c r="B18" s="45"/>
      <c r="C18" s="45" t="s">
        <v>106</v>
      </c>
      <c r="D18" s="45"/>
    </row>
    <row r="19" s="41" customFormat="1" ht="30" customHeight="1" spans="1:4">
      <c r="A19" s="45" t="s">
        <v>120</v>
      </c>
      <c r="B19" s="45"/>
      <c r="C19" s="45" t="s">
        <v>113</v>
      </c>
      <c r="D19" s="45"/>
    </row>
    <row r="20" s="41" customFormat="1" ht="30" customHeight="1" spans="1:4">
      <c r="A20" s="45" t="s">
        <v>138</v>
      </c>
      <c r="B20" s="45"/>
      <c r="C20" s="45" t="s">
        <v>115</v>
      </c>
      <c r="D20" s="45"/>
    </row>
    <row r="21" s="41" customFormat="1" ht="30" customHeight="1" spans="1:4">
      <c r="A21" s="45" t="s">
        <v>78</v>
      </c>
      <c r="B21" s="45"/>
      <c r="C21" s="45" t="s">
        <v>150</v>
      </c>
      <c r="D21" s="45"/>
    </row>
    <row r="22" s="41" customFormat="1" ht="30" customHeight="1" spans="1:4">
      <c r="A22" s="45" t="s">
        <v>124</v>
      </c>
      <c r="B22" s="45"/>
      <c r="C22" s="45" t="s">
        <v>128</v>
      </c>
      <c r="D22" s="45"/>
    </row>
    <row r="23" s="41" customFormat="1" ht="30" customHeight="1" spans="1:4">
      <c r="A23" s="45" t="s">
        <v>97</v>
      </c>
      <c r="B23" s="45"/>
      <c r="C23" s="45" t="s">
        <v>129</v>
      </c>
      <c r="D23" s="45"/>
    </row>
    <row r="24" s="41" customFormat="1" ht="30" customHeight="1" spans="1:4">
      <c r="A24" s="45" t="s">
        <v>105</v>
      </c>
      <c r="B24" s="45"/>
      <c r="C24" s="45" t="s">
        <v>92</v>
      </c>
      <c r="D24" s="45"/>
    </row>
    <row r="25" ht="30" customHeight="1" spans="1:4">
      <c r="A25" s="45" t="s">
        <v>111</v>
      </c>
      <c r="B25" s="45"/>
      <c r="C25" s="45" t="s">
        <v>140</v>
      </c>
      <c r="D25" s="45"/>
    </row>
    <row r="26" ht="30" customHeight="1" spans="1:4">
      <c r="A26" s="45" t="s">
        <v>83</v>
      </c>
      <c r="B26" s="45"/>
      <c r="C26" s="45" t="s">
        <v>77</v>
      </c>
      <c r="D26" s="45"/>
    </row>
    <row r="27" ht="30" customHeight="1" spans="1:4">
      <c r="A27" s="45" t="s">
        <v>12</v>
      </c>
      <c r="B27" s="45"/>
      <c r="C27" s="45" t="s">
        <v>88</v>
      </c>
      <c r="D27" s="45"/>
    </row>
    <row r="28" ht="30" customHeight="1" spans="1:4">
      <c r="A28" s="45" t="s">
        <v>90</v>
      </c>
      <c r="B28" s="45"/>
      <c r="C28" s="45" t="s">
        <v>98</v>
      </c>
      <c r="D28" s="45"/>
    </row>
    <row r="29" ht="30" customHeight="1" spans="1:4">
      <c r="A29" s="45" t="s">
        <v>107</v>
      </c>
      <c r="B29" s="45"/>
      <c r="C29" s="45"/>
      <c r="D29" s="45"/>
    </row>
  </sheetData>
  <mergeCells count="1">
    <mergeCell ref="A1:D1"/>
  </mergeCells>
  <conditionalFormatting sqref="E3:E17">
    <cfRule type="duplicateValues" dxfId="0" priority="1" stopIfTrue="1"/>
  </conditionalFormatting>
  <printOptions horizontalCentered="1" verticalCentered="1"/>
  <pageMargins left="0" right="0" top="0" bottom="0" header="0" footer="0"/>
  <pageSetup paperSize="9" fitToHeight="0" orientation="portrait" horizontalDpi="600"/>
  <headerFooter>
    <oddFooter>&amp;C第 &amp;P 页，共 &amp;N 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D76"/>
  <sheetViews>
    <sheetView view="pageBreakPreview" zoomScaleNormal="70" workbookViewId="0">
      <selection activeCell="L18" sqref="L18:L19"/>
    </sheetView>
  </sheetViews>
  <sheetFormatPr defaultColWidth="9" defaultRowHeight="14.25"/>
  <cols>
    <col min="1" max="1" width="10.625" style="24" customWidth="1"/>
    <col min="2" max="2" width="6.625" style="24" customWidth="1"/>
    <col min="3" max="14" width="7.625" style="25" customWidth="1"/>
    <col min="15" max="16" width="14.625" style="25" customWidth="1"/>
    <col min="17" max="17" width="10.625" style="25" customWidth="1"/>
    <col min="18" max="18" width="6.625" style="25" customWidth="1"/>
    <col min="19" max="22" width="7.625" style="25" customWidth="1"/>
    <col min="23" max="24" width="14.625" style="25" customWidth="1"/>
    <col min="25" max="28" width="7.625" style="25" customWidth="1"/>
    <col min="29" max="30" width="14.625" style="25" customWidth="1"/>
    <col min="31" max="16384" width="9" style="26"/>
  </cols>
  <sheetData>
    <row r="1" ht="27" spans="1:30">
      <c r="A1" s="27" t="str">
        <f>巡视!$A$1&amp;"监考员签到表"</f>
        <v>2025-2026学年高二第一学期期中考监考员签到表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 t="str">
        <f>巡视!$A$1&amp;"监考员签到表"</f>
        <v>2025-2026学年高二第一学期期中考监考员签到表</v>
      </c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</row>
    <row r="2" ht="28.5" customHeight="1" spans="1:30">
      <c r="A2" s="28" t="s">
        <v>41</v>
      </c>
      <c r="B2" s="28" t="s">
        <v>42</v>
      </c>
      <c r="C2" s="29" t="str">
        <f>监考安排!C2</f>
        <v>11月5日（周三）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8" t="s">
        <v>41</v>
      </c>
      <c r="R2" s="28" t="s">
        <v>42</v>
      </c>
      <c r="S2" s="29" t="str">
        <f>监考安排!J2</f>
        <v>11月6日（周四）</v>
      </c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</row>
    <row r="3" ht="33.75" customHeight="1" spans="1:30">
      <c r="A3" s="28"/>
      <c r="B3" s="28"/>
      <c r="C3" s="30" t="str">
        <f>监考安排!C3</f>
        <v>8:00-10:30                   语文</v>
      </c>
      <c r="D3" s="30"/>
      <c r="E3" s="31" t="s">
        <v>189</v>
      </c>
      <c r="F3" s="31"/>
      <c r="G3" s="30" t="str">
        <f>监考安排!E3</f>
        <v>11:00-12:15                   物理/历史</v>
      </c>
      <c r="H3" s="30"/>
      <c r="I3" s="31" t="s">
        <v>189</v>
      </c>
      <c r="J3" s="31"/>
      <c r="K3" s="30" t="str">
        <f>监考安排!G3</f>
        <v>14:30-16:30                   数学</v>
      </c>
      <c r="L3" s="30"/>
      <c r="M3" s="31" t="s">
        <v>189</v>
      </c>
      <c r="N3" s="31"/>
      <c r="O3" s="30" t="str">
        <f>监考安排!I3</f>
        <v>17:00-18:00                   政治学考</v>
      </c>
      <c r="P3" s="31" t="s">
        <v>189</v>
      </c>
      <c r="Q3" s="28"/>
      <c r="R3" s="28"/>
      <c r="S3" s="30" t="str">
        <f>监考安排!J3</f>
        <v>8:00-10:45                       
4选2</v>
      </c>
      <c r="T3" s="30"/>
      <c r="U3" s="31" t="s">
        <v>189</v>
      </c>
      <c r="V3" s="31"/>
      <c r="W3" s="30" t="str">
        <f>监考安排!L3</f>
        <v>11:15-12:15                       自习</v>
      </c>
      <c r="X3" s="31" t="s">
        <v>189</v>
      </c>
      <c r="Y3" s="30" t="str">
        <f>监考安排!M3</f>
        <v>14:30-16:30                       英语</v>
      </c>
      <c r="Z3" s="30"/>
      <c r="AA3" s="31" t="s">
        <v>189</v>
      </c>
      <c r="AB3" s="31"/>
      <c r="AC3" s="30" t="str">
        <f>监考安排!O3</f>
        <v>17:00-18:00                       物理学考</v>
      </c>
      <c r="AD3" s="31" t="s">
        <v>189</v>
      </c>
    </row>
    <row r="4" ht="20" customHeight="1" spans="1:30">
      <c r="A4" s="32" t="str">
        <f>监考安排!A4</f>
        <v>高二1班</v>
      </c>
      <c r="B4" s="32">
        <f>监考安排!B4</f>
        <v>42</v>
      </c>
      <c r="C4" s="33" t="str">
        <f>监考安排!C4</f>
        <v>蒋思明</v>
      </c>
      <c r="D4" s="34" t="str">
        <f>监考安排!D4</f>
        <v>吕雪容</v>
      </c>
      <c r="E4" s="35"/>
      <c r="F4" s="35"/>
      <c r="G4" s="33" t="str">
        <f>监考安排!E4</f>
        <v>杨眉</v>
      </c>
      <c r="H4" s="34" t="str">
        <f>监考安排!F4</f>
        <v>张馨予</v>
      </c>
      <c r="I4" s="35"/>
      <c r="J4" s="35"/>
      <c r="K4" s="33" t="str">
        <f>监考安排!G4</f>
        <v>郑婉慧</v>
      </c>
      <c r="L4" s="34" t="str">
        <f>监考安排!H4</f>
        <v>黄朝阳</v>
      </c>
      <c r="M4" s="35"/>
      <c r="N4" s="35"/>
      <c r="O4" s="33" t="str">
        <f>监考安排!I4</f>
        <v>陈美苑</v>
      </c>
      <c r="P4" s="35"/>
      <c r="Q4" s="32" t="str">
        <f>监考安排!A4</f>
        <v>高二1班</v>
      </c>
      <c r="R4" s="32">
        <f>监考安排!B4</f>
        <v>42</v>
      </c>
      <c r="S4" s="33" t="str">
        <f>监考安排!J4</f>
        <v>张莉萍</v>
      </c>
      <c r="T4" s="34" t="str">
        <f>监考安排!K4</f>
        <v>杨眉</v>
      </c>
      <c r="U4" s="35"/>
      <c r="V4" s="35"/>
      <c r="W4" s="33" t="str">
        <f>监考安排!L4</f>
        <v>杨眉</v>
      </c>
      <c r="X4" s="35"/>
      <c r="Y4" s="33" t="str">
        <f>监考安排!M4</f>
        <v>陈晓迪</v>
      </c>
      <c r="Z4" s="34" t="str">
        <f>监考安排!N4</f>
        <v>黄朝阳</v>
      </c>
      <c r="AA4" s="35"/>
      <c r="AB4" s="35"/>
      <c r="AC4" s="33" t="str">
        <f>监考安排!O4</f>
        <v>马嘉骏</v>
      </c>
      <c r="AD4" s="35"/>
    </row>
    <row r="5" ht="20" customHeight="1" spans="1:30">
      <c r="A5" s="32" t="str">
        <f>监考安排!A5</f>
        <v>高二2班</v>
      </c>
      <c r="B5" s="32">
        <f>监考安排!B5</f>
        <v>42</v>
      </c>
      <c r="C5" s="33" t="str">
        <f>监考安排!C5</f>
        <v>王倩</v>
      </c>
      <c r="D5" s="34"/>
      <c r="E5" s="35"/>
      <c r="F5" s="35"/>
      <c r="G5" s="33" t="str">
        <f>监考安排!E5</f>
        <v>李昕雨</v>
      </c>
      <c r="H5" s="34"/>
      <c r="I5" s="35"/>
      <c r="J5" s="35"/>
      <c r="K5" s="33" t="str">
        <f>监考安排!G5</f>
        <v>王玉发</v>
      </c>
      <c r="L5" s="34"/>
      <c r="M5" s="35"/>
      <c r="N5" s="35"/>
      <c r="O5" s="33" t="str">
        <f>监考安排!I5</f>
        <v>王菲飞</v>
      </c>
      <c r="P5" s="35"/>
      <c r="Q5" s="32" t="str">
        <f>监考安排!A5</f>
        <v>高二2班</v>
      </c>
      <c r="R5" s="32">
        <f>监考安排!B5</f>
        <v>42</v>
      </c>
      <c r="S5" s="33" t="str">
        <f>监考安排!J5</f>
        <v>余晓娜</v>
      </c>
      <c r="T5" s="34"/>
      <c r="U5" s="35"/>
      <c r="V5" s="35"/>
      <c r="W5" s="33" t="str">
        <f>监考安排!L5</f>
        <v>李智芳</v>
      </c>
      <c r="X5" s="35"/>
      <c r="Y5" s="33" t="str">
        <f>监考安排!M5</f>
        <v>王玉发</v>
      </c>
      <c r="Z5" s="34"/>
      <c r="AA5" s="35"/>
      <c r="AB5" s="35"/>
      <c r="AC5" s="33" t="str">
        <f>监考安排!O5</f>
        <v>陈映儿</v>
      </c>
      <c r="AD5" s="35"/>
    </row>
    <row r="6" ht="20" customHeight="1" spans="1:30">
      <c r="A6" s="32" t="str">
        <f>监考安排!A6</f>
        <v>高二3班</v>
      </c>
      <c r="B6" s="32">
        <f>监考安排!B6</f>
        <v>42</v>
      </c>
      <c r="C6" s="33" t="str">
        <f>监考安排!C6</f>
        <v>马嘉骏</v>
      </c>
      <c r="D6" s="34" t="str">
        <f>监考安排!D6</f>
        <v>张光礼</v>
      </c>
      <c r="E6" s="35"/>
      <c r="F6" s="35"/>
      <c r="G6" s="33" t="str">
        <f>监考安排!E6</f>
        <v>王昕</v>
      </c>
      <c r="H6" s="34" t="str">
        <f>监考安排!F6</f>
        <v>李嘉燕</v>
      </c>
      <c r="I6" s="35"/>
      <c r="J6" s="35"/>
      <c r="K6" s="33" t="str">
        <f>监考安排!G6</f>
        <v>刘小洪</v>
      </c>
      <c r="L6" s="34" t="str">
        <f>监考安排!H6</f>
        <v>蒋红</v>
      </c>
      <c r="M6" s="35"/>
      <c r="N6" s="35"/>
      <c r="O6" s="33" t="str">
        <f>监考安排!I6</f>
        <v>蒋思明</v>
      </c>
      <c r="P6" s="35"/>
      <c r="Q6" s="32" t="str">
        <f>监考安排!A6</f>
        <v>高二3班</v>
      </c>
      <c r="R6" s="32">
        <f>监考安排!B6</f>
        <v>42</v>
      </c>
      <c r="S6" s="33" t="str">
        <f>监考安排!J6</f>
        <v>王倩</v>
      </c>
      <c r="T6" s="34" t="str">
        <f>监考安排!K6</f>
        <v>谢晨阳</v>
      </c>
      <c r="U6" s="35"/>
      <c r="V6" s="35"/>
      <c r="W6" s="33" t="str">
        <f>监考安排!L6</f>
        <v>张莉萍</v>
      </c>
      <c r="X6" s="35"/>
      <c r="Y6" s="33" t="str">
        <f>监考安排!M6</f>
        <v>刘小洪</v>
      </c>
      <c r="Z6" s="34" t="str">
        <f>监考安排!N6</f>
        <v>蒋红</v>
      </c>
      <c r="AA6" s="35"/>
      <c r="AB6" s="35"/>
      <c r="AC6" s="33" t="str">
        <f>监考安排!O6</f>
        <v>明珊珊</v>
      </c>
      <c r="AD6" s="35"/>
    </row>
    <row r="7" ht="20" customHeight="1" spans="1:30">
      <c r="A7" s="32" t="str">
        <f>监考安排!A7</f>
        <v>高二4班</v>
      </c>
      <c r="B7" s="32">
        <f>监考安排!B7</f>
        <v>42</v>
      </c>
      <c r="C7" s="33" t="str">
        <f>监考安排!C7</f>
        <v>余晓娜</v>
      </c>
      <c r="D7" s="34"/>
      <c r="E7" s="35"/>
      <c r="F7" s="35"/>
      <c r="G7" s="33" t="str">
        <f>监考安排!E7</f>
        <v>王海劲</v>
      </c>
      <c r="H7" s="34"/>
      <c r="I7" s="35"/>
      <c r="J7" s="35"/>
      <c r="K7" s="33" t="str">
        <f>监考安排!G7</f>
        <v>钟日明</v>
      </c>
      <c r="L7" s="34"/>
      <c r="M7" s="35"/>
      <c r="N7" s="35"/>
      <c r="O7" s="33" t="str">
        <f>监考安排!I7</f>
        <v>吕雪容</v>
      </c>
      <c r="P7" s="35"/>
      <c r="Q7" s="32" t="str">
        <f>监考安排!A7</f>
        <v>高二4班</v>
      </c>
      <c r="R7" s="32">
        <f>监考安排!B7</f>
        <v>42</v>
      </c>
      <c r="S7" s="33" t="str">
        <f>监考安排!J7</f>
        <v>李智芳</v>
      </c>
      <c r="T7" s="34"/>
      <c r="U7" s="35"/>
      <c r="V7" s="35"/>
      <c r="W7" s="33" t="str">
        <f>监考安排!L7</f>
        <v>张馨予</v>
      </c>
      <c r="X7" s="35"/>
      <c r="Y7" s="33" t="str">
        <f>监考安排!M7</f>
        <v>钟日明</v>
      </c>
      <c r="Z7" s="34"/>
      <c r="AA7" s="35"/>
      <c r="AB7" s="35"/>
      <c r="AC7" s="33" t="str">
        <f>监考安排!O7</f>
        <v>梁洁楹</v>
      </c>
      <c r="AD7" s="35"/>
    </row>
    <row r="8" ht="20" customHeight="1" spans="1:30">
      <c r="A8" s="32" t="str">
        <f>监考安排!A8</f>
        <v>高二5班</v>
      </c>
      <c r="B8" s="32">
        <f>监考安排!B8</f>
        <v>42</v>
      </c>
      <c r="C8" s="33" t="str">
        <f>监考安排!C8</f>
        <v>林蕴瑜</v>
      </c>
      <c r="D8" s="34" t="str">
        <f>监考安排!D8</f>
        <v>谢晨阳</v>
      </c>
      <c r="E8" s="35"/>
      <c r="F8" s="35"/>
      <c r="G8" s="33" t="str">
        <f>监考安排!E8</f>
        <v>李镇国</v>
      </c>
      <c r="H8" s="34" t="str">
        <f>监考安排!F8</f>
        <v>马嘉骏</v>
      </c>
      <c r="I8" s="35"/>
      <c r="J8" s="35"/>
      <c r="K8" s="33" t="str">
        <f>监考安排!G8</f>
        <v>钟三明</v>
      </c>
      <c r="L8" s="34" t="str">
        <f>监考安排!H8</f>
        <v>张玉静</v>
      </c>
      <c r="M8" s="35"/>
      <c r="N8" s="35"/>
      <c r="O8" s="33" t="str">
        <f>监考安排!I8</f>
        <v>彭海影</v>
      </c>
      <c r="P8" s="35"/>
      <c r="Q8" s="32" t="str">
        <f>监考安排!A8</f>
        <v>高二5班</v>
      </c>
      <c r="R8" s="32">
        <f>监考安排!B8</f>
        <v>42</v>
      </c>
      <c r="S8" s="33" t="str">
        <f>监考安排!J8</f>
        <v>张馨予</v>
      </c>
      <c r="T8" s="34" t="str">
        <f>监考安排!K8</f>
        <v>李昕雨</v>
      </c>
      <c r="U8" s="35"/>
      <c r="V8" s="35"/>
      <c r="W8" s="33" t="str">
        <f>监考安排!L8</f>
        <v>李昕雨</v>
      </c>
      <c r="X8" s="35"/>
      <c r="Y8" s="33" t="str">
        <f>监考安排!M8</f>
        <v>张玉静</v>
      </c>
      <c r="Z8" s="34" t="str">
        <f>监考安排!N8</f>
        <v>孙静</v>
      </c>
      <c r="AA8" s="35"/>
      <c r="AB8" s="35"/>
      <c r="AC8" s="33" t="str">
        <f>监考安排!O8</f>
        <v>林蕴瑜</v>
      </c>
      <c r="AD8" s="35"/>
    </row>
    <row r="9" ht="20" customHeight="1" spans="1:30">
      <c r="A9" s="32" t="str">
        <f>监考安排!A9</f>
        <v>高二6班</v>
      </c>
      <c r="B9" s="32">
        <f>监考安排!B9</f>
        <v>42</v>
      </c>
      <c r="C9" s="33" t="str">
        <f>监考安排!C9</f>
        <v>范南莺</v>
      </c>
      <c r="D9" s="34"/>
      <c r="E9" s="35"/>
      <c r="F9" s="35"/>
      <c r="G9" s="33" t="str">
        <f>监考安排!E9</f>
        <v>林蕴瑜</v>
      </c>
      <c r="H9" s="34"/>
      <c r="I9" s="35"/>
      <c r="J9" s="35"/>
      <c r="K9" s="33" t="str">
        <f>监考安排!G9</f>
        <v>孙静</v>
      </c>
      <c r="L9" s="34"/>
      <c r="M9" s="35"/>
      <c r="N9" s="35"/>
      <c r="O9" s="33" t="str">
        <f>监考安排!I9</f>
        <v>李昕雨</v>
      </c>
      <c r="P9" s="35"/>
      <c r="Q9" s="32" t="str">
        <f>监考安排!A9</f>
        <v>高二6班</v>
      </c>
      <c r="R9" s="32">
        <f>监考安排!B9</f>
        <v>42</v>
      </c>
      <c r="S9" s="33" t="str">
        <f>监考安排!J9</f>
        <v>李嘉燕</v>
      </c>
      <c r="T9" s="34"/>
      <c r="U9" s="35"/>
      <c r="V9" s="35"/>
      <c r="W9" s="33" t="str">
        <f>监考安排!L9</f>
        <v>李嘉燕</v>
      </c>
      <c r="X9" s="35"/>
      <c r="Y9" s="33" t="str">
        <f>监考安排!M9</f>
        <v>许业琳</v>
      </c>
      <c r="Z9" s="34"/>
      <c r="AA9" s="35"/>
      <c r="AB9" s="35"/>
      <c r="AC9" s="33" t="str">
        <f>监考安排!O9</f>
        <v>许业琳</v>
      </c>
      <c r="AD9" s="35"/>
    </row>
    <row r="10" ht="20" customHeight="1" spans="1:30">
      <c r="A10" s="32" t="str">
        <f>监考安排!A10</f>
        <v>高二7班</v>
      </c>
      <c r="B10" s="32">
        <f>监考安排!B10</f>
        <v>42</v>
      </c>
      <c r="C10" s="33" t="str">
        <f>监考安排!C10</f>
        <v>周罗洁</v>
      </c>
      <c r="D10" s="34" t="str">
        <f>监考安排!D10</f>
        <v>张莉萍</v>
      </c>
      <c r="E10" s="35"/>
      <c r="F10" s="35"/>
      <c r="G10" s="33" t="str">
        <f>监考安排!E10</f>
        <v>明珊珊</v>
      </c>
      <c r="H10" s="34" t="str">
        <f>监考安排!F10</f>
        <v>贺育林</v>
      </c>
      <c r="I10" s="35"/>
      <c r="J10" s="35"/>
      <c r="K10" s="33" t="str">
        <f>监考安排!G10</f>
        <v>贺育林</v>
      </c>
      <c r="L10" s="34" t="str">
        <f>监考安排!H10</f>
        <v>黄楚琪</v>
      </c>
      <c r="M10" s="35"/>
      <c r="N10" s="35"/>
      <c r="O10" s="33" t="str">
        <f>监考安排!I10</f>
        <v>赵香甜</v>
      </c>
      <c r="P10" s="35"/>
      <c r="Q10" s="32" t="str">
        <f>监考安排!A10</f>
        <v>高二7班</v>
      </c>
      <c r="R10" s="32">
        <f>监考安排!B10</f>
        <v>42</v>
      </c>
      <c r="S10" s="33" t="str">
        <f>监考安排!J10</f>
        <v>陈映儿</v>
      </c>
      <c r="T10" s="34" t="str">
        <f>监考安排!K10</f>
        <v>王菲飞</v>
      </c>
      <c r="U10" s="35"/>
      <c r="V10" s="35"/>
      <c r="W10" s="33" t="str">
        <f>监考安排!L10</f>
        <v>林蕴瑜</v>
      </c>
      <c r="X10" s="35"/>
      <c r="Y10" s="33" t="str">
        <f>监考安排!M10</f>
        <v>侯文娟</v>
      </c>
      <c r="Z10" s="34" t="str">
        <f>监考安排!N10</f>
        <v>刘艳</v>
      </c>
      <c r="AA10" s="35"/>
      <c r="AB10" s="35"/>
      <c r="AC10" s="33" t="str">
        <f>监考安排!O10</f>
        <v>余晓娜</v>
      </c>
      <c r="AD10" s="35"/>
    </row>
    <row r="11" ht="20" customHeight="1" spans="1:30">
      <c r="A11" s="32" t="str">
        <f>监考安排!A11</f>
        <v>高二8班</v>
      </c>
      <c r="B11" s="32">
        <f>监考安排!B11</f>
        <v>42</v>
      </c>
      <c r="C11" s="33" t="str">
        <f>监考安排!C11</f>
        <v>赵香甜</v>
      </c>
      <c r="D11" s="34"/>
      <c r="E11" s="35"/>
      <c r="F11" s="35"/>
      <c r="G11" s="33" t="str">
        <f>监考安排!E11</f>
        <v>黄楚琪</v>
      </c>
      <c r="H11" s="34"/>
      <c r="I11" s="35"/>
      <c r="J11" s="35"/>
      <c r="K11" s="33" t="str">
        <f>监考安排!G11</f>
        <v>许业琳</v>
      </c>
      <c r="L11" s="34"/>
      <c r="M11" s="35"/>
      <c r="N11" s="35"/>
      <c r="O11" s="33" t="str">
        <f>监考安排!I11</f>
        <v>段蕴瑶</v>
      </c>
      <c r="P11" s="35"/>
      <c r="Q11" s="32" t="str">
        <f>监考安排!A11</f>
        <v>高二8班</v>
      </c>
      <c r="R11" s="32">
        <f>监考安排!B11</f>
        <v>42</v>
      </c>
      <c r="S11" s="33" t="str">
        <f>监考安排!J11</f>
        <v>张妮</v>
      </c>
      <c r="T11" s="34"/>
      <c r="U11" s="35"/>
      <c r="V11" s="35"/>
      <c r="W11" s="33" t="str">
        <f>监考安排!L11</f>
        <v>明珊珊</v>
      </c>
      <c r="X11" s="35"/>
      <c r="Y11" s="33" t="str">
        <f>监考安排!M11</f>
        <v>范南莺</v>
      </c>
      <c r="Z11" s="34"/>
      <c r="AA11" s="35"/>
      <c r="AB11" s="35"/>
      <c r="AC11" s="33" t="str">
        <f>监考安排!O11</f>
        <v>王倩</v>
      </c>
      <c r="AD11" s="35"/>
    </row>
    <row r="12" ht="20" customHeight="1" spans="1:30">
      <c r="A12" s="32" t="str">
        <f>监考安排!A12</f>
        <v>高二9班</v>
      </c>
      <c r="B12" s="32">
        <f>监考安排!B12</f>
        <v>42</v>
      </c>
      <c r="C12" s="33" t="str">
        <f>监考安排!C12</f>
        <v>段蕴瑶</v>
      </c>
      <c r="D12" s="34" t="str">
        <f>监考安排!D12</f>
        <v>杨眉</v>
      </c>
      <c r="E12" s="35"/>
      <c r="F12" s="35"/>
      <c r="G12" s="33" t="str">
        <f>监考安排!E12</f>
        <v>许业琳</v>
      </c>
      <c r="H12" s="34" t="str">
        <f>监考安排!F12</f>
        <v>余晓娜</v>
      </c>
      <c r="I12" s="35"/>
      <c r="J12" s="35"/>
      <c r="K12" s="33" t="str">
        <f>监考安排!G12</f>
        <v>陈坚</v>
      </c>
      <c r="L12" s="34" t="str">
        <f>监考安排!H12</f>
        <v>刘良桂</v>
      </c>
      <c r="M12" s="35"/>
      <c r="N12" s="35"/>
      <c r="O12" s="33" t="str">
        <f>监考安排!I12</f>
        <v>钟三明</v>
      </c>
      <c r="P12" s="35"/>
      <c r="Q12" s="32" t="str">
        <f>监考安排!A12</f>
        <v>高二9班</v>
      </c>
      <c r="R12" s="32">
        <f>监考安排!B12</f>
        <v>42</v>
      </c>
      <c r="S12" s="33" t="str">
        <f>监考安排!J12</f>
        <v>梁洁楹</v>
      </c>
      <c r="T12" s="34" t="str">
        <f>监考安排!K12</f>
        <v>陈美苑</v>
      </c>
      <c r="U12" s="35"/>
      <c r="V12" s="35"/>
      <c r="W12" s="33" t="str">
        <f>监考安排!L12</f>
        <v>蒋思明</v>
      </c>
      <c r="X12" s="35"/>
      <c r="Y12" s="33" t="str">
        <f>监考安排!M12</f>
        <v>王菲飞</v>
      </c>
      <c r="Z12" s="34" t="str">
        <f>监考安排!N12</f>
        <v>王帅</v>
      </c>
      <c r="AA12" s="35"/>
      <c r="AB12" s="35"/>
      <c r="AC12" s="33" t="str">
        <f>监考安排!O12</f>
        <v>谢晨阳</v>
      </c>
      <c r="AD12" s="35"/>
    </row>
    <row r="13" ht="20" customHeight="1" spans="1:30">
      <c r="A13" s="32" t="str">
        <f>监考安排!A13</f>
        <v>高二10班</v>
      </c>
      <c r="B13" s="32">
        <f>监考安排!B13</f>
        <v>42</v>
      </c>
      <c r="C13" s="33" t="str">
        <f>监考安排!C13</f>
        <v>曹芳</v>
      </c>
      <c r="D13" s="34"/>
      <c r="E13" s="35"/>
      <c r="F13" s="35"/>
      <c r="G13" s="33" t="str">
        <f>监考安排!E13</f>
        <v>王倩</v>
      </c>
      <c r="H13" s="34"/>
      <c r="I13" s="35"/>
      <c r="J13" s="35"/>
      <c r="K13" s="33" t="str">
        <f>监考安排!G13</f>
        <v>张妮</v>
      </c>
      <c r="L13" s="34"/>
      <c r="M13" s="35"/>
      <c r="N13" s="35"/>
      <c r="O13" s="33" t="str">
        <f>监考安排!I13</f>
        <v>曹芳</v>
      </c>
      <c r="P13" s="35"/>
      <c r="Q13" s="32" t="str">
        <f>监考安排!A13</f>
        <v>高二10班</v>
      </c>
      <c r="R13" s="32">
        <f>监考安排!B13</f>
        <v>42</v>
      </c>
      <c r="S13" s="33" t="str">
        <f>监考安排!J13</f>
        <v>蒋虹</v>
      </c>
      <c r="T13" s="34"/>
      <c r="U13" s="35"/>
      <c r="V13" s="35"/>
      <c r="W13" s="33" t="str">
        <f>监考安排!L13</f>
        <v>吕雪容</v>
      </c>
      <c r="X13" s="35"/>
      <c r="Y13" s="33" t="str">
        <f>监考安排!M13</f>
        <v>明珊珊</v>
      </c>
      <c r="Z13" s="34"/>
      <c r="AA13" s="35"/>
      <c r="AB13" s="35"/>
      <c r="AC13" s="33" t="str">
        <f>监考安排!O13</f>
        <v>范南莺</v>
      </c>
      <c r="AD13" s="35"/>
    </row>
    <row r="14" ht="20" customHeight="1" spans="1:30">
      <c r="A14" s="32" t="str">
        <f>监考安排!A14</f>
        <v>高二11班</v>
      </c>
      <c r="B14" s="32">
        <f>监考安排!B14</f>
        <v>42</v>
      </c>
      <c r="C14" s="33" t="str">
        <f>监考安排!C14</f>
        <v>郑婉慧</v>
      </c>
      <c r="D14" s="34" t="str">
        <f>监考安排!D14</f>
        <v>贺育林</v>
      </c>
      <c r="E14" s="35"/>
      <c r="F14" s="35"/>
      <c r="G14" s="33" t="str">
        <f>监考安排!E14</f>
        <v>郑婉慧</v>
      </c>
      <c r="H14" s="34" t="str">
        <f>监考安排!F14</f>
        <v>陈晓迪</v>
      </c>
      <c r="I14" s="35"/>
      <c r="J14" s="35"/>
      <c r="K14" s="33" t="str">
        <f>监考安排!G14</f>
        <v>李镇国</v>
      </c>
      <c r="L14" s="34" t="str">
        <f>监考安排!H14</f>
        <v>王昕</v>
      </c>
      <c r="M14" s="35"/>
      <c r="N14" s="35"/>
      <c r="O14" s="33" t="str">
        <f>监考安排!I14</f>
        <v>刘良桂</v>
      </c>
      <c r="P14" s="35"/>
      <c r="Q14" s="32" t="str">
        <f>监考安排!A14</f>
        <v>高二11班</v>
      </c>
      <c r="R14" s="32">
        <f>监考安排!B14</f>
        <v>42</v>
      </c>
      <c r="S14" s="33" t="str">
        <f>监考安排!J14</f>
        <v>陈晓迪</v>
      </c>
      <c r="T14" s="34" t="str">
        <f>监考安排!K14</f>
        <v>范南莺</v>
      </c>
      <c r="U14" s="35"/>
      <c r="V14" s="35"/>
      <c r="W14" s="33" t="str">
        <f>监考安排!L14</f>
        <v>彭海影</v>
      </c>
      <c r="X14" s="35"/>
      <c r="Y14" s="33" t="str">
        <f>监考安排!M14</f>
        <v>陈映儿</v>
      </c>
      <c r="Z14" s="34" t="str">
        <f>监考安排!N14</f>
        <v>林蕴瑜</v>
      </c>
      <c r="AA14" s="35"/>
      <c r="AB14" s="35"/>
      <c r="AC14" s="33" t="str">
        <f>监考安排!O14</f>
        <v>彭海影</v>
      </c>
      <c r="AD14" s="35"/>
    </row>
    <row r="15" ht="20" customHeight="1" spans="1:30">
      <c r="A15" s="32" t="str">
        <f>监考安排!A15</f>
        <v>高二12班</v>
      </c>
      <c r="B15" s="32">
        <f>监考安排!B15</f>
        <v>42</v>
      </c>
      <c r="C15" s="33" t="str">
        <f>监考安排!C15</f>
        <v>黄楚琪</v>
      </c>
      <c r="D15" s="34"/>
      <c r="E15" s="35"/>
      <c r="F15" s="35"/>
      <c r="G15" s="33" t="str">
        <f>监考安排!E15</f>
        <v>张妮</v>
      </c>
      <c r="H15" s="34"/>
      <c r="I15" s="35"/>
      <c r="J15" s="35"/>
      <c r="K15" s="33" t="str">
        <f>监考安排!G15</f>
        <v>吕雪容</v>
      </c>
      <c r="L15" s="34"/>
      <c r="M15" s="35"/>
      <c r="N15" s="35"/>
      <c r="O15" s="33" t="str">
        <f>监考安排!I15</f>
        <v>贺育林</v>
      </c>
      <c r="P15" s="35"/>
      <c r="Q15" s="32" t="str">
        <f>监考安排!A15</f>
        <v>高二12班</v>
      </c>
      <c r="R15" s="32">
        <f>监考安排!B15</f>
        <v>42</v>
      </c>
      <c r="S15" s="33" t="str">
        <f>监考安排!J15</f>
        <v>钟三明</v>
      </c>
      <c r="T15" s="34"/>
      <c r="U15" s="35"/>
      <c r="V15" s="35"/>
      <c r="W15" s="33" t="str">
        <f>监考安排!L15</f>
        <v>王昕</v>
      </c>
      <c r="X15" s="35"/>
      <c r="Y15" s="33" t="str">
        <f>监考安排!M15</f>
        <v>彭海影</v>
      </c>
      <c r="Z15" s="34"/>
      <c r="AA15" s="35"/>
      <c r="AB15" s="35"/>
      <c r="AC15" s="33" t="str">
        <f>监考安排!O15</f>
        <v>张妮</v>
      </c>
      <c r="AD15" s="35"/>
    </row>
    <row r="16" ht="20" customHeight="1" spans="1:30">
      <c r="A16" s="32" t="str">
        <f>监考安排!A16</f>
        <v>高二13班</v>
      </c>
      <c r="B16" s="32">
        <f>监考安排!B16</f>
        <v>42</v>
      </c>
      <c r="C16" s="33" t="str">
        <f>监考安排!C16</f>
        <v>蒋红</v>
      </c>
      <c r="D16" s="34" t="str">
        <f>监考安排!D16</f>
        <v>孙静</v>
      </c>
      <c r="E16" s="35"/>
      <c r="F16" s="35"/>
      <c r="G16" s="33" t="str">
        <f>监考安排!E16</f>
        <v>张莉萍</v>
      </c>
      <c r="H16" s="34" t="str">
        <f>监考安排!F16</f>
        <v>蒋思明</v>
      </c>
      <c r="I16" s="35"/>
      <c r="J16" s="35"/>
      <c r="K16" s="33" t="str">
        <f>监考安排!G16</f>
        <v>李昕雨</v>
      </c>
      <c r="L16" s="34" t="str">
        <f>监考安排!H16</f>
        <v>陈映儿</v>
      </c>
      <c r="M16" s="35"/>
      <c r="N16" s="35"/>
      <c r="O16" s="33" t="str">
        <f>监考安排!I16</f>
        <v>黄楚琪</v>
      </c>
      <c r="P16" s="35"/>
      <c r="Q16" s="32" t="str">
        <f>监考安排!A16</f>
        <v>高二13班</v>
      </c>
      <c r="R16" s="32">
        <f>监考安排!B16</f>
        <v>42</v>
      </c>
      <c r="S16" s="33" t="str">
        <f>监考安排!J16</f>
        <v>王玉发</v>
      </c>
      <c r="T16" s="34" t="str">
        <f>监考安排!K16</f>
        <v>刘小洪</v>
      </c>
      <c r="U16" s="35"/>
      <c r="V16" s="35"/>
      <c r="W16" s="33" t="str">
        <f>监考安排!L16</f>
        <v>赵香甜</v>
      </c>
      <c r="X16" s="35"/>
      <c r="Y16" s="33" t="str">
        <f>监考安排!M16</f>
        <v>张光礼</v>
      </c>
      <c r="Z16" s="34" t="str">
        <f>监考安排!N16</f>
        <v>赵香甜</v>
      </c>
      <c r="AA16" s="35"/>
      <c r="AB16" s="35"/>
      <c r="AC16" s="33" t="str">
        <f>监考安排!O16</f>
        <v>周罗洁</v>
      </c>
      <c r="AD16" s="35"/>
    </row>
    <row r="17" ht="20" customHeight="1" spans="1:30">
      <c r="A17" s="32" t="str">
        <f>监考安排!A17</f>
        <v>高二14班</v>
      </c>
      <c r="B17" s="32">
        <f>监考安排!B17</f>
        <v>42</v>
      </c>
      <c r="C17" s="33" t="str">
        <f>监考安排!C17</f>
        <v>张芷欣</v>
      </c>
      <c r="D17" s="34"/>
      <c r="E17" s="35"/>
      <c r="F17" s="35"/>
      <c r="G17" s="33" t="str">
        <f>监考安排!E17</f>
        <v>吕雪容</v>
      </c>
      <c r="H17" s="34"/>
      <c r="I17" s="35"/>
      <c r="J17" s="35"/>
      <c r="K17" s="33" t="str">
        <f>监考安排!G17</f>
        <v>王菲飞</v>
      </c>
      <c r="L17" s="34"/>
      <c r="M17" s="35"/>
      <c r="N17" s="35"/>
      <c r="O17" s="33" t="str">
        <f>监考安排!I17</f>
        <v>蒋虹</v>
      </c>
      <c r="P17" s="35"/>
      <c r="Q17" s="32" t="str">
        <f>监考安排!A17</f>
        <v>高二14班</v>
      </c>
      <c r="R17" s="32">
        <f>监考安排!B17</f>
        <v>42</v>
      </c>
      <c r="S17" s="33" t="str">
        <f>监考安排!J17</f>
        <v>张芷欣</v>
      </c>
      <c r="T17" s="34"/>
      <c r="U17" s="35"/>
      <c r="V17" s="35"/>
      <c r="W17" s="33" t="str">
        <f>监考安排!L17</f>
        <v>段蕴瑶</v>
      </c>
      <c r="X17" s="35"/>
      <c r="Y17" s="33" t="str">
        <f>监考安排!M17</f>
        <v>段蕴瑶</v>
      </c>
      <c r="Z17" s="34"/>
      <c r="AA17" s="35"/>
      <c r="AB17" s="35"/>
      <c r="AC17" s="33" t="str">
        <f>监考安排!O17</f>
        <v>李镇国</v>
      </c>
      <c r="AD17" s="35"/>
    </row>
    <row r="18" ht="20" customHeight="1" spans="1:30">
      <c r="A18" s="32" t="str">
        <f>监考安排!A18</f>
        <v>高二15班</v>
      </c>
      <c r="B18" s="32">
        <f>监考安排!B18</f>
        <v>42</v>
      </c>
      <c r="C18" s="33" t="str">
        <f>监考安排!C18</f>
        <v>侯文娟</v>
      </c>
      <c r="D18" s="34" t="str">
        <f>监考安排!D18</f>
        <v>刘艳</v>
      </c>
      <c r="E18" s="35"/>
      <c r="F18" s="35"/>
      <c r="G18" s="33" t="str">
        <f>监考安排!E18</f>
        <v>孙静</v>
      </c>
      <c r="H18" s="34" t="str">
        <f>监考安排!F18</f>
        <v>张光礼</v>
      </c>
      <c r="I18" s="35"/>
      <c r="J18" s="35"/>
      <c r="K18" s="33" t="str">
        <f>监考安排!G18</f>
        <v>梁洁楹</v>
      </c>
      <c r="L18" s="34" t="str">
        <f>监考安排!H18</f>
        <v>陈美苑</v>
      </c>
      <c r="M18" s="35"/>
      <c r="N18" s="35"/>
      <c r="O18" s="33" t="str">
        <f>监考安排!I18</f>
        <v>张芷欣</v>
      </c>
      <c r="P18" s="35"/>
      <c r="Q18" s="32" t="str">
        <f>监考安排!A18</f>
        <v>高二15班</v>
      </c>
      <c r="R18" s="32">
        <f>监考安排!B18</f>
        <v>42</v>
      </c>
      <c r="S18" s="33" t="str">
        <f>监考安排!J18</f>
        <v>钟日明</v>
      </c>
      <c r="T18" s="34" t="str">
        <f>监考安排!K18</f>
        <v>张玉静</v>
      </c>
      <c r="U18" s="35"/>
      <c r="V18" s="35"/>
      <c r="W18" s="33" t="str">
        <f>监考安排!L18</f>
        <v>张妮</v>
      </c>
      <c r="X18" s="35"/>
      <c r="Y18" s="33" t="str">
        <f>监考安排!M18</f>
        <v>钟三明</v>
      </c>
      <c r="Z18" s="34" t="str">
        <f>监考安排!N18</f>
        <v>曹芳</v>
      </c>
      <c r="AA18" s="35"/>
      <c r="AB18" s="35"/>
      <c r="AC18" s="33" t="str">
        <f>监考安排!O18</f>
        <v>陈坚</v>
      </c>
      <c r="AD18" s="35"/>
    </row>
    <row r="19" ht="20" customHeight="1" spans="1:30">
      <c r="A19" s="32" t="str">
        <f>监考安排!A19</f>
        <v>高二16班</v>
      </c>
      <c r="B19" s="32">
        <f>监考安排!B19</f>
        <v>42</v>
      </c>
      <c r="C19" s="33" t="str">
        <f>监考安排!C19</f>
        <v>李智芳</v>
      </c>
      <c r="D19" s="34"/>
      <c r="E19" s="35"/>
      <c r="F19" s="35"/>
      <c r="G19" s="33" t="str">
        <f>监考安排!E19</f>
        <v>赵香甜</v>
      </c>
      <c r="H19" s="34"/>
      <c r="I19" s="35"/>
      <c r="J19" s="35"/>
      <c r="K19" s="33" t="str">
        <f>监考安排!G19</f>
        <v>蒋虹</v>
      </c>
      <c r="L19" s="34"/>
      <c r="M19" s="35"/>
      <c r="N19" s="35"/>
      <c r="O19" s="33" t="str">
        <f>监考安排!I19</f>
        <v>谢晨阳</v>
      </c>
      <c r="P19" s="35"/>
      <c r="Q19" s="32" t="str">
        <f>监考安排!A19</f>
        <v>高二16班</v>
      </c>
      <c r="R19" s="32">
        <f>监考安排!B19</f>
        <v>42</v>
      </c>
      <c r="S19" s="33" t="str">
        <f>监考安排!J19</f>
        <v>陈坚</v>
      </c>
      <c r="T19" s="34"/>
      <c r="U19" s="35"/>
      <c r="V19" s="35"/>
      <c r="W19" s="33" t="str">
        <f>监考安排!L19</f>
        <v>曹芳</v>
      </c>
      <c r="X19" s="35"/>
      <c r="Y19" s="33" t="str">
        <f>监考安排!M19</f>
        <v>刘良桂</v>
      </c>
      <c r="Z19" s="34"/>
      <c r="AA19" s="35"/>
      <c r="AB19" s="35"/>
      <c r="AC19" s="33" t="str">
        <f>监考安排!O19</f>
        <v>王玉发</v>
      </c>
      <c r="AD19" s="35"/>
    </row>
    <row r="20" ht="20" customHeight="1" spans="1:30">
      <c r="A20" s="32" t="str">
        <f>监考安排!A20</f>
        <v>公共课室3</v>
      </c>
      <c r="B20" s="32">
        <f>监考安排!B20</f>
        <v>42</v>
      </c>
      <c r="C20" s="33" t="str">
        <f>监考安排!C20</f>
        <v>王帅</v>
      </c>
      <c r="D20" s="34" t="str">
        <f>监考安排!D20</f>
        <v>张馨予</v>
      </c>
      <c r="E20" s="35"/>
      <c r="F20" s="35"/>
      <c r="G20" s="33" t="str">
        <f>监考安排!E20</f>
        <v>段蕴瑶</v>
      </c>
      <c r="H20" s="34" t="str">
        <f>监考安排!F20</f>
        <v>曹芳</v>
      </c>
      <c r="I20" s="35"/>
      <c r="J20" s="35"/>
      <c r="K20" s="33" t="str">
        <f>监考安排!G20</f>
        <v>张芷欣</v>
      </c>
      <c r="L20" s="34" t="str">
        <f>监考安排!H20</f>
        <v>侯文娟</v>
      </c>
      <c r="M20" s="35"/>
      <c r="N20" s="35"/>
      <c r="O20" s="33" t="str">
        <f>监考安排!I20</f>
        <v>王帅</v>
      </c>
      <c r="P20" s="35"/>
      <c r="Q20" s="32" t="str">
        <f>监考安排!A20</f>
        <v>公共课室3</v>
      </c>
      <c r="R20" s="32">
        <f>监考安排!B20</f>
        <v>42</v>
      </c>
      <c r="S20" s="33" t="str">
        <f>监考安排!J20</f>
        <v>黄朝阳</v>
      </c>
      <c r="T20" s="34" t="str">
        <f>监考安排!K20</f>
        <v>周罗洁</v>
      </c>
      <c r="U20" s="35"/>
      <c r="V20" s="35"/>
      <c r="W20" s="33" t="str">
        <f>监考安排!L20</f>
        <v>刘良桂</v>
      </c>
      <c r="X20" s="35"/>
      <c r="Y20" s="33" t="str">
        <f>监考安排!M20</f>
        <v>梁洁楹</v>
      </c>
      <c r="Z20" s="34" t="str">
        <f>监考安排!N20</f>
        <v>陈美苑</v>
      </c>
      <c r="AA20" s="35"/>
      <c r="AB20" s="35"/>
      <c r="AC20" s="33" t="str">
        <f>监考安排!O20</f>
        <v>刘小洪</v>
      </c>
      <c r="AD20" s="35"/>
    </row>
    <row r="21" ht="20" customHeight="1" spans="1:30">
      <c r="A21" s="32" t="str">
        <f>监考安排!A21</f>
        <v>公共课室4</v>
      </c>
      <c r="B21" s="32">
        <f>监考安排!B21</f>
        <v>42</v>
      </c>
      <c r="C21" s="33" t="str">
        <f>监考安排!C21</f>
        <v>彭海影</v>
      </c>
      <c r="D21" s="34"/>
      <c r="E21" s="35"/>
      <c r="F21" s="35"/>
      <c r="G21" s="33" t="str">
        <f>监考安排!E21</f>
        <v>刘良桂</v>
      </c>
      <c r="H21" s="34"/>
      <c r="I21" s="35"/>
      <c r="J21" s="35"/>
      <c r="K21" s="33" t="str">
        <f>监考安排!G21</f>
        <v>刘艳</v>
      </c>
      <c r="L21" s="34"/>
      <c r="M21" s="35"/>
      <c r="N21" s="35"/>
      <c r="O21" s="33" t="str">
        <f>监考安排!I21</f>
        <v>王昕</v>
      </c>
      <c r="P21" s="35"/>
      <c r="Q21" s="32" t="str">
        <f>监考安排!A21</f>
        <v>公共课室4</v>
      </c>
      <c r="R21" s="32">
        <f>监考安排!B21</f>
        <v>42</v>
      </c>
      <c r="S21" s="33" t="str">
        <f>监考安排!J21</f>
        <v>王昕</v>
      </c>
      <c r="T21" s="34"/>
      <c r="U21" s="35"/>
      <c r="V21" s="35"/>
      <c r="W21" s="33" t="str">
        <f>监考安排!L21</f>
        <v>贺育林</v>
      </c>
      <c r="X21" s="35"/>
      <c r="Y21" s="33" t="str">
        <f>监考安排!M21</f>
        <v>蒋虹</v>
      </c>
      <c r="Z21" s="34"/>
      <c r="AA21" s="35"/>
      <c r="AB21" s="35"/>
      <c r="AC21" s="33" t="str">
        <f>监考安排!O21</f>
        <v>蒋红</v>
      </c>
      <c r="AD21" s="35"/>
    </row>
    <row r="22" ht="20" customHeight="1" spans="1:30">
      <c r="A22" s="32" t="str">
        <f>监考安排!A22</f>
        <v>公共课室5</v>
      </c>
      <c r="B22" s="32">
        <f>监考安排!B22</f>
        <v>36</v>
      </c>
      <c r="C22" s="33" t="str">
        <f>监考安排!C22</f>
        <v>明珊珊</v>
      </c>
      <c r="D22" s="34" t="str">
        <f>监考安排!D22</f>
        <v>李嘉燕</v>
      </c>
      <c r="E22" s="35"/>
      <c r="F22" s="35"/>
      <c r="G22" s="33" t="str">
        <f>监考安排!E22</f>
        <v>黄朝阳</v>
      </c>
      <c r="H22" s="34" t="str">
        <f>监考安排!F22</f>
        <v>侯文娟</v>
      </c>
      <c r="I22" s="35"/>
      <c r="J22" s="35"/>
      <c r="K22" s="33" t="str">
        <f>监考安排!G22</f>
        <v>李智芳</v>
      </c>
      <c r="L22" s="34" t="str">
        <f>监考安排!H22</f>
        <v>蒋思明</v>
      </c>
      <c r="M22" s="35"/>
      <c r="N22" s="35"/>
      <c r="O22" s="33" t="str">
        <f>监考安排!I22</f>
        <v>王海劲</v>
      </c>
      <c r="P22" s="35"/>
      <c r="Q22" s="32" t="str">
        <f>监考安排!A22</f>
        <v>公共课室5</v>
      </c>
      <c r="R22" s="32">
        <f>监考安排!B22</f>
        <v>36</v>
      </c>
      <c r="S22" s="33" t="str">
        <f>监考安排!J22</f>
        <v>王海劲</v>
      </c>
      <c r="T22" s="34" t="str">
        <f>监考安排!K22</f>
        <v>李镇国</v>
      </c>
      <c r="U22" s="35"/>
      <c r="V22" s="35"/>
      <c r="W22" s="33" t="str">
        <f>监考安排!L22</f>
        <v>黄楚琪</v>
      </c>
      <c r="X22" s="35"/>
      <c r="Y22" s="33" t="str">
        <f>监考安排!M22</f>
        <v>陈坚</v>
      </c>
      <c r="Z22" s="34" t="str">
        <f>监考安排!N22</f>
        <v>郑婉慧</v>
      </c>
      <c r="AA22" s="35"/>
      <c r="AB22" s="35"/>
      <c r="AC22" s="33" t="str">
        <f>监考安排!O22</f>
        <v>钟日明</v>
      </c>
      <c r="AD22" s="35"/>
    </row>
    <row r="23" ht="20" customHeight="1" spans="1:30">
      <c r="A23" s="32" t="str">
        <f>监考安排!A23</f>
        <v>公共课室6</v>
      </c>
      <c r="B23" s="32">
        <f>监考安排!B23</f>
        <v>25</v>
      </c>
      <c r="C23" s="33" t="str">
        <f>监考安排!C23</f>
        <v>王海劲</v>
      </c>
      <c r="D23" s="34"/>
      <c r="E23" s="35"/>
      <c r="F23" s="35"/>
      <c r="G23" s="33" t="str">
        <f>监考安排!E23</f>
        <v>刘艳</v>
      </c>
      <c r="H23" s="34"/>
      <c r="I23" s="35"/>
      <c r="J23" s="35"/>
      <c r="K23" s="33" t="str">
        <f>监考安排!G23</f>
        <v>王帅</v>
      </c>
      <c r="L23" s="34"/>
      <c r="M23" s="35"/>
      <c r="N23" s="35"/>
      <c r="O23" s="33" t="str">
        <f>监考安排!I23</f>
        <v>李镇国</v>
      </c>
      <c r="P23" s="35"/>
      <c r="Q23" s="32" t="str">
        <f>监考安排!A23</f>
        <v>公共课室6</v>
      </c>
      <c r="R23" s="32">
        <f>监考安排!B23</f>
        <v>25</v>
      </c>
      <c r="S23" s="33" t="str">
        <f>监考安排!J23</f>
        <v>马嘉骏</v>
      </c>
      <c r="T23" s="34"/>
      <c r="U23" s="35"/>
      <c r="V23" s="35"/>
      <c r="W23" s="33" t="str">
        <f>监考安排!L23</f>
        <v>许业琳</v>
      </c>
      <c r="X23" s="35"/>
      <c r="Y23" s="33" t="str">
        <f>监考安排!M23</f>
        <v>周罗洁</v>
      </c>
      <c r="Z23" s="34"/>
      <c r="AA23" s="35"/>
      <c r="AB23" s="35"/>
      <c r="AC23" s="33" t="str">
        <f>监考安排!O23</f>
        <v>张玉静</v>
      </c>
      <c r="AD23" s="35"/>
    </row>
    <row r="24" ht="20" customHeight="1" spans="1:30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</row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 spans="7:29">
      <c r="G33" s="37"/>
      <c r="H33" s="37"/>
      <c r="K33" s="38"/>
      <c r="L33" s="38"/>
      <c r="O33" s="37"/>
      <c r="AC33" s="37"/>
    </row>
    <row r="34" ht="20" customHeight="1" spans="7:29">
      <c r="G34" s="37"/>
      <c r="H34" s="37"/>
      <c r="K34" s="39"/>
      <c r="L34" s="39"/>
      <c r="O34" s="37"/>
      <c r="AC34" s="37"/>
    </row>
    <row r="35" ht="20" customHeight="1" spans="7:29">
      <c r="G35" s="37"/>
      <c r="H35" s="37"/>
      <c r="K35" s="37"/>
      <c r="L35" s="37"/>
      <c r="O35" s="37"/>
      <c r="AC35" s="37"/>
    </row>
    <row r="36" ht="20" customHeight="1" spans="7:29">
      <c r="G36" s="37"/>
      <c r="H36" s="37"/>
      <c r="K36" s="37"/>
      <c r="L36" s="37"/>
      <c r="O36" s="37"/>
      <c r="AC36" s="37"/>
    </row>
    <row r="37" ht="20" customHeight="1" spans="7:29">
      <c r="G37" s="37"/>
      <c r="H37" s="37"/>
      <c r="K37" s="40"/>
      <c r="L37" s="40"/>
      <c r="O37" s="37"/>
      <c r="AC37" s="37"/>
    </row>
    <row r="38" ht="20" customHeight="1" spans="7:29">
      <c r="G38" s="37"/>
      <c r="H38" s="37"/>
      <c r="K38" s="37"/>
      <c r="L38" s="37"/>
      <c r="O38" s="37"/>
      <c r="AC38" s="37"/>
    </row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</sheetData>
  <mergeCells count="119">
    <mergeCell ref="A1:P1"/>
    <mergeCell ref="Q1:AD1"/>
    <mergeCell ref="C2:P2"/>
    <mergeCell ref="S2:AD2"/>
    <mergeCell ref="C3:D3"/>
    <mergeCell ref="E3:F3"/>
    <mergeCell ref="G3:H3"/>
    <mergeCell ref="I3:J3"/>
    <mergeCell ref="K3:L3"/>
    <mergeCell ref="M3:N3"/>
    <mergeCell ref="S3:T3"/>
    <mergeCell ref="U3:V3"/>
    <mergeCell ref="Y3:Z3"/>
    <mergeCell ref="AA3:AB3"/>
    <mergeCell ref="A24:AB24"/>
    <mergeCell ref="A2:A3"/>
    <mergeCell ref="B2:B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F4:F5"/>
    <mergeCell ref="F6:F7"/>
    <mergeCell ref="F8:F9"/>
    <mergeCell ref="F10:F11"/>
    <mergeCell ref="F12:F13"/>
    <mergeCell ref="F14:F15"/>
    <mergeCell ref="F16:F17"/>
    <mergeCell ref="F18:F19"/>
    <mergeCell ref="F20:F21"/>
    <mergeCell ref="F22:F23"/>
    <mergeCell ref="H4:H5"/>
    <mergeCell ref="H6:H7"/>
    <mergeCell ref="H8:H9"/>
    <mergeCell ref="H10:H11"/>
    <mergeCell ref="H12:H13"/>
    <mergeCell ref="H14:H15"/>
    <mergeCell ref="H16:H17"/>
    <mergeCell ref="H18:H19"/>
    <mergeCell ref="H20:H21"/>
    <mergeCell ref="H22:H23"/>
    <mergeCell ref="J4:J5"/>
    <mergeCell ref="J6:J7"/>
    <mergeCell ref="J8:J9"/>
    <mergeCell ref="J10:J11"/>
    <mergeCell ref="J12:J13"/>
    <mergeCell ref="J14:J15"/>
    <mergeCell ref="J16:J17"/>
    <mergeCell ref="J18:J19"/>
    <mergeCell ref="J20:J21"/>
    <mergeCell ref="J22:J23"/>
    <mergeCell ref="L4:L5"/>
    <mergeCell ref="L6:L7"/>
    <mergeCell ref="L8:L9"/>
    <mergeCell ref="L10:L11"/>
    <mergeCell ref="L12:L13"/>
    <mergeCell ref="L14:L15"/>
    <mergeCell ref="L16:L17"/>
    <mergeCell ref="L18:L19"/>
    <mergeCell ref="L20:L21"/>
    <mergeCell ref="L22:L23"/>
    <mergeCell ref="N4:N5"/>
    <mergeCell ref="N6:N7"/>
    <mergeCell ref="N8:N9"/>
    <mergeCell ref="N10:N11"/>
    <mergeCell ref="N12:N13"/>
    <mergeCell ref="N14:N15"/>
    <mergeCell ref="N16:N17"/>
    <mergeCell ref="N18:N19"/>
    <mergeCell ref="N20:N21"/>
    <mergeCell ref="N22:N23"/>
    <mergeCell ref="Q2:Q3"/>
    <mergeCell ref="R2:R3"/>
    <mergeCell ref="T4:T5"/>
    <mergeCell ref="T6:T7"/>
    <mergeCell ref="T8:T9"/>
    <mergeCell ref="T10:T11"/>
    <mergeCell ref="T12:T13"/>
    <mergeCell ref="T14:T15"/>
    <mergeCell ref="T16:T17"/>
    <mergeCell ref="T18:T19"/>
    <mergeCell ref="T20:T21"/>
    <mergeCell ref="T22:T23"/>
    <mergeCell ref="V4:V5"/>
    <mergeCell ref="V6:V7"/>
    <mergeCell ref="V8:V9"/>
    <mergeCell ref="V10:V11"/>
    <mergeCell ref="V12:V13"/>
    <mergeCell ref="V14:V15"/>
    <mergeCell ref="V16:V17"/>
    <mergeCell ref="V18:V19"/>
    <mergeCell ref="V20:V21"/>
    <mergeCell ref="V22:V23"/>
    <mergeCell ref="Z4:Z5"/>
    <mergeCell ref="Z6:Z7"/>
    <mergeCell ref="Z8:Z9"/>
    <mergeCell ref="Z10:Z11"/>
    <mergeCell ref="Z12:Z13"/>
    <mergeCell ref="Z14:Z15"/>
    <mergeCell ref="Z16:Z17"/>
    <mergeCell ref="Z18:Z19"/>
    <mergeCell ref="Z20:Z21"/>
    <mergeCell ref="Z22:Z23"/>
    <mergeCell ref="AB4:AB5"/>
    <mergeCell ref="AB6:AB7"/>
    <mergeCell ref="AB8:AB9"/>
    <mergeCell ref="AB10:AB11"/>
    <mergeCell ref="AB12:AB13"/>
    <mergeCell ref="AB14:AB15"/>
    <mergeCell ref="AB16:AB17"/>
    <mergeCell ref="AB18:AB19"/>
    <mergeCell ref="AB20:AB21"/>
    <mergeCell ref="AB22:AB23"/>
  </mergeCells>
  <printOptions horizontalCentered="1" verticalCentered="1" gridLines="1"/>
  <pageMargins left="0.118055555555556" right="0.118055555555556" top="0.550694444444444" bottom="0.550694444444444" header="0.314583333333333" footer="0.314583333333333"/>
  <pageSetup paperSize="9" orientation="landscape" horizontalDpi="600"/>
  <headerFooter/>
  <colBreaks count="2" manualBreakCount="2">
    <brk id="16" max="22" man="1"/>
    <brk id="3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M818"/>
  <sheetViews>
    <sheetView topLeftCell="A781" workbookViewId="0">
      <selection activeCell="I2" sqref="I2:I818"/>
    </sheetView>
  </sheetViews>
  <sheetFormatPr defaultColWidth="9" defaultRowHeight="14.25"/>
  <cols>
    <col min="1" max="16384" width="9" style="22"/>
  </cols>
  <sheetData>
    <row r="1" spans="1:13">
      <c r="A1" s="23" t="s">
        <v>190</v>
      </c>
      <c r="B1" s="23" t="s">
        <v>56</v>
      </c>
      <c r="C1" s="23" t="s">
        <v>191</v>
      </c>
      <c r="D1" s="23" t="s">
        <v>192</v>
      </c>
      <c r="E1" s="23" t="s">
        <v>193</v>
      </c>
      <c r="F1" s="23" t="s">
        <v>194</v>
      </c>
      <c r="G1" s="23" t="s">
        <v>195</v>
      </c>
      <c r="H1" s="23" t="s">
        <v>196</v>
      </c>
      <c r="I1" s="23" t="s">
        <v>197</v>
      </c>
      <c r="J1" s="23" t="s">
        <v>198</v>
      </c>
      <c r="K1" s="23" t="s">
        <v>199</v>
      </c>
      <c r="L1" s="23" t="s">
        <v>200</v>
      </c>
      <c r="M1" s="23" t="s">
        <v>201</v>
      </c>
    </row>
    <row r="2" spans="1:13">
      <c r="A2" s="22" t="s">
        <v>202</v>
      </c>
      <c r="B2" s="22" t="s">
        <v>203</v>
      </c>
      <c r="C2" s="22" t="s">
        <v>204</v>
      </c>
      <c r="D2" s="22" t="s">
        <v>205</v>
      </c>
      <c r="E2" s="22">
        <v>7</v>
      </c>
      <c r="F2" s="22">
        <v>1</v>
      </c>
      <c r="G2" s="22" t="s">
        <v>206</v>
      </c>
      <c r="H2" s="22" t="s">
        <v>73</v>
      </c>
      <c r="I2" s="22" t="s">
        <v>207</v>
      </c>
      <c r="J2" s="22" t="s">
        <v>205</v>
      </c>
      <c r="K2" s="22" t="s">
        <v>65</v>
      </c>
      <c r="L2" s="22" t="s">
        <v>67</v>
      </c>
      <c r="M2" s="22" t="s">
        <v>68</v>
      </c>
    </row>
    <row r="3" spans="1:13">
      <c r="A3" s="22" t="s">
        <v>208</v>
      </c>
      <c r="B3" s="22" t="s">
        <v>209</v>
      </c>
      <c r="C3" s="22" t="s">
        <v>204</v>
      </c>
      <c r="D3" s="22" t="s">
        <v>205</v>
      </c>
      <c r="E3" s="22">
        <v>3</v>
      </c>
      <c r="F3" s="22">
        <v>2</v>
      </c>
      <c r="G3" s="22" t="s">
        <v>206</v>
      </c>
      <c r="H3" s="22" t="s">
        <v>73</v>
      </c>
      <c r="I3" s="22" t="s">
        <v>210</v>
      </c>
      <c r="J3" s="22" t="s">
        <v>205</v>
      </c>
      <c r="K3" s="22" t="s">
        <v>65</v>
      </c>
      <c r="L3" s="22" t="s">
        <v>67</v>
      </c>
      <c r="M3" s="22" t="s">
        <v>68</v>
      </c>
    </row>
    <row r="4" spans="1:13">
      <c r="A4" s="22" t="s">
        <v>211</v>
      </c>
      <c r="B4" s="22" t="s">
        <v>212</v>
      </c>
      <c r="C4" s="22" t="s">
        <v>213</v>
      </c>
      <c r="D4" s="22" t="s">
        <v>205</v>
      </c>
      <c r="E4" s="22">
        <v>8</v>
      </c>
      <c r="F4" s="22">
        <v>51</v>
      </c>
      <c r="G4" s="22" t="s">
        <v>206</v>
      </c>
      <c r="H4" s="22" t="s">
        <v>73</v>
      </c>
      <c r="I4" s="22" t="s">
        <v>214</v>
      </c>
      <c r="J4" s="22" t="s">
        <v>205</v>
      </c>
      <c r="K4" s="22" t="s">
        <v>65</v>
      </c>
      <c r="L4" s="22" t="s">
        <v>67</v>
      </c>
      <c r="M4" s="22" t="s">
        <v>68</v>
      </c>
    </row>
    <row r="5" spans="1:13">
      <c r="A5" s="22" t="s">
        <v>215</v>
      </c>
      <c r="B5" s="22" t="s">
        <v>216</v>
      </c>
      <c r="C5" s="22" t="s">
        <v>204</v>
      </c>
      <c r="D5" s="22" t="s">
        <v>205</v>
      </c>
      <c r="E5" s="22">
        <v>5</v>
      </c>
      <c r="F5" s="22">
        <v>18</v>
      </c>
      <c r="G5" s="22" t="s">
        <v>206</v>
      </c>
      <c r="H5" s="22" t="s">
        <v>73</v>
      </c>
      <c r="I5" s="22" t="s">
        <v>217</v>
      </c>
      <c r="J5" s="22" t="s">
        <v>205</v>
      </c>
      <c r="K5" s="22" t="s">
        <v>65</v>
      </c>
      <c r="L5" s="22" t="s">
        <v>67</v>
      </c>
      <c r="M5" s="22" t="s">
        <v>68</v>
      </c>
    </row>
    <row r="6" spans="1:13">
      <c r="A6" s="22" t="s">
        <v>218</v>
      </c>
      <c r="B6" s="22" t="s">
        <v>219</v>
      </c>
      <c r="C6" s="22" t="s">
        <v>204</v>
      </c>
      <c r="D6" s="22" t="s">
        <v>205</v>
      </c>
      <c r="E6" s="22">
        <v>5</v>
      </c>
      <c r="F6" s="22">
        <v>32</v>
      </c>
      <c r="G6" s="22" t="s">
        <v>206</v>
      </c>
      <c r="H6" s="22" t="s">
        <v>73</v>
      </c>
      <c r="I6" s="22" t="s">
        <v>220</v>
      </c>
      <c r="J6" s="22" t="s">
        <v>205</v>
      </c>
      <c r="K6" s="22" t="s">
        <v>65</v>
      </c>
      <c r="L6" s="22" t="s">
        <v>67</v>
      </c>
      <c r="M6" s="22" t="s">
        <v>68</v>
      </c>
    </row>
    <row r="7" spans="1:13">
      <c r="A7" s="22" t="s">
        <v>221</v>
      </c>
      <c r="B7" s="22" t="s">
        <v>222</v>
      </c>
      <c r="C7" s="22" t="s">
        <v>213</v>
      </c>
      <c r="D7" s="22" t="s">
        <v>205</v>
      </c>
      <c r="E7" s="22">
        <v>8</v>
      </c>
      <c r="F7" s="22">
        <v>17</v>
      </c>
      <c r="G7" s="22" t="s">
        <v>206</v>
      </c>
      <c r="H7" s="22" t="s">
        <v>73</v>
      </c>
      <c r="I7" s="22" t="s">
        <v>223</v>
      </c>
      <c r="J7" s="22" t="s">
        <v>205</v>
      </c>
      <c r="K7" s="22" t="s">
        <v>65</v>
      </c>
      <c r="L7" s="22" t="s">
        <v>67</v>
      </c>
      <c r="M7" s="22" t="s">
        <v>68</v>
      </c>
    </row>
    <row r="8" spans="1:13">
      <c r="A8" s="22" t="s">
        <v>224</v>
      </c>
      <c r="B8" s="22" t="s">
        <v>225</v>
      </c>
      <c r="C8" s="22" t="s">
        <v>213</v>
      </c>
      <c r="D8" s="22" t="s">
        <v>205</v>
      </c>
      <c r="E8" s="22">
        <v>4</v>
      </c>
      <c r="F8" s="22">
        <v>6</v>
      </c>
      <c r="G8" s="22" t="s">
        <v>206</v>
      </c>
      <c r="H8" s="22" t="s">
        <v>73</v>
      </c>
      <c r="I8" s="22" t="s">
        <v>226</v>
      </c>
      <c r="J8" s="22" t="s">
        <v>205</v>
      </c>
      <c r="K8" s="22" t="s">
        <v>65</v>
      </c>
      <c r="L8" s="22" t="s">
        <v>67</v>
      </c>
      <c r="M8" s="22" t="s">
        <v>68</v>
      </c>
    </row>
    <row r="9" spans="1:13">
      <c r="A9" s="22" t="s">
        <v>227</v>
      </c>
      <c r="B9" s="22" t="s">
        <v>228</v>
      </c>
      <c r="C9" s="22" t="s">
        <v>213</v>
      </c>
      <c r="D9" s="22" t="s">
        <v>205</v>
      </c>
      <c r="E9" s="22">
        <v>5</v>
      </c>
      <c r="F9" s="22">
        <v>26</v>
      </c>
      <c r="G9" s="22" t="s">
        <v>206</v>
      </c>
      <c r="H9" s="22" t="s">
        <v>73</v>
      </c>
      <c r="I9" s="22" t="s">
        <v>229</v>
      </c>
      <c r="J9" s="22" t="s">
        <v>205</v>
      </c>
      <c r="K9" s="22" t="s">
        <v>65</v>
      </c>
      <c r="L9" s="22" t="s">
        <v>67</v>
      </c>
      <c r="M9" s="22" t="s">
        <v>68</v>
      </c>
    </row>
    <row r="10" spans="1:13">
      <c r="A10" s="22" t="s">
        <v>230</v>
      </c>
      <c r="B10" s="22" t="s">
        <v>231</v>
      </c>
      <c r="C10" s="22" t="s">
        <v>213</v>
      </c>
      <c r="D10" s="22" t="s">
        <v>205</v>
      </c>
      <c r="E10" s="22">
        <v>4</v>
      </c>
      <c r="F10" s="22">
        <v>8</v>
      </c>
      <c r="G10" s="22" t="s">
        <v>206</v>
      </c>
      <c r="H10" s="22" t="s">
        <v>73</v>
      </c>
      <c r="I10" s="22" t="s">
        <v>232</v>
      </c>
      <c r="J10" s="22" t="s">
        <v>205</v>
      </c>
      <c r="K10" s="22" t="s">
        <v>65</v>
      </c>
      <c r="L10" s="22" t="s">
        <v>67</v>
      </c>
      <c r="M10" s="22" t="s">
        <v>68</v>
      </c>
    </row>
    <row r="11" spans="1:13">
      <c r="A11" s="22" t="s">
        <v>233</v>
      </c>
      <c r="B11" s="22" t="s">
        <v>234</v>
      </c>
      <c r="C11" s="22" t="s">
        <v>213</v>
      </c>
      <c r="D11" s="22" t="s">
        <v>205</v>
      </c>
      <c r="E11" s="22">
        <v>9</v>
      </c>
      <c r="F11" s="22">
        <v>16</v>
      </c>
      <c r="G11" s="22" t="s">
        <v>206</v>
      </c>
      <c r="H11" s="22" t="s">
        <v>73</v>
      </c>
      <c r="I11" s="22" t="s">
        <v>235</v>
      </c>
      <c r="J11" s="22" t="s">
        <v>205</v>
      </c>
      <c r="K11" s="22" t="s">
        <v>65</v>
      </c>
      <c r="L11" s="22" t="s">
        <v>67</v>
      </c>
      <c r="M11" s="22" t="s">
        <v>68</v>
      </c>
    </row>
    <row r="12" spans="1:13">
      <c r="A12" s="22" t="s">
        <v>236</v>
      </c>
      <c r="B12" s="22" t="s">
        <v>237</v>
      </c>
      <c r="C12" s="22" t="s">
        <v>204</v>
      </c>
      <c r="D12" s="22" t="s">
        <v>205</v>
      </c>
      <c r="E12" s="22">
        <v>8</v>
      </c>
      <c r="F12" s="22">
        <v>49</v>
      </c>
      <c r="G12" s="22" t="s">
        <v>206</v>
      </c>
      <c r="H12" s="22" t="s">
        <v>73</v>
      </c>
      <c r="I12" s="22" t="s">
        <v>238</v>
      </c>
      <c r="J12" s="22" t="s">
        <v>205</v>
      </c>
      <c r="K12" s="22" t="s">
        <v>65</v>
      </c>
      <c r="L12" s="22" t="s">
        <v>67</v>
      </c>
      <c r="M12" s="22" t="s">
        <v>68</v>
      </c>
    </row>
    <row r="13" spans="1:13">
      <c r="A13" s="22" t="s">
        <v>239</v>
      </c>
      <c r="B13" s="22" t="s">
        <v>240</v>
      </c>
      <c r="C13" s="22" t="s">
        <v>213</v>
      </c>
      <c r="D13" s="22" t="s">
        <v>205</v>
      </c>
      <c r="E13" s="22">
        <v>1</v>
      </c>
      <c r="F13" s="22">
        <v>36</v>
      </c>
      <c r="G13" s="22" t="s">
        <v>206</v>
      </c>
      <c r="H13" s="22" t="s">
        <v>73</v>
      </c>
      <c r="I13" s="22" t="s">
        <v>241</v>
      </c>
      <c r="J13" s="22" t="s">
        <v>205</v>
      </c>
      <c r="K13" s="22" t="s">
        <v>65</v>
      </c>
      <c r="L13" s="22" t="s">
        <v>67</v>
      </c>
      <c r="M13" s="22" t="s">
        <v>68</v>
      </c>
    </row>
    <row r="14" spans="1:13">
      <c r="A14" s="22" t="s">
        <v>242</v>
      </c>
      <c r="B14" s="22" t="s">
        <v>243</v>
      </c>
      <c r="C14" s="22" t="s">
        <v>213</v>
      </c>
      <c r="D14" s="22" t="s">
        <v>205</v>
      </c>
      <c r="E14" s="22">
        <v>5</v>
      </c>
      <c r="F14" s="22">
        <v>12</v>
      </c>
      <c r="G14" s="22" t="s">
        <v>206</v>
      </c>
      <c r="H14" s="22" t="s">
        <v>73</v>
      </c>
      <c r="I14" s="22" t="s">
        <v>244</v>
      </c>
      <c r="J14" s="22" t="s">
        <v>205</v>
      </c>
      <c r="K14" s="22" t="s">
        <v>65</v>
      </c>
      <c r="L14" s="22" t="s">
        <v>67</v>
      </c>
      <c r="M14" s="22" t="s">
        <v>68</v>
      </c>
    </row>
    <row r="15" spans="1:13">
      <c r="A15" s="22" t="s">
        <v>245</v>
      </c>
      <c r="B15" s="22" t="s">
        <v>246</v>
      </c>
      <c r="C15" s="22" t="s">
        <v>213</v>
      </c>
      <c r="D15" s="22" t="s">
        <v>205</v>
      </c>
      <c r="E15" s="22">
        <v>1</v>
      </c>
      <c r="F15" s="22">
        <v>15</v>
      </c>
      <c r="G15" s="22" t="s">
        <v>206</v>
      </c>
      <c r="H15" s="22" t="s">
        <v>73</v>
      </c>
      <c r="I15" s="22" t="s">
        <v>247</v>
      </c>
      <c r="J15" s="22" t="s">
        <v>205</v>
      </c>
      <c r="K15" s="22" t="s">
        <v>65</v>
      </c>
      <c r="L15" s="22" t="s">
        <v>67</v>
      </c>
      <c r="M15" s="22" t="s">
        <v>68</v>
      </c>
    </row>
    <row r="16" spans="1:13">
      <c r="A16" s="22" t="s">
        <v>248</v>
      </c>
      <c r="B16" s="22" t="s">
        <v>249</v>
      </c>
      <c r="C16" s="22" t="s">
        <v>204</v>
      </c>
      <c r="D16" s="22" t="s">
        <v>205</v>
      </c>
      <c r="E16" s="22">
        <v>8</v>
      </c>
      <c r="F16" s="22">
        <v>27</v>
      </c>
      <c r="G16" s="22" t="s">
        <v>206</v>
      </c>
      <c r="H16" s="22" t="s">
        <v>73</v>
      </c>
      <c r="I16" s="22" t="s">
        <v>250</v>
      </c>
      <c r="J16" s="22" t="s">
        <v>205</v>
      </c>
      <c r="K16" s="22" t="s">
        <v>65</v>
      </c>
      <c r="L16" s="22" t="s">
        <v>67</v>
      </c>
      <c r="M16" s="22" t="s">
        <v>68</v>
      </c>
    </row>
    <row r="17" spans="1:13">
      <c r="A17" s="22" t="s">
        <v>251</v>
      </c>
      <c r="B17" s="22" t="s">
        <v>252</v>
      </c>
      <c r="C17" s="22" t="s">
        <v>204</v>
      </c>
      <c r="D17" s="22" t="s">
        <v>205</v>
      </c>
      <c r="E17" s="22">
        <v>2</v>
      </c>
      <c r="F17" s="22">
        <v>42</v>
      </c>
      <c r="G17" s="22" t="s">
        <v>206</v>
      </c>
      <c r="H17" s="22" t="s">
        <v>73</v>
      </c>
      <c r="I17" s="22" t="s">
        <v>253</v>
      </c>
      <c r="J17" s="22" t="s">
        <v>205</v>
      </c>
      <c r="K17" s="22" t="s">
        <v>65</v>
      </c>
      <c r="L17" s="22" t="s">
        <v>67</v>
      </c>
      <c r="M17" s="22" t="s">
        <v>68</v>
      </c>
    </row>
    <row r="18" spans="1:13">
      <c r="A18" s="22" t="s">
        <v>254</v>
      </c>
      <c r="B18" s="22" t="s">
        <v>255</v>
      </c>
      <c r="C18" s="22" t="s">
        <v>204</v>
      </c>
      <c r="D18" s="22" t="s">
        <v>205</v>
      </c>
      <c r="E18" s="22">
        <v>6</v>
      </c>
      <c r="F18" s="22">
        <v>42</v>
      </c>
      <c r="G18" s="22" t="s">
        <v>206</v>
      </c>
      <c r="H18" s="22" t="s">
        <v>73</v>
      </c>
      <c r="I18" s="22" t="s">
        <v>256</v>
      </c>
      <c r="J18" s="22" t="s">
        <v>205</v>
      </c>
      <c r="K18" s="22" t="s">
        <v>65</v>
      </c>
      <c r="L18" s="22" t="s">
        <v>67</v>
      </c>
      <c r="M18" s="22" t="s">
        <v>68</v>
      </c>
    </row>
    <row r="19" spans="1:13">
      <c r="A19" s="22" t="s">
        <v>257</v>
      </c>
      <c r="B19" s="22" t="s">
        <v>258</v>
      </c>
      <c r="C19" s="22" t="s">
        <v>204</v>
      </c>
      <c r="D19" s="22" t="s">
        <v>205</v>
      </c>
      <c r="E19" s="22">
        <v>5</v>
      </c>
      <c r="F19" s="22">
        <v>25</v>
      </c>
      <c r="G19" s="22" t="s">
        <v>206</v>
      </c>
      <c r="H19" s="22" t="s">
        <v>73</v>
      </c>
      <c r="I19" s="22" t="s">
        <v>259</v>
      </c>
      <c r="J19" s="22" t="s">
        <v>205</v>
      </c>
      <c r="K19" s="22" t="s">
        <v>65</v>
      </c>
      <c r="L19" s="22" t="s">
        <v>67</v>
      </c>
      <c r="M19" s="22" t="s">
        <v>68</v>
      </c>
    </row>
    <row r="20" spans="1:13">
      <c r="A20" s="22" t="s">
        <v>260</v>
      </c>
      <c r="B20" s="22" t="s">
        <v>261</v>
      </c>
      <c r="C20" s="22" t="s">
        <v>204</v>
      </c>
      <c r="D20" s="22" t="s">
        <v>205</v>
      </c>
      <c r="E20" s="22">
        <v>4</v>
      </c>
      <c r="F20" s="22">
        <v>4</v>
      </c>
      <c r="G20" s="22" t="s">
        <v>206</v>
      </c>
      <c r="H20" s="22" t="s">
        <v>73</v>
      </c>
      <c r="I20" s="22" t="s">
        <v>262</v>
      </c>
      <c r="J20" s="22" t="s">
        <v>205</v>
      </c>
      <c r="K20" s="22" t="s">
        <v>65</v>
      </c>
      <c r="L20" s="22" t="s">
        <v>67</v>
      </c>
      <c r="M20" s="22" t="s">
        <v>68</v>
      </c>
    </row>
    <row r="21" spans="1:13">
      <c r="A21" s="22" t="s">
        <v>263</v>
      </c>
      <c r="B21" s="22" t="s">
        <v>264</v>
      </c>
      <c r="C21" s="22" t="s">
        <v>204</v>
      </c>
      <c r="D21" s="22" t="s">
        <v>205</v>
      </c>
      <c r="E21" s="22">
        <v>8</v>
      </c>
      <c r="F21" s="22">
        <v>48</v>
      </c>
      <c r="G21" s="22" t="s">
        <v>206</v>
      </c>
      <c r="H21" s="22" t="s">
        <v>73</v>
      </c>
      <c r="I21" s="22" t="s">
        <v>265</v>
      </c>
      <c r="J21" s="22" t="s">
        <v>205</v>
      </c>
      <c r="K21" s="22" t="s">
        <v>65</v>
      </c>
      <c r="L21" s="22" t="s">
        <v>67</v>
      </c>
      <c r="M21" s="22" t="s">
        <v>68</v>
      </c>
    </row>
    <row r="22" spans="1:13">
      <c r="A22" s="22" t="s">
        <v>266</v>
      </c>
      <c r="B22" s="22" t="s">
        <v>267</v>
      </c>
      <c r="C22" s="22" t="s">
        <v>213</v>
      </c>
      <c r="D22" s="22" t="s">
        <v>205</v>
      </c>
      <c r="E22" s="22">
        <v>7</v>
      </c>
      <c r="F22" s="22">
        <v>31</v>
      </c>
      <c r="G22" s="22" t="s">
        <v>206</v>
      </c>
      <c r="H22" s="22" t="s">
        <v>73</v>
      </c>
      <c r="I22" s="22" t="s">
        <v>268</v>
      </c>
      <c r="J22" s="22" t="s">
        <v>205</v>
      </c>
      <c r="K22" s="22" t="s">
        <v>65</v>
      </c>
      <c r="L22" s="22" t="s">
        <v>67</v>
      </c>
      <c r="M22" s="22" t="s">
        <v>68</v>
      </c>
    </row>
    <row r="23" spans="1:13">
      <c r="A23" s="22" t="s">
        <v>269</v>
      </c>
      <c r="B23" s="22" t="s">
        <v>270</v>
      </c>
      <c r="C23" s="22" t="s">
        <v>213</v>
      </c>
      <c r="D23" s="22" t="s">
        <v>205</v>
      </c>
      <c r="E23" s="22">
        <v>3</v>
      </c>
      <c r="F23" s="22">
        <v>5</v>
      </c>
      <c r="G23" s="22" t="s">
        <v>206</v>
      </c>
      <c r="H23" s="22" t="s">
        <v>73</v>
      </c>
      <c r="I23" s="22" t="s">
        <v>271</v>
      </c>
      <c r="J23" s="22" t="s">
        <v>205</v>
      </c>
      <c r="K23" s="22" t="s">
        <v>65</v>
      </c>
      <c r="L23" s="22" t="s">
        <v>67</v>
      </c>
      <c r="M23" s="22" t="s">
        <v>68</v>
      </c>
    </row>
    <row r="24" spans="1:13">
      <c r="A24" s="22" t="s">
        <v>272</v>
      </c>
      <c r="B24" s="22" t="s">
        <v>273</v>
      </c>
      <c r="C24" s="22" t="s">
        <v>213</v>
      </c>
      <c r="D24" s="22" t="s">
        <v>205</v>
      </c>
      <c r="E24" s="22">
        <v>2</v>
      </c>
      <c r="F24" s="22">
        <v>12</v>
      </c>
      <c r="G24" s="22" t="s">
        <v>206</v>
      </c>
      <c r="H24" s="22" t="s">
        <v>73</v>
      </c>
      <c r="I24" s="22" t="s">
        <v>274</v>
      </c>
      <c r="J24" s="22" t="s">
        <v>205</v>
      </c>
      <c r="K24" s="22" t="s">
        <v>65</v>
      </c>
      <c r="L24" s="22" t="s">
        <v>67</v>
      </c>
      <c r="M24" s="22" t="s">
        <v>68</v>
      </c>
    </row>
    <row r="25" spans="1:13">
      <c r="A25" s="22" t="s">
        <v>275</v>
      </c>
      <c r="B25" s="22" t="s">
        <v>276</v>
      </c>
      <c r="C25" s="22" t="s">
        <v>204</v>
      </c>
      <c r="D25" s="22" t="s">
        <v>205</v>
      </c>
      <c r="E25" s="22">
        <v>5</v>
      </c>
      <c r="F25" s="22">
        <v>31</v>
      </c>
      <c r="G25" s="22" t="s">
        <v>206</v>
      </c>
      <c r="H25" s="22" t="s">
        <v>73</v>
      </c>
      <c r="I25" s="22" t="s">
        <v>277</v>
      </c>
      <c r="J25" s="22" t="s">
        <v>205</v>
      </c>
      <c r="K25" s="22" t="s">
        <v>65</v>
      </c>
      <c r="L25" s="22" t="s">
        <v>67</v>
      </c>
      <c r="M25" s="22" t="s">
        <v>68</v>
      </c>
    </row>
    <row r="26" spans="1:13">
      <c r="A26" s="22" t="s">
        <v>278</v>
      </c>
      <c r="B26" s="22" t="s">
        <v>279</v>
      </c>
      <c r="C26" s="22" t="s">
        <v>213</v>
      </c>
      <c r="D26" s="22" t="s">
        <v>205</v>
      </c>
      <c r="E26" s="22">
        <v>2</v>
      </c>
      <c r="F26" s="22">
        <v>23</v>
      </c>
      <c r="G26" s="22" t="s">
        <v>206</v>
      </c>
      <c r="H26" s="22" t="s">
        <v>73</v>
      </c>
      <c r="I26" s="22" t="s">
        <v>280</v>
      </c>
      <c r="J26" s="22" t="s">
        <v>205</v>
      </c>
      <c r="K26" s="22" t="s">
        <v>65</v>
      </c>
      <c r="L26" s="22" t="s">
        <v>67</v>
      </c>
      <c r="M26" s="22" t="s">
        <v>68</v>
      </c>
    </row>
    <row r="27" spans="1:13">
      <c r="A27" s="22" t="s">
        <v>281</v>
      </c>
      <c r="B27" s="22" t="s">
        <v>282</v>
      </c>
      <c r="C27" s="22" t="s">
        <v>213</v>
      </c>
      <c r="D27" s="22" t="s">
        <v>205</v>
      </c>
      <c r="E27" s="22">
        <v>6</v>
      </c>
      <c r="F27" s="22">
        <v>35</v>
      </c>
      <c r="G27" s="22" t="s">
        <v>206</v>
      </c>
      <c r="H27" s="22" t="s">
        <v>73</v>
      </c>
      <c r="I27" s="22" t="s">
        <v>283</v>
      </c>
      <c r="J27" s="22" t="s">
        <v>205</v>
      </c>
      <c r="K27" s="22" t="s">
        <v>65</v>
      </c>
      <c r="L27" s="22" t="s">
        <v>67</v>
      </c>
      <c r="M27" s="22" t="s">
        <v>68</v>
      </c>
    </row>
    <row r="28" spans="1:13">
      <c r="A28" s="22" t="s">
        <v>284</v>
      </c>
      <c r="B28" s="22" t="s">
        <v>285</v>
      </c>
      <c r="C28" s="22" t="s">
        <v>204</v>
      </c>
      <c r="D28" s="22" t="s">
        <v>205</v>
      </c>
      <c r="E28" s="22">
        <v>4</v>
      </c>
      <c r="F28" s="22">
        <v>49</v>
      </c>
      <c r="G28" s="22" t="s">
        <v>206</v>
      </c>
      <c r="H28" s="22" t="s">
        <v>73</v>
      </c>
      <c r="I28" s="22" t="s">
        <v>286</v>
      </c>
      <c r="J28" s="22" t="s">
        <v>205</v>
      </c>
      <c r="K28" s="22" t="s">
        <v>65</v>
      </c>
      <c r="L28" s="22" t="s">
        <v>67</v>
      </c>
      <c r="M28" s="22" t="s">
        <v>68</v>
      </c>
    </row>
    <row r="29" spans="1:13">
      <c r="A29" s="22" t="s">
        <v>287</v>
      </c>
      <c r="B29" s="22" t="s">
        <v>288</v>
      </c>
      <c r="C29" s="22" t="s">
        <v>204</v>
      </c>
      <c r="D29" s="22" t="s">
        <v>205</v>
      </c>
      <c r="E29" s="22">
        <v>6</v>
      </c>
      <c r="F29" s="22">
        <v>28</v>
      </c>
      <c r="G29" s="22" t="s">
        <v>206</v>
      </c>
      <c r="H29" s="22" t="s">
        <v>73</v>
      </c>
      <c r="I29" s="22" t="s">
        <v>289</v>
      </c>
      <c r="J29" s="22" t="s">
        <v>205</v>
      </c>
      <c r="K29" s="22" t="s">
        <v>65</v>
      </c>
      <c r="L29" s="22" t="s">
        <v>67</v>
      </c>
      <c r="M29" s="22" t="s">
        <v>68</v>
      </c>
    </row>
    <row r="30" spans="1:13">
      <c r="A30" s="22" t="s">
        <v>290</v>
      </c>
      <c r="B30" s="22" t="s">
        <v>291</v>
      </c>
      <c r="C30" s="22" t="s">
        <v>213</v>
      </c>
      <c r="D30" s="22" t="s">
        <v>205</v>
      </c>
      <c r="E30" s="22">
        <v>9</v>
      </c>
      <c r="F30" s="22">
        <v>44</v>
      </c>
      <c r="G30" s="22" t="s">
        <v>206</v>
      </c>
      <c r="H30" s="22" t="s">
        <v>73</v>
      </c>
      <c r="I30" s="22" t="s">
        <v>292</v>
      </c>
      <c r="J30" s="22" t="s">
        <v>205</v>
      </c>
      <c r="K30" s="22" t="s">
        <v>65</v>
      </c>
      <c r="L30" s="22" t="s">
        <v>67</v>
      </c>
      <c r="M30" s="22" t="s">
        <v>68</v>
      </c>
    </row>
    <row r="31" spans="1:13">
      <c r="A31" s="22" t="s">
        <v>293</v>
      </c>
      <c r="B31" s="22" t="s">
        <v>294</v>
      </c>
      <c r="C31" s="22" t="s">
        <v>213</v>
      </c>
      <c r="D31" s="22" t="s">
        <v>205</v>
      </c>
      <c r="E31" s="22">
        <v>6</v>
      </c>
      <c r="F31" s="22">
        <v>10</v>
      </c>
      <c r="G31" s="22" t="s">
        <v>206</v>
      </c>
      <c r="H31" s="22" t="s">
        <v>73</v>
      </c>
      <c r="I31" s="22" t="s">
        <v>295</v>
      </c>
      <c r="J31" s="22" t="s">
        <v>205</v>
      </c>
      <c r="K31" s="22" t="s">
        <v>65</v>
      </c>
      <c r="L31" s="22" t="s">
        <v>67</v>
      </c>
      <c r="M31" s="22" t="s">
        <v>68</v>
      </c>
    </row>
    <row r="32" spans="1:13">
      <c r="A32" s="22" t="s">
        <v>296</v>
      </c>
      <c r="B32" s="22" t="s">
        <v>297</v>
      </c>
      <c r="C32" s="22" t="s">
        <v>213</v>
      </c>
      <c r="D32" s="22" t="s">
        <v>205</v>
      </c>
      <c r="E32" s="22">
        <v>2</v>
      </c>
      <c r="F32" s="22">
        <v>11</v>
      </c>
      <c r="G32" s="22" t="s">
        <v>206</v>
      </c>
      <c r="H32" s="22" t="s">
        <v>73</v>
      </c>
      <c r="I32" s="22" t="s">
        <v>298</v>
      </c>
      <c r="J32" s="22" t="s">
        <v>205</v>
      </c>
      <c r="K32" s="22" t="s">
        <v>65</v>
      </c>
      <c r="L32" s="22" t="s">
        <v>67</v>
      </c>
      <c r="M32" s="22" t="s">
        <v>68</v>
      </c>
    </row>
    <row r="33" spans="1:13">
      <c r="A33" s="22" t="s">
        <v>299</v>
      </c>
      <c r="B33" s="22" t="s">
        <v>300</v>
      </c>
      <c r="C33" s="22" t="s">
        <v>213</v>
      </c>
      <c r="D33" s="22" t="s">
        <v>205</v>
      </c>
      <c r="E33" s="22">
        <v>4</v>
      </c>
      <c r="F33" s="22">
        <v>14</v>
      </c>
      <c r="G33" s="22" t="s">
        <v>206</v>
      </c>
      <c r="H33" s="22" t="s">
        <v>73</v>
      </c>
      <c r="I33" s="22" t="s">
        <v>301</v>
      </c>
      <c r="J33" s="22" t="s">
        <v>205</v>
      </c>
      <c r="K33" s="22" t="s">
        <v>65</v>
      </c>
      <c r="L33" s="22" t="s">
        <v>67</v>
      </c>
      <c r="M33" s="22" t="s">
        <v>68</v>
      </c>
    </row>
    <row r="34" spans="1:13">
      <c r="A34" s="22" t="s">
        <v>302</v>
      </c>
      <c r="B34" s="22" t="s">
        <v>303</v>
      </c>
      <c r="C34" s="22" t="s">
        <v>213</v>
      </c>
      <c r="D34" s="22" t="s">
        <v>205</v>
      </c>
      <c r="E34" s="22">
        <v>3</v>
      </c>
      <c r="F34" s="22">
        <v>37</v>
      </c>
      <c r="G34" s="22" t="s">
        <v>206</v>
      </c>
      <c r="H34" s="22" t="s">
        <v>73</v>
      </c>
      <c r="I34" s="22" t="s">
        <v>304</v>
      </c>
      <c r="J34" s="22" t="s">
        <v>205</v>
      </c>
      <c r="K34" s="22" t="s">
        <v>65</v>
      </c>
      <c r="L34" s="22" t="s">
        <v>67</v>
      </c>
      <c r="M34" s="22" t="s">
        <v>68</v>
      </c>
    </row>
    <row r="35" spans="1:13">
      <c r="A35" s="22" t="s">
        <v>305</v>
      </c>
      <c r="B35" s="22" t="s">
        <v>306</v>
      </c>
      <c r="C35" s="22" t="s">
        <v>213</v>
      </c>
      <c r="D35" s="22" t="s">
        <v>205</v>
      </c>
      <c r="E35" s="22">
        <v>9</v>
      </c>
      <c r="F35" s="22">
        <v>53</v>
      </c>
      <c r="G35" s="22" t="s">
        <v>206</v>
      </c>
      <c r="H35" s="22" t="s">
        <v>73</v>
      </c>
      <c r="I35" s="22" t="s">
        <v>307</v>
      </c>
      <c r="J35" s="22" t="s">
        <v>205</v>
      </c>
      <c r="K35" s="22" t="s">
        <v>65</v>
      </c>
      <c r="L35" s="22" t="s">
        <v>67</v>
      </c>
      <c r="M35" s="22" t="s">
        <v>68</v>
      </c>
    </row>
    <row r="36" spans="1:13">
      <c r="A36" s="22" t="s">
        <v>308</v>
      </c>
      <c r="B36" s="22" t="s">
        <v>309</v>
      </c>
      <c r="C36" s="22" t="s">
        <v>213</v>
      </c>
      <c r="D36" s="22" t="s">
        <v>205</v>
      </c>
      <c r="E36" s="22">
        <v>9</v>
      </c>
      <c r="F36" s="22">
        <v>17</v>
      </c>
      <c r="G36" s="22" t="s">
        <v>206</v>
      </c>
      <c r="H36" s="22" t="s">
        <v>73</v>
      </c>
      <c r="I36" s="22" t="s">
        <v>310</v>
      </c>
      <c r="J36" s="22" t="s">
        <v>205</v>
      </c>
      <c r="K36" s="22" t="s">
        <v>65</v>
      </c>
      <c r="L36" s="22" t="s">
        <v>67</v>
      </c>
      <c r="M36" s="22" t="s">
        <v>68</v>
      </c>
    </row>
    <row r="37" spans="1:13">
      <c r="A37" s="22" t="s">
        <v>311</v>
      </c>
      <c r="B37" s="22" t="s">
        <v>312</v>
      </c>
      <c r="C37" s="22" t="s">
        <v>213</v>
      </c>
      <c r="D37" s="22" t="s">
        <v>205</v>
      </c>
      <c r="E37" s="22">
        <v>4</v>
      </c>
      <c r="F37" s="22">
        <v>39</v>
      </c>
      <c r="G37" s="22" t="s">
        <v>206</v>
      </c>
      <c r="H37" s="22" t="s">
        <v>73</v>
      </c>
      <c r="I37" s="22" t="s">
        <v>313</v>
      </c>
      <c r="J37" s="22" t="s">
        <v>205</v>
      </c>
      <c r="K37" s="22" t="s">
        <v>65</v>
      </c>
      <c r="L37" s="22" t="s">
        <v>67</v>
      </c>
      <c r="M37" s="22" t="s">
        <v>68</v>
      </c>
    </row>
    <row r="38" spans="1:13">
      <c r="A38" s="22" t="s">
        <v>314</v>
      </c>
      <c r="B38" s="22" t="s">
        <v>315</v>
      </c>
      <c r="C38" s="22" t="s">
        <v>204</v>
      </c>
      <c r="D38" s="22" t="s">
        <v>205</v>
      </c>
      <c r="E38" s="22">
        <v>8</v>
      </c>
      <c r="F38" s="22">
        <v>39</v>
      </c>
      <c r="G38" s="22" t="s">
        <v>206</v>
      </c>
      <c r="H38" s="22" t="s">
        <v>73</v>
      </c>
      <c r="I38" s="22" t="s">
        <v>316</v>
      </c>
      <c r="J38" s="22" t="s">
        <v>205</v>
      </c>
      <c r="K38" s="22" t="s">
        <v>65</v>
      </c>
      <c r="L38" s="22" t="s">
        <v>67</v>
      </c>
      <c r="M38" s="22" t="s">
        <v>68</v>
      </c>
    </row>
    <row r="39" spans="1:13">
      <c r="A39" s="22" t="s">
        <v>317</v>
      </c>
      <c r="B39" s="22" t="s">
        <v>318</v>
      </c>
      <c r="C39" s="22" t="s">
        <v>213</v>
      </c>
      <c r="D39" s="22" t="s">
        <v>205</v>
      </c>
      <c r="E39" s="22">
        <v>4</v>
      </c>
      <c r="F39" s="22">
        <v>45</v>
      </c>
      <c r="G39" s="22" t="s">
        <v>206</v>
      </c>
      <c r="H39" s="22" t="s">
        <v>73</v>
      </c>
      <c r="I39" s="22" t="s">
        <v>319</v>
      </c>
      <c r="J39" s="22" t="s">
        <v>205</v>
      </c>
      <c r="K39" s="22" t="s">
        <v>65</v>
      </c>
      <c r="L39" s="22" t="s">
        <v>67</v>
      </c>
      <c r="M39" s="22" t="s">
        <v>68</v>
      </c>
    </row>
    <row r="40" spans="1:13">
      <c r="A40" s="22" t="s">
        <v>320</v>
      </c>
      <c r="B40" s="22" t="s">
        <v>321</v>
      </c>
      <c r="C40" s="22" t="s">
        <v>213</v>
      </c>
      <c r="D40" s="22" t="s">
        <v>205</v>
      </c>
      <c r="E40" s="22">
        <v>8</v>
      </c>
      <c r="F40" s="22">
        <v>7</v>
      </c>
      <c r="G40" s="22" t="s">
        <v>206</v>
      </c>
      <c r="H40" s="22" t="s">
        <v>73</v>
      </c>
      <c r="I40" s="22" t="s">
        <v>322</v>
      </c>
      <c r="J40" s="22" t="s">
        <v>205</v>
      </c>
      <c r="K40" s="22" t="s">
        <v>65</v>
      </c>
      <c r="L40" s="22" t="s">
        <v>67</v>
      </c>
      <c r="M40" s="22" t="s">
        <v>68</v>
      </c>
    </row>
    <row r="41" spans="1:13">
      <c r="A41" s="22" t="s">
        <v>323</v>
      </c>
      <c r="B41" s="22" t="s">
        <v>324</v>
      </c>
      <c r="C41" s="22" t="s">
        <v>213</v>
      </c>
      <c r="D41" s="22" t="s">
        <v>205</v>
      </c>
      <c r="E41" s="22">
        <v>4</v>
      </c>
      <c r="F41" s="22">
        <v>10</v>
      </c>
      <c r="G41" s="22" t="s">
        <v>206</v>
      </c>
      <c r="H41" s="22" t="s">
        <v>73</v>
      </c>
      <c r="I41" s="22" t="s">
        <v>325</v>
      </c>
      <c r="J41" s="22" t="s">
        <v>205</v>
      </c>
      <c r="K41" s="22" t="s">
        <v>65</v>
      </c>
      <c r="L41" s="22" t="s">
        <v>67</v>
      </c>
      <c r="M41" s="22" t="s">
        <v>68</v>
      </c>
    </row>
    <row r="42" spans="1:13">
      <c r="A42" s="22" t="s">
        <v>326</v>
      </c>
      <c r="B42" s="22" t="s">
        <v>327</v>
      </c>
      <c r="C42" s="22" t="s">
        <v>213</v>
      </c>
      <c r="D42" s="22" t="s">
        <v>205</v>
      </c>
      <c r="E42" s="22">
        <v>3</v>
      </c>
      <c r="F42" s="22">
        <v>22</v>
      </c>
      <c r="G42" s="22" t="s">
        <v>206</v>
      </c>
      <c r="H42" s="22" t="s">
        <v>73</v>
      </c>
      <c r="I42" s="22" t="s">
        <v>328</v>
      </c>
      <c r="J42" s="22" t="s">
        <v>205</v>
      </c>
      <c r="K42" s="22" t="s">
        <v>65</v>
      </c>
      <c r="L42" s="22" t="s">
        <v>67</v>
      </c>
      <c r="M42" s="22" t="s">
        <v>68</v>
      </c>
    </row>
    <row r="43" spans="1:13">
      <c r="A43" s="22" t="s">
        <v>329</v>
      </c>
      <c r="B43" s="22" t="s">
        <v>330</v>
      </c>
      <c r="C43" s="22" t="s">
        <v>213</v>
      </c>
      <c r="D43" s="22" t="s">
        <v>205</v>
      </c>
      <c r="E43" s="22">
        <v>1</v>
      </c>
      <c r="F43" s="22">
        <v>11</v>
      </c>
      <c r="G43" s="22" t="s">
        <v>206</v>
      </c>
      <c r="H43" s="22" t="s">
        <v>73</v>
      </c>
      <c r="I43" s="22" t="s">
        <v>331</v>
      </c>
      <c r="J43" s="22" t="s">
        <v>205</v>
      </c>
      <c r="K43" s="22" t="s">
        <v>65</v>
      </c>
      <c r="L43" s="22" t="s">
        <v>67</v>
      </c>
      <c r="M43" s="22" t="s">
        <v>68</v>
      </c>
    </row>
    <row r="44" spans="1:13">
      <c r="A44" s="22" t="s">
        <v>332</v>
      </c>
      <c r="B44" s="22" t="s">
        <v>333</v>
      </c>
      <c r="C44" s="22" t="s">
        <v>204</v>
      </c>
      <c r="D44" s="22" t="s">
        <v>205</v>
      </c>
      <c r="E44" s="22">
        <v>5</v>
      </c>
      <c r="F44" s="22">
        <v>15</v>
      </c>
      <c r="G44" s="22" t="s">
        <v>334</v>
      </c>
      <c r="H44" s="22" t="s">
        <v>86</v>
      </c>
      <c r="I44" s="22" t="s">
        <v>207</v>
      </c>
      <c r="J44" s="22" t="s">
        <v>205</v>
      </c>
      <c r="K44" s="22" t="s">
        <v>65</v>
      </c>
      <c r="L44" s="22" t="s">
        <v>67</v>
      </c>
      <c r="M44" s="22" t="s">
        <v>68</v>
      </c>
    </row>
    <row r="45" spans="1:13">
      <c r="A45" s="22" t="s">
        <v>335</v>
      </c>
      <c r="B45" s="22" t="s">
        <v>336</v>
      </c>
      <c r="C45" s="22" t="s">
        <v>213</v>
      </c>
      <c r="D45" s="22" t="s">
        <v>205</v>
      </c>
      <c r="E45" s="22">
        <v>2</v>
      </c>
      <c r="F45" s="22">
        <v>3</v>
      </c>
      <c r="G45" s="22" t="s">
        <v>334</v>
      </c>
      <c r="H45" s="22" t="s">
        <v>86</v>
      </c>
      <c r="I45" s="22" t="s">
        <v>210</v>
      </c>
      <c r="J45" s="22" t="s">
        <v>205</v>
      </c>
      <c r="K45" s="22" t="s">
        <v>65</v>
      </c>
      <c r="L45" s="22" t="s">
        <v>67</v>
      </c>
      <c r="M45" s="22" t="s">
        <v>68</v>
      </c>
    </row>
    <row r="46" spans="1:13">
      <c r="A46" s="22" t="s">
        <v>337</v>
      </c>
      <c r="B46" s="22" t="s">
        <v>338</v>
      </c>
      <c r="C46" s="22" t="s">
        <v>213</v>
      </c>
      <c r="D46" s="22" t="s">
        <v>205</v>
      </c>
      <c r="E46" s="22">
        <v>6</v>
      </c>
      <c r="F46" s="22">
        <v>43</v>
      </c>
      <c r="G46" s="22" t="s">
        <v>334</v>
      </c>
      <c r="H46" s="22" t="s">
        <v>86</v>
      </c>
      <c r="I46" s="22" t="s">
        <v>214</v>
      </c>
      <c r="J46" s="22" t="s">
        <v>205</v>
      </c>
      <c r="K46" s="22" t="s">
        <v>65</v>
      </c>
      <c r="L46" s="22" t="s">
        <v>67</v>
      </c>
      <c r="M46" s="22" t="s">
        <v>68</v>
      </c>
    </row>
    <row r="47" spans="1:13">
      <c r="A47" s="22" t="s">
        <v>339</v>
      </c>
      <c r="B47" s="22" t="s">
        <v>340</v>
      </c>
      <c r="C47" s="22" t="s">
        <v>213</v>
      </c>
      <c r="D47" s="22" t="s">
        <v>205</v>
      </c>
      <c r="E47" s="22">
        <v>7</v>
      </c>
      <c r="F47" s="22">
        <v>40</v>
      </c>
      <c r="G47" s="22" t="s">
        <v>334</v>
      </c>
      <c r="H47" s="22" t="s">
        <v>86</v>
      </c>
      <c r="I47" s="22" t="s">
        <v>217</v>
      </c>
      <c r="J47" s="22" t="s">
        <v>205</v>
      </c>
      <c r="K47" s="22" t="s">
        <v>65</v>
      </c>
      <c r="L47" s="22" t="s">
        <v>67</v>
      </c>
      <c r="M47" s="22" t="s">
        <v>68</v>
      </c>
    </row>
    <row r="48" spans="1:13">
      <c r="A48" s="22" t="s">
        <v>341</v>
      </c>
      <c r="B48" s="22" t="s">
        <v>342</v>
      </c>
      <c r="C48" s="22" t="s">
        <v>213</v>
      </c>
      <c r="D48" s="22" t="s">
        <v>205</v>
      </c>
      <c r="E48" s="22">
        <v>6</v>
      </c>
      <c r="F48" s="22">
        <v>48</v>
      </c>
      <c r="G48" s="22" t="s">
        <v>334</v>
      </c>
      <c r="H48" s="22" t="s">
        <v>86</v>
      </c>
      <c r="I48" s="22" t="s">
        <v>220</v>
      </c>
      <c r="J48" s="22" t="s">
        <v>205</v>
      </c>
      <c r="K48" s="22" t="s">
        <v>65</v>
      </c>
      <c r="L48" s="22" t="s">
        <v>67</v>
      </c>
      <c r="M48" s="22" t="s">
        <v>68</v>
      </c>
    </row>
    <row r="49" spans="1:13">
      <c r="A49" s="22" t="s">
        <v>343</v>
      </c>
      <c r="B49" s="22" t="s">
        <v>344</v>
      </c>
      <c r="C49" s="22" t="s">
        <v>213</v>
      </c>
      <c r="D49" s="22" t="s">
        <v>205</v>
      </c>
      <c r="E49" s="22">
        <v>8</v>
      </c>
      <c r="F49" s="22">
        <v>18</v>
      </c>
      <c r="G49" s="22" t="s">
        <v>334</v>
      </c>
      <c r="H49" s="22" t="s">
        <v>86</v>
      </c>
      <c r="I49" s="22" t="s">
        <v>223</v>
      </c>
      <c r="J49" s="22" t="s">
        <v>205</v>
      </c>
      <c r="K49" s="22" t="s">
        <v>65</v>
      </c>
      <c r="L49" s="22" t="s">
        <v>67</v>
      </c>
      <c r="M49" s="22" t="s">
        <v>68</v>
      </c>
    </row>
    <row r="50" spans="1:13">
      <c r="A50" s="22" t="s">
        <v>345</v>
      </c>
      <c r="B50" s="22" t="s">
        <v>346</v>
      </c>
      <c r="C50" s="22" t="s">
        <v>213</v>
      </c>
      <c r="D50" s="22" t="s">
        <v>205</v>
      </c>
      <c r="E50" s="22">
        <v>3</v>
      </c>
      <c r="F50" s="22">
        <v>38</v>
      </c>
      <c r="G50" s="22" t="s">
        <v>334</v>
      </c>
      <c r="H50" s="22" t="s">
        <v>86</v>
      </c>
      <c r="I50" s="22" t="s">
        <v>226</v>
      </c>
      <c r="J50" s="22" t="s">
        <v>205</v>
      </c>
      <c r="K50" s="22" t="s">
        <v>65</v>
      </c>
      <c r="L50" s="22" t="s">
        <v>67</v>
      </c>
      <c r="M50" s="22" t="s">
        <v>68</v>
      </c>
    </row>
    <row r="51" spans="1:13">
      <c r="A51" s="22" t="s">
        <v>347</v>
      </c>
      <c r="B51" s="22" t="s">
        <v>348</v>
      </c>
      <c r="C51" s="22" t="s">
        <v>204</v>
      </c>
      <c r="D51" s="22" t="s">
        <v>205</v>
      </c>
      <c r="E51" s="22">
        <v>9</v>
      </c>
      <c r="F51" s="22">
        <v>25</v>
      </c>
      <c r="G51" s="22" t="s">
        <v>334</v>
      </c>
      <c r="H51" s="22" t="s">
        <v>86</v>
      </c>
      <c r="I51" s="22" t="s">
        <v>229</v>
      </c>
      <c r="J51" s="22" t="s">
        <v>205</v>
      </c>
      <c r="K51" s="22" t="s">
        <v>65</v>
      </c>
      <c r="L51" s="22" t="s">
        <v>67</v>
      </c>
      <c r="M51" s="22" t="s">
        <v>68</v>
      </c>
    </row>
    <row r="52" spans="1:13">
      <c r="A52" s="22" t="s">
        <v>349</v>
      </c>
      <c r="B52" s="22" t="s">
        <v>350</v>
      </c>
      <c r="C52" s="22" t="s">
        <v>213</v>
      </c>
      <c r="D52" s="22" t="s">
        <v>205</v>
      </c>
      <c r="E52" s="22">
        <v>7</v>
      </c>
      <c r="F52" s="22">
        <v>36</v>
      </c>
      <c r="G52" s="22" t="s">
        <v>334</v>
      </c>
      <c r="H52" s="22" t="s">
        <v>86</v>
      </c>
      <c r="I52" s="22" t="s">
        <v>232</v>
      </c>
      <c r="J52" s="22" t="s">
        <v>205</v>
      </c>
      <c r="K52" s="22" t="s">
        <v>65</v>
      </c>
      <c r="L52" s="22" t="s">
        <v>67</v>
      </c>
      <c r="M52" s="22" t="s">
        <v>68</v>
      </c>
    </row>
    <row r="53" spans="1:13">
      <c r="A53" s="22" t="s">
        <v>351</v>
      </c>
      <c r="B53" s="22" t="s">
        <v>352</v>
      </c>
      <c r="C53" s="22" t="s">
        <v>213</v>
      </c>
      <c r="D53" s="22" t="s">
        <v>205</v>
      </c>
      <c r="E53" s="22">
        <v>2</v>
      </c>
      <c r="F53" s="22">
        <v>4</v>
      </c>
      <c r="G53" s="22" t="s">
        <v>334</v>
      </c>
      <c r="H53" s="22" t="s">
        <v>86</v>
      </c>
      <c r="I53" s="22" t="s">
        <v>235</v>
      </c>
      <c r="J53" s="22" t="s">
        <v>205</v>
      </c>
      <c r="K53" s="22" t="s">
        <v>65</v>
      </c>
      <c r="L53" s="22" t="s">
        <v>67</v>
      </c>
      <c r="M53" s="22" t="s">
        <v>68</v>
      </c>
    </row>
    <row r="54" spans="1:13">
      <c r="A54" s="22" t="s">
        <v>353</v>
      </c>
      <c r="B54" s="22" t="s">
        <v>354</v>
      </c>
      <c r="C54" s="22" t="s">
        <v>213</v>
      </c>
      <c r="D54" s="22" t="s">
        <v>205</v>
      </c>
      <c r="E54" s="22">
        <v>7</v>
      </c>
      <c r="F54" s="22">
        <v>42</v>
      </c>
      <c r="G54" s="22" t="s">
        <v>334</v>
      </c>
      <c r="H54" s="22" t="s">
        <v>86</v>
      </c>
      <c r="I54" s="22" t="s">
        <v>238</v>
      </c>
      <c r="J54" s="22" t="s">
        <v>205</v>
      </c>
      <c r="K54" s="22" t="s">
        <v>65</v>
      </c>
      <c r="L54" s="22" t="s">
        <v>67</v>
      </c>
      <c r="M54" s="22" t="s">
        <v>68</v>
      </c>
    </row>
    <row r="55" spans="1:13">
      <c r="A55" s="22" t="s">
        <v>355</v>
      </c>
      <c r="B55" s="22" t="s">
        <v>356</v>
      </c>
      <c r="C55" s="22" t="s">
        <v>204</v>
      </c>
      <c r="D55" s="22" t="s">
        <v>205</v>
      </c>
      <c r="E55" s="22">
        <v>7</v>
      </c>
      <c r="F55" s="22">
        <v>51</v>
      </c>
      <c r="G55" s="22" t="s">
        <v>334</v>
      </c>
      <c r="H55" s="22" t="s">
        <v>86</v>
      </c>
      <c r="I55" s="22" t="s">
        <v>241</v>
      </c>
      <c r="J55" s="22" t="s">
        <v>205</v>
      </c>
      <c r="K55" s="22" t="s">
        <v>65</v>
      </c>
      <c r="L55" s="22" t="s">
        <v>67</v>
      </c>
      <c r="M55" s="22" t="s">
        <v>68</v>
      </c>
    </row>
    <row r="56" spans="1:13">
      <c r="A56" s="22" t="s">
        <v>357</v>
      </c>
      <c r="B56" s="22" t="s">
        <v>358</v>
      </c>
      <c r="C56" s="22" t="s">
        <v>204</v>
      </c>
      <c r="D56" s="22" t="s">
        <v>205</v>
      </c>
      <c r="E56" s="22">
        <v>1</v>
      </c>
      <c r="F56" s="22">
        <v>39</v>
      </c>
      <c r="G56" s="22" t="s">
        <v>334</v>
      </c>
      <c r="H56" s="22" t="s">
        <v>86</v>
      </c>
      <c r="I56" s="22" t="s">
        <v>244</v>
      </c>
      <c r="J56" s="22" t="s">
        <v>205</v>
      </c>
      <c r="K56" s="22" t="s">
        <v>65</v>
      </c>
      <c r="L56" s="22" t="s">
        <v>67</v>
      </c>
      <c r="M56" s="22" t="s">
        <v>68</v>
      </c>
    </row>
    <row r="57" spans="1:13">
      <c r="A57" s="22" t="s">
        <v>359</v>
      </c>
      <c r="B57" s="22" t="s">
        <v>360</v>
      </c>
      <c r="C57" s="22" t="s">
        <v>204</v>
      </c>
      <c r="D57" s="22" t="s">
        <v>205</v>
      </c>
      <c r="E57" s="22">
        <v>8</v>
      </c>
      <c r="F57" s="22">
        <v>30</v>
      </c>
      <c r="G57" s="22" t="s">
        <v>334</v>
      </c>
      <c r="H57" s="22" t="s">
        <v>86</v>
      </c>
      <c r="I57" s="22" t="s">
        <v>247</v>
      </c>
      <c r="J57" s="22" t="s">
        <v>205</v>
      </c>
      <c r="K57" s="22" t="s">
        <v>65</v>
      </c>
      <c r="L57" s="22" t="s">
        <v>67</v>
      </c>
      <c r="M57" s="22" t="s">
        <v>68</v>
      </c>
    </row>
    <row r="58" spans="1:13">
      <c r="A58" s="22" t="s">
        <v>361</v>
      </c>
      <c r="B58" s="22" t="s">
        <v>362</v>
      </c>
      <c r="C58" s="22" t="s">
        <v>204</v>
      </c>
      <c r="D58" s="22" t="s">
        <v>205</v>
      </c>
      <c r="E58" s="22">
        <v>2</v>
      </c>
      <c r="F58" s="22">
        <v>37</v>
      </c>
      <c r="G58" s="22" t="s">
        <v>334</v>
      </c>
      <c r="H58" s="22" t="s">
        <v>86</v>
      </c>
      <c r="I58" s="22" t="s">
        <v>250</v>
      </c>
      <c r="J58" s="22" t="s">
        <v>205</v>
      </c>
      <c r="K58" s="22" t="s">
        <v>65</v>
      </c>
      <c r="L58" s="22" t="s">
        <v>67</v>
      </c>
      <c r="M58" s="22" t="s">
        <v>68</v>
      </c>
    </row>
    <row r="59" spans="1:13">
      <c r="A59" s="22" t="s">
        <v>363</v>
      </c>
      <c r="B59" s="22" t="s">
        <v>364</v>
      </c>
      <c r="C59" s="22" t="s">
        <v>204</v>
      </c>
      <c r="D59" s="22" t="s">
        <v>205</v>
      </c>
      <c r="E59" s="22">
        <v>4</v>
      </c>
      <c r="F59" s="22">
        <v>36</v>
      </c>
      <c r="G59" s="22" t="s">
        <v>334</v>
      </c>
      <c r="H59" s="22" t="s">
        <v>86</v>
      </c>
      <c r="I59" s="22" t="s">
        <v>253</v>
      </c>
      <c r="J59" s="22" t="s">
        <v>205</v>
      </c>
      <c r="K59" s="22" t="s">
        <v>65</v>
      </c>
      <c r="L59" s="22" t="s">
        <v>67</v>
      </c>
      <c r="M59" s="22" t="s">
        <v>68</v>
      </c>
    </row>
    <row r="60" spans="1:13">
      <c r="A60" s="22" t="s">
        <v>365</v>
      </c>
      <c r="B60" s="22" t="s">
        <v>366</v>
      </c>
      <c r="C60" s="22" t="s">
        <v>213</v>
      </c>
      <c r="D60" s="22" t="s">
        <v>205</v>
      </c>
      <c r="E60" s="22">
        <v>2</v>
      </c>
      <c r="F60" s="22">
        <v>31</v>
      </c>
      <c r="G60" s="22" t="s">
        <v>334</v>
      </c>
      <c r="H60" s="22" t="s">
        <v>86</v>
      </c>
      <c r="I60" s="22" t="s">
        <v>256</v>
      </c>
      <c r="J60" s="22" t="s">
        <v>205</v>
      </c>
      <c r="K60" s="22" t="s">
        <v>65</v>
      </c>
      <c r="L60" s="22" t="s">
        <v>67</v>
      </c>
      <c r="M60" s="22" t="s">
        <v>68</v>
      </c>
    </row>
    <row r="61" spans="1:13">
      <c r="A61" s="22" t="s">
        <v>367</v>
      </c>
      <c r="B61" s="22" t="s">
        <v>368</v>
      </c>
      <c r="C61" s="22" t="s">
        <v>213</v>
      </c>
      <c r="D61" s="22" t="s">
        <v>205</v>
      </c>
      <c r="E61" s="22">
        <v>8</v>
      </c>
      <c r="F61" s="22">
        <v>4</v>
      </c>
      <c r="G61" s="22" t="s">
        <v>334</v>
      </c>
      <c r="H61" s="22" t="s">
        <v>86</v>
      </c>
      <c r="I61" s="22" t="s">
        <v>259</v>
      </c>
      <c r="J61" s="22" t="s">
        <v>205</v>
      </c>
      <c r="K61" s="22" t="s">
        <v>65</v>
      </c>
      <c r="L61" s="22" t="s">
        <v>67</v>
      </c>
      <c r="M61" s="22" t="s">
        <v>68</v>
      </c>
    </row>
    <row r="62" spans="1:13">
      <c r="A62" s="22" t="s">
        <v>369</v>
      </c>
      <c r="B62" s="22" t="s">
        <v>370</v>
      </c>
      <c r="C62" s="22" t="s">
        <v>204</v>
      </c>
      <c r="D62" s="22" t="s">
        <v>205</v>
      </c>
      <c r="E62" s="22">
        <v>9</v>
      </c>
      <c r="F62" s="22">
        <v>5</v>
      </c>
      <c r="G62" s="22" t="s">
        <v>334</v>
      </c>
      <c r="H62" s="22" t="s">
        <v>86</v>
      </c>
      <c r="I62" s="22" t="s">
        <v>262</v>
      </c>
      <c r="J62" s="22" t="s">
        <v>205</v>
      </c>
      <c r="K62" s="22" t="s">
        <v>65</v>
      </c>
      <c r="L62" s="22" t="s">
        <v>67</v>
      </c>
      <c r="M62" s="22" t="s">
        <v>68</v>
      </c>
    </row>
    <row r="63" spans="1:13">
      <c r="A63" s="22" t="s">
        <v>371</v>
      </c>
      <c r="B63" s="22" t="s">
        <v>372</v>
      </c>
      <c r="C63" s="22" t="s">
        <v>213</v>
      </c>
      <c r="D63" s="22" t="s">
        <v>205</v>
      </c>
      <c r="E63" s="22">
        <v>2</v>
      </c>
      <c r="F63" s="22">
        <v>20</v>
      </c>
      <c r="G63" s="22" t="s">
        <v>334</v>
      </c>
      <c r="H63" s="22" t="s">
        <v>86</v>
      </c>
      <c r="I63" s="22" t="s">
        <v>265</v>
      </c>
      <c r="J63" s="22" t="s">
        <v>205</v>
      </c>
      <c r="K63" s="22" t="s">
        <v>65</v>
      </c>
      <c r="L63" s="22" t="s">
        <v>67</v>
      </c>
      <c r="M63" s="22" t="s">
        <v>68</v>
      </c>
    </row>
    <row r="64" spans="1:13">
      <c r="A64" s="22" t="s">
        <v>373</v>
      </c>
      <c r="B64" s="22" t="s">
        <v>374</v>
      </c>
      <c r="C64" s="22" t="s">
        <v>213</v>
      </c>
      <c r="D64" s="22" t="s">
        <v>205</v>
      </c>
      <c r="E64" s="22">
        <v>9</v>
      </c>
      <c r="F64" s="22">
        <v>30</v>
      </c>
      <c r="G64" s="22" t="s">
        <v>334</v>
      </c>
      <c r="H64" s="22" t="s">
        <v>86</v>
      </c>
      <c r="I64" s="22" t="s">
        <v>268</v>
      </c>
      <c r="J64" s="22" t="s">
        <v>205</v>
      </c>
      <c r="K64" s="22" t="s">
        <v>65</v>
      </c>
      <c r="L64" s="22" t="s">
        <v>67</v>
      </c>
      <c r="M64" s="22" t="s">
        <v>68</v>
      </c>
    </row>
    <row r="65" spans="1:13">
      <c r="A65" s="22" t="s">
        <v>375</v>
      </c>
      <c r="B65" s="22" t="s">
        <v>376</v>
      </c>
      <c r="C65" s="22" t="s">
        <v>213</v>
      </c>
      <c r="D65" s="22" t="s">
        <v>205</v>
      </c>
      <c r="E65" s="22">
        <v>8</v>
      </c>
      <c r="F65" s="22">
        <v>25</v>
      </c>
      <c r="G65" s="22" t="s">
        <v>334</v>
      </c>
      <c r="H65" s="22" t="s">
        <v>86</v>
      </c>
      <c r="I65" s="22" t="s">
        <v>271</v>
      </c>
      <c r="J65" s="22" t="s">
        <v>205</v>
      </c>
      <c r="K65" s="22" t="s">
        <v>65</v>
      </c>
      <c r="L65" s="22" t="s">
        <v>67</v>
      </c>
      <c r="M65" s="22" t="s">
        <v>68</v>
      </c>
    </row>
    <row r="66" spans="1:13">
      <c r="A66" s="22" t="s">
        <v>377</v>
      </c>
      <c r="B66" s="22" t="s">
        <v>378</v>
      </c>
      <c r="C66" s="22" t="s">
        <v>213</v>
      </c>
      <c r="D66" s="22" t="s">
        <v>205</v>
      </c>
      <c r="E66" s="22">
        <v>4</v>
      </c>
      <c r="F66" s="22">
        <v>33</v>
      </c>
      <c r="G66" s="22" t="s">
        <v>334</v>
      </c>
      <c r="H66" s="22" t="s">
        <v>86</v>
      </c>
      <c r="I66" s="22" t="s">
        <v>274</v>
      </c>
      <c r="J66" s="22" t="s">
        <v>205</v>
      </c>
      <c r="K66" s="22" t="s">
        <v>65</v>
      </c>
      <c r="L66" s="22" t="s">
        <v>67</v>
      </c>
      <c r="M66" s="22" t="s">
        <v>68</v>
      </c>
    </row>
    <row r="67" spans="1:13">
      <c r="A67" s="22" t="s">
        <v>379</v>
      </c>
      <c r="B67" s="22" t="s">
        <v>380</v>
      </c>
      <c r="C67" s="22" t="s">
        <v>204</v>
      </c>
      <c r="D67" s="22" t="s">
        <v>205</v>
      </c>
      <c r="E67" s="22">
        <v>6</v>
      </c>
      <c r="F67" s="22">
        <v>1</v>
      </c>
      <c r="G67" s="22" t="s">
        <v>334</v>
      </c>
      <c r="H67" s="22" t="s">
        <v>86</v>
      </c>
      <c r="I67" s="22" t="s">
        <v>277</v>
      </c>
      <c r="J67" s="22" t="s">
        <v>205</v>
      </c>
      <c r="K67" s="22" t="s">
        <v>65</v>
      </c>
      <c r="L67" s="22" t="s">
        <v>67</v>
      </c>
      <c r="M67" s="22" t="s">
        <v>68</v>
      </c>
    </row>
    <row r="68" spans="1:13">
      <c r="A68" s="22" t="s">
        <v>381</v>
      </c>
      <c r="B68" s="22" t="s">
        <v>382</v>
      </c>
      <c r="C68" s="22" t="s">
        <v>213</v>
      </c>
      <c r="D68" s="22" t="s">
        <v>205</v>
      </c>
      <c r="E68" s="22">
        <v>2</v>
      </c>
      <c r="F68" s="22">
        <v>43</v>
      </c>
      <c r="G68" s="22" t="s">
        <v>334</v>
      </c>
      <c r="H68" s="22" t="s">
        <v>86</v>
      </c>
      <c r="I68" s="22" t="s">
        <v>280</v>
      </c>
      <c r="J68" s="22" t="s">
        <v>205</v>
      </c>
      <c r="K68" s="22" t="s">
        <v>65</v>
      </c>
      <c r="L68" s="22" t="s">
        <v>67</v>
      </c>
      <c r="M68" s="22" t="s">
        <v>68</v>
      </c>
    </row>
    <row r="69" spans="1:13">
      <c r="A69" s="22" t="s">
        <v>383</v>
      </c>
      <c r="B69" s="22" t="s">
        <v>384</v>
      </c>
      <c r="C69" s="22" t="s">
        <v>213</v>
      </c>
      <c r="D69" s="22" t="s">
        <v>205</v>
      </c>
      <c r="E69" s="22">
        <v>8</v>
      </c>
      <c r="F69" s="22">
        <v>24</v>
      </c>
      <c r="G69" s="22" t="s">
        <v>334</v>
      </c>
      <c r="H69" s="22" t="s">
        <v>86</v>
      </c>
      <c r="I69" s="22" t="s">
        <v>283</v>
      </c>
      <c r="J69" s="22" t="s">
        <v>205</v>
      </c>
      <c r="K69" s="22" t="s">
        <v>65</v>
      </c>
      <c r="L69" s="22" t="s">
        <v>67</v>
      </c>
      <c r="M69" s="22" t="s">
        <v>68</v>
      </c>
    </row>
    <row r="70" spans="1:13">
      <c r="A70" s="22" t="s">
        <v>385</v>
      </c>
      <c r="B70" s="22" t="s">
        <v>386</v>
      </c>
      <c r="C70" s="22" t="s">
        <v>213</v>
      </c>
      <c r="D70" s="22" t="s">
        <v>205</v>
      </c>
      <c r="E70" s="22">
        <v>7</v>
      </c>
      <c r="F70" s="22">
        <v>41</v>
      </c>
      <c r="G70" s="22" t="s">
        <v>334</v>
      </c>
      <c r="H70" s="22" t="s">
        <v>86</v>
      </c>
      <c r="I70" s="22" t="s">
        <v>286</v>
      </c>
      <c r="J70" s="22" t="s">
        <v>205</v>
      </c>
      <c r="K70" s="22" t="s">
        <v>65</v>
      </c>
      <c r="L70" s="22" t="s">
        <v>67</v>
      </c>
      <c r="M70" s="22" t="s">
        <v>68</v>
      </c>
    </row>
    <row r="71" spans="1:13">
      <c r="A71" s="22" t="s">
        <v>387</v>
      </c>
      <c r="B71" s="22" t="s">
        <v>388</v>
      </c>
      <c r="C71" s="22" t="s">
        <v>213</v>
      </c>
      <c r="D71" s="22" t="s">
        <v>205</v>
      </c>
      <c r="E71" s="22">
        <v>4</v>
      </c>
      <c r="F71" s="22">
        <v>20</v>
      </c>
      <c r="G71" s="22" t="s">
        <v>334</v>
      </c>
      <c r="H71" s="22" t="s">
        <v>86</v>
      </c>
      <c r="I71" s="22" t="s">
        <v>289</v>
      </c>
      <c r="J71" s="22" t="s">
        <v>205</v>
      </c>
      <c r="K71" s="22" t="s">
        <v>65</v>
      </c>
      <c r="L71" s="22" t="s">
        <v>67</v>
      </c>
      <c r="M71" s="22" t="s">
        <v>68</v>
      </c>
    </row>
    <row r="72" spans="1:13">
      <c r="A72" s="22" t="s">
        <v>389</v>
      </c>
      <c r="B72" s="22" t="s">
        <v>390</v>
      </c>
      <c r="C72" s="22" t="s">
        <v>213</v>
      </c>
      <c r="D72" s="22" t="s">
        <v>205</v>
      </c>
      <c r="E72" s="22">
        <v>1</v>
      </c>
      <c r="F72" s="22">
        <v>8</v>
      </c>
      <c r="G72" s="22" t="s">
        <v>334</v>
      </c>
      <c r="H72" s="22" t="s">
        <v>86</v>
      </c>
      <c r="I72" s="22" t="s">
        <v>292</v>
      </c>
      <c r="J72" s="22" t="s">
        <v>205</v>
      </c>
      <c r="K72" s="22" t="s">
        <v>65</v>
      </c>
      <c r="L72" s="22" t="s">
        <v>67</v>
      </c>
      <c r="M72" s="22" t="s">
        <v>68</v>
      </c>
    </row>
    <row r="73" spans="1:13">
      <c r="A73" s="22" t="s">
        <v>391</v>
      </c>
      <c r="B73" s="22" t="s">
        <v>392</v>
      </c>
      <c r="C73" s="22" t="s">
        <v>213</v>
      </c>
      <c r="D73" s="22" t="s">
        <v>205</v>
      </c>
      <c r="E73" s="22">
        <v>6</v>
      </c>
      <c r="F73" s="22">
        <v>3</v>
      </c>
      <c r="G73" s="22" t="s">
        <v>334</v>
      </c>
      <c r="H73" s="22" t="s">
        <v>86</v>
      </c>
      <c r="I73" s="22" t="s">
        <v>295</v>
      </c>
      <c r="J73" s="22" t="s">
        <v>205</v>
      </c>
      <c r="K73" s="22" t="s">
        <v>65</v>
      </c>
      <c r="L73" s="22" t="s">
        <v>67</v>
      </c>
      <c r="M73" s="22" t="s">
        <v>68</v>
      </c>
    </row>
    <row r="74" spans="1:13">
      <c r="A74" s="22" t="s">
        <v>393</v>
      </c>
      <c r="B74" s="22" t="s">
        <v>394</v>
      </c>
      <c r="C74" s="22" t="s">
        <v>204</v>
      </c>
      <c r="D74" s="22" t="s">
        <v>205</v>
      </c>
      <c r="E74" s="22">
        <v>7</v>
      </c>
      <c r="F74" s="22">
        <v>5</v>
      </c>
      <c r="G74" s="22" t="s">
        <v>334</v>
      </c>
      <c r="H74" s="22" t="s">
        <v>86</v>
      </c>
      <c r="I74" s="22" t="s">
        <v>298</v>
      </c>
      <c r="J74" s="22" t="s">
        <v>205</v>
      </c>
      <c r="K74" s="22" t="s">
        <v>65</v>
      </c>
      <c r="L74" s="22" t="s">
        <v>67</v>
      </c>
      <c r="M74" s="22" t="s">
        <v>68</v>
      </c>
    </row>
    <row r="75" spans="1:13">
      <c r="A75" s="22" t="s">
        <v>395</v>
      </c>
      <c r="B75" s="22" t="s">
        <v>396</v>
      </c>
      <c r="C75" s="22" t="s">
        <v>213</v>
      </c>
      <c r="D75" s="22" t="s">
        <v>205</v>
      </c>
      <c r="E75" s="22">
        <v>6</v>
      </c>
      <c r="F75" s="22">
        <v>19</v>
      </c>
      <c r="G75" s="22" t="s">
        <v>334</v>
      </c>
      <c r="H75" s="22" t="s">
        <v>86</v>
      </c>
      <c r="I75" s="22" t="s">
        <v>301</v>
      </c>
      <c r="J75" s="22" t="s">
        <v>205</v>
      </c>
      <c r="K75" s="22" t="s">
        <v>65</v>
      </c>
      <c r="L75" s="22" t="s">
        <v>67</v>
      </c>
      <c r="M75" s="22" t="s">
        <v>68</v>
      </c>
    </row>
    <row r="76" spans="1:13">
      <c r="A76" s="22" t="s">
        <v>397</v>
      </c>
      <c r="B76" s="22" t="s">
        <v>398</v>
      </c>
      <c r="C76" s="22" t="s">
        <v>204</v>
      </c>
      <c r="D76" s="22" t="s">
        <v>205</v>
      </c>
      <c r="E76" s="22">
        <v>7</v>
      </c>
      <c r="F76" s="22">
        <v>18</v>
      </c>
      <c r="G76" s="22" t="s">
        <v>334</v>
      </c>
      <c r="H76" s="22" t="s">
        <v>86</v>
      </c>
      <c r="I76" s="22" t="s">
        <v>304</v>
      </c>
      <c r="J76" s="22" t="s">
        <v>205</v>
      </c>
      <c r="K76" s="22" t="s">
        <v>65</v>
      </c>
      <c r="L76" s="22" t="s">
        <v>67</v>
      </c>
      <c r="M76" s="22" t="s">
        <v>68</v>
      </c>
    </row>
    <row r="77" spans="1:13">
      <c r="A77" s="22" t="s">
        <v>399</v>
      </c>
      <c r="B77" s="22" t="s">
        <v>400</v>
      </c>
      <c r="C77" s="22" t="s">
        <v>213</v>
      </c>
      <c r="D77" s="22" t="s">
        <v>205</v>
      </c>
      <c r="E77" s="22">
        <v>4</v>
      </c>
      <c r="F77" s="22">
        <v>19</v>
      </c>
      <c r="G77" s="22" t="s">
        <v>334</v>
      </c>
      <c r="H77" s="22" t="s">
        <v>86</v>
      </c>
      <c r="I77" s="22" t="s">
        <v>307</v>
      </c>
      <c r="J77" s="22" t="s">
        <v>205</v>
      </c>
      <c r="K77" s="22" t="s">
        <v>65</v>
      </c>
      <c r="L77" s="22" t="s">
        <v>67</v>
      </c>
      <c r="M77" s="22" t="s">
        <v>68</v>
      </c>
    </row>
    <row r="78" spans="1:13">
      <c r="A78" s="22" t="s">
        <v>401</v>
      </c>
      <c r="B78" s="22" t="s">
        <v>402</v>
      </c>
      <c r="C78" s="22" t="s">
        <v>213</v>
      </c>
      <c r="D78" s="22" t="s">
        <v>205</v>
      </c>
      <c r="E78" s="22">
        <v>3</v>
      </c>
      <c r="F78" s="22">
        <v>49</v>
      </c>
      <c r="G78" s="22" t="s">
        <v>334</v>
      </c>
      <c r="H78" s="22" t="s">
        <v>86</v>
      </c>
      <c r="I78" s="22" t="s">
        <v>310</v>
      </c>
      <c r="J78" s="22" t="s">
        <v>205</v>
      </c>
      <c r="K78" s="22" t="s">
        <v>65</v>
      </c>
      <c r="L78" s="22" t="s">
        <v>67</v>
      </c>
      <c r="M78" s="22" t="s">
        <v>68</v>
      </c>
    </row>
    <row r="79" spans="1:13">
      <c r="A79" s="22" t="s">
        <v>403</v>
      </c>
      <c r="B79" s="22" t="s">
        <v>404</v>
      </c>
      <c r="C79" s="22" t="s">
        <v>204</v>
      </c>
      <c r="D79" s="22" t="s">
        <v>205</v>
      </c>
      <c r="E79" s="22">
        <v>1</v>
      </c>
      <c r="F79" s="22">
        <v>40</v>
      </c>
      <c r="G79" s="22" t="s">
        <v>334</v>
      </c>
      <c r="H79" s="22" t="s">
        <v>86</v>
      </c>
      <c r="I79" s="22" t="s">
        <v>313</v>
      </c>
      <c r="J79" s="22" t="s">
        <v>205</v>
      </c>
      <c r="K79" s="22" t="s">
        <v>65</v>
      </c>
      <c r="L79" s="22" t="s">
        <v>67</v>
      </c>
      <c r="M79" s="22" t="s">
        <v>68</v>
      </c>
    </row>
    <row r="80" spans="1:13">
      <c r="A80" s="22" t="s">
        <v>405</v>
      </c>
      <c r="B80" s="22" t="s">
        <v>406</v>
      </c>
      <c r="C80" s="22" t="s">
        <v>213</v>
      </c>
      <c r="D80" s="22" t="s">
        <v>205</v>
      </c>
      <c r="E80" s="22">
        <v>4</v>
      </c>
      <c r="F80" s="22">
        <v>1</v>
      </c>
      <c r="G80" s="22" t="s">
        <v>334</v>
      </c>
      <c r="H80" s="22" t="s">
        <v>86</v>
      </c>
      <c r="I80" s="22" t="s">
        <v>316</v>
      </c>
      <c r="J80" s="22" t="s">
        <v>205</v>
      </c>
      <c r="K80" s="22" t="s">
        <v>65</v>
      </c>
      <c r="L80" s="22" t="s">
        <v>67</v>
      </c>
      <c r="M80" s="22" t="s">
        <v>68</v>
      </c>
    </row>
    <row r="81" spans="1:13">
      <c r="A81" s="22" t="s">
        <v>407</v>
      </c>
      <c r="B81" s="22" t="s">
        <v>408</v>
      </c>
      <c r="C81" s="22" t="s">
        <v>204</v>
      </c>
      <c r="D81" s="22" t="s">
        <v>205</v>
      </c>
      <c r="E81" s="22">
        <v>2</v>
      </c>
      <c r="F81" s="22">
        <v>28</v>
      </c>
      <c r="G81" s="22" t="s">
        <v>334</v>
      </c>
      <c r="H81" s="22" t="s">
        <v>86</v>
      </c>
      <c r="I81" s="22" t="s">
        <v>319</v>
      </c>
      <c r="J81" s="22" t="s">
        <v>205</v>
      </c>
      <c r="K81" s="22" t="s">
        <v>65</v>
      </c>
      <c r="L81" s="22" t="s">
        <v>67</v>
      </c>
      <c r="M81" s="22" t="s">
        <v>68</v>
      </c>
    </row>
    <row r="82" spans="1:13">
      <c r="A82" s="22" t="s">
        <v>409</v>
      </c>
      <c r="B82" s="22" t="s">
        <v>410</v>
      </c>
      <c r="C82" s="22" t="s">
        <v>204</v>
      </c>
      <c r="D82" s="22" t="s">
        <v>205</v>
      </c>
      <c r="E82" s="22">
        <v>1</v>
      </c>
      <c r="F82" s="22">
        <v>48</v>
      </c>
      <c r="G82" s="22" t="s">
        <v>334</v>
      </c>
      <c r="H82" s="22" t="s">
        <v>86</v>
      </c>
      <c r="I82" s="22" t="s">
        <v>322</v>
      </c>
      <c r="J82" s="22" t="s">
        <v>205</v>
      </c>
      <c r="K82" s="22" t="s">
        <v>65</v>
      </c>
      <c r="L82" s="22" t="s">
        <v>67</v>
      </c>
      <c r="M82" s="22" t="s">
        <v>68</v>
      </c>
    </row>
    <row r="83" spans="1:13">
      <c r="A83" s="22" t="s">
        <v>411</v>
      </c>
      <c r="B83" s="22" t="s">
        <v>412</v>
      </c>
      <c r="C83" s="22" t="s">
        <v>204</v>
      </c>
      <c r="D83" s="22" t="s">
        <v>205</v>
      </c>
      <c r="E83" s="22">
        <v>3</v>
      </c>
      <c r="F83" s="22">
        <v>29</v>
      </c>
      <c r="G83" s="22" t="s">
        <v>334</v>
      </c>
      <c r="H83" s="22" t="s">
        <v>86</v>
      </c>
      <c r="I83" s="22" t="s">
        <v>325</v>
      </c>
      <c r="J83" s="22" t="s">
        <v>205</v>
      </c>
      <c r="K83" s="22" t="s">
        <v>65</v>
      </c>
      <c r="L83" s="22" t="s">
        <v>67</v>
      </c>
      <c r="M83" s="22" t="s">
        <v>68</v>
      </c>
    </row>
    <row r="84" spans="1:13">
      <c r="A84" s="22" t="s">
        <v>413</v>
      </c>
      <c r="B84" s="22" t="s">
        <v>414</v>
      </c>
      <c r="C84" s="22" t="s">
        <v>213</v>
      </c>
      <c r="D84" s="22" t="s">
        <v>205</v>
      </c>
      <c r="E84" s="22">
        <v>8</v>
      </c>
      <c r="F84" s="22">
        <v>42</v>
      </c>
      <c r="G84" s="22" t="s">
        <v>334</v>
      </c>
      <c r="H84" s="22" t="s">
        <v>86</v>
      </c>
      <c r="I84" s="22" t="s">
        <v>328</v>
      </c>
      <c r="J84" s="22" t="s">
        <v>205</v>
      </c>
      <c r="K84" s="22" t="s">
        <v>65</v>
      </c>
      <c r="L84" s="22" t="s">
        <v>67</v>
      </c>
      <c r="M84" s="22" t="s">
        <v>68</v>
      </c>
    </row>
    <row r="85" spans="1:13">
      <c r="A85" s="22" t="s">
        <v>415</v>
      </c>
      <c r="B85" s="22" t="s">
        <v>416</v>
      </c>
      <c r="C85" s="22" t="s">
        <v>213</v>
      </c>
      <c r="D85" s="22" t="s">
        <v>205</v>
      </c>
      <c r="E85" s="22">
        <v>2</v>
      </c>
      <c r="F85" s="22">
        <v>35</v>
      </c>
      <c r="G85" s="22" t="s">
        <v>334</v>
      </c>
      <c r="H85" s="22" t="s">
        <v>86</v>
      </c>
      <c r="I85" s="22" t="s">
        <v>331</v>
      </c>
      <c r="J85" s="22" t="s">
        <v>205</v>
      </c>
      <c r="K85" s="22" t="s">
        <v>65</v>
      </c>
      <c r="L85" s="22" t="s">
        <v>67</v>
      </c>
      <c r="M85" s="22" t="s">
        <v>68</v>
      </c>
    </row>
    <row r="86" spans="1:13">
      <c r="A86" s="22" t="s">
        <v>417</v>
      </c>
      <c r="B86" s="22" t="s">
        <v>418</v>
      </c>
      <c r="C86" s="22" t="s">
        <v>213</v>
      </c>
      <c r="D86" s="22" t="s">
        <v>205</v>
      </c>
      <c r="E86" s="22">
        <v>6</v>
      </c>
      <c r="F86" s="22">
        <v>9</v>
      </c>
      <c r="G86" s="22" t="s">
        <v>419</v>
      </c>
      <c r="H86" s="22" t="s">
        <v>95</v>
      </c>
      <c r="I86" s="22" t="s">
        <v>207</v>
      </c>
      <c r="J86" s="22" t="s">
        <v>205</v>
      </c>
      <c r="K86" s="22" t="s">
        <v>65</v>
      </c>
      <c r="L86" s="22" t="s">
        <v>67</v>
      </c>
      <c r="M86" s="22" t="s">
        <v>68</v>
      </c>
    </row>
    <row r="87" spans="1:13">
      <c r="A87" s="22" t="s">
        <v>420</v>
      </c>
      <c r="B87" s="22" t="s">
        <v>421</v>
      </c>
      <c r="C87" s="22" t="s">
        <v>213</v>
      </c>
      <c r="D87" s="22" t="s">
        <v>205</v>
      </c>
      <c r="E87" s="22">
        <v>5</v>
      </c>
      <c r="F87" s="22">
        <v>16</v>
      </c>
      <c r="G87" s="22" t="s">
        <v>419</v>
      </c>
      <c r="H87" s="22" t="s">
        <v>95</v>
      </c>
      <c r="I87" s="22" t="s">
        <v>210</v>
      </c>
      <c r="J87" s="22" t="s">
        <v>205</v>
      </c>
      <c r="K87" s="22" t="s">
        <v>65</v>
      </c>
      <c r="L87" s="22" t="s">
        <v>67</v>
      </c>
      <c r="M87" s="22" t="s">
        <v>68</v>
      </c>
    </row>
    <row r="88" spans="1:13">
      <c r="A88" s="22" t="s">
        <v>422</v>
      </c>
      <c r="B88" s="22" t="s">
        <v>423</v>
      </c>
      <c r="C88" s="22" t="s">
        <v>204</v>
      </c>
      <c r="D88" s="22" t="s">
        <v>205</v>
      </c>
      <c r="E88" s="22">
        <v>5</v>
      </c>
      <c r="F88" s="22">
        <v>23</v>
      </c>
      <c r="G88" s="22" t="s">
        <v>419</v>
      </c>
      <c r="H88" s="22" t="s">
        <v>95</v>
      </c>
      <c r="I88" s="22" t="s">
        <v>214</v>
      </c>
      <c r="J88" s="22" t="s">
        <v>205</v>
      </c>
      <c r="K88" s="22" t="s">
        <v>65</v>
      </c>
      <c r="L88" s="22" t="s">
        <v>67</v>
      </c>
      <c r="M88" s="22" t="s">
        <v>68</v>
      </c>
    </row>
    <row r="89" spans="1:13">
      <c r="A89" s="22" t="s">
        <v>424</v>
      </c>
      <c r="B89" s="22" t="s">
        <v>425</v>
      </c>
      <c r="C89" s="22" t="s">
        <v>213</v>
      </c>
      <c r="D89" s="22" t="s">
        <v>205</v>
      </c>
      <c r="E89" s="22">
        <v>3</v>
      </c>
      <c r="F89" s="22">
        <v>30</v>
      </c>
      <c r="G89" s="22" t="s">
        <v>419</v>
      </c>
      <c r="H89" s="22" t="s">
        <v>95</v>
      </c>
      <c r="I89" s="22" t="s">
        <v>217</v>
      </c>
      <c r="J89" s="22" t="s">
        <v>205</v>
      </c>
      <c r="K89" s="22" t="s">
        <v>65</v>
      </c>
      <c r="L89" s="22" t="s">
        <v>67</v>
      </c>
      <c r="M89" s="22" t="s">
        <v>68</v>
      </c>
    </row>
    <row r="90" spans="1:13">
      <c r="A90" s="22" t="s">
        <v>426</v>
      </c>
      <c r="B90" s="22" t="s">
        <v>427</v>
      </c>
      <c r="C90" s="22" t="s">
        <v>204</v>
      </c>
      <c r="D90" s="22" t="s">
        <v>205</v>
      </c>
      <c r="E90" s="22">
        <v>8</v>
      </c>
      <c r="F90" s="22">
        <v>50</v>
      </c>
      <c r="G90" s="22" t="s">
        <v>419</v>
      </c>
      <c r="H90" s="22" t="s">
        <v>95</v>
      </c>
      <c r="I90" s="22" t="s">
        <v>220</v>
      </c>
      <c r="J90" s="22" t="s">
        <v>205</v>
      </c>
      <c r="K90" s="22" t="s">
        <v>65</v>
      </c>
      <c r="L90" s="22" t="s">
        <v>67</v>
      </c>
      <c r="M90" s="22" t="s">
        <v>68</v>
      </c>
    </row>
    <row r="91" spans="1:13">
      <c r="A91" s="22" t="s">
        <v>428</v>
      </c>
      <c r="B91" s="22" t="s">
        <v>429</v>
      </c>
      <c r="C91" s="22" t="s">
        <v>204</v>
      </c>
      <c r="D91" s="22" t="s">
        <v>205</v>
      </c>
      <c r="E91" s="22">
        <v>3</v>
      </c>
      <c r="F91" s="22">
        <v>3</v>
      </c>
      <c r="G91" s="22" t="s">
        <v>419</v>
      </c>
      <c r="H91" s="22" t="s">
        <v>95</v>
      </c>
      <c r="I91" s="22" t="s">
        <v>223</v>
      </c>
      <c r="J91" s="22" t="s">
        <v>205</v>
      </c>
      <c r="K91" s="22" t="s">
        <v>65</v>
      </c>
      <c r="L91" s="22" t="s">
        <v>67</v>
      </c>
      <c r="M91" s="22" t="s">
        <v>68</v>
      </c>
    </row>
    <row r="92" spans="1:13">
      <c r="A92" s="22" t="s">
        <v>430</v>
      </c>
      <c r="B92" s="22" t="s">
        <v>431</v>
      </c>
      <c r="C92" s="22" t="s">
        <v>213</v>
      </c>
      <c r="D92" s="22" t="s">
        <v>205</v>
      </c>
      <c r="E92" s="22">
        <v>8</v>
      </c>
      <c r="F92" s="22">
        <v>6</v>
      </c>
      <c r="G92" s="22" t="s">
        <v>419</v>
      </c>
      <c r="H92" s="22" t="s">
        <v>95</v>
      </c>
      <c r="I92" s="22" t="s">
        <v>226</v>
      </c>
      <c r="J92" s="22" t="s">
        <v>205</v>
      </c>
      <c r="K92" s="22" t="s">
        <v>65</v>
      </c>
      <c r="L92" s="22" t="s">
        <v>67</v>
      </c>
      <c r="M92" s="22" t="s">
        <v>68</v>
      </c>
    </row>
    <row r="93" spans="1:13">
      <c r="A93" s="22" t="s">
        <v>432</v>
      </c>
      <c r="B93" s="22" t="s">
        <v>433</v>
      </c>
      <c r="C93" s="22" t="s">
        <v>213</v>
      </c>
      <c r="D93" s="22" t="s">
        <v>205</v>
      </c>
      <c r="E93" s="22">
        <v>7</v>
      </c>
      <c r="F93" s="22">
        <v>48</v>
      </c>
      <c r="G93" s="22" t="s">
        <v>419</v>
      </c>
      <c r="H93" s="22" t="s">
        <v>95</v>
      </c>
      <c r="I93" s="22" t="s">
        <v>229</v>
      </c>
      <c r="J93" s="22" t="s">
        <v>205</v>
      </c>
      <c r="K93" s="22" t="s">
        <v>65</v>
      </c>
      <c r="L93" s="22" t="s">
        <v>67</v>
      </c>
      <c r="M93" s="22" t="s">
        <v>68</v>
      </c>
    </row>
    <row r="94" spans="1:13">
      <c r="A94" s="22" t="s">
        <v>434</v>
      </c>
      <c r="B94" s="22" t="s">
        <v>435</v>
      </c>
      <c r="C94" s="22" t="s">
        <v>213</v>
      </c>
      <c r="D94" s="22" t="s">
        <v>205</v>
      </c>
      <c r="E94" s="22">
        <v>6</v>
      </c>
      <c r="F94" s="22">
        <v>44</v>
      </c>
      <c r="G94" s="22" t="s">
        <v>419</v>
      </c>
      <c r="H94" s="22" t="s">
        <v>95</v>
      </c>
      <c r="I94" s="22" t="s">
        <v>232</v>
      </c>
      <c r="J94" s="22" t="s">
        <v>205</v>
      </c>
      <c r="K94" s="22" t="s">
        <v>65</v>
      </c>
      <c r="L94" s="22" t="s">
        <v>67</v>
      </c>
      <c r="M94" s="22" t="s">
        <v>68</v>
      </c>
    </row>
    <row r="95" spans="1:13">
      <c r="A95" s="22" t="s">
        <v>436</v>
      </c>
      <c r="B95" s="22" t="s">
        <v>437</v>
      </c>
      <c r="C95" s="22" t="s">
        <v>204</v>
      </c>
      <c r="D95" s="22" t="s">
        <v>205</v>
      </c>
      <c r="E95" s="22">
        <v>4</v>
      </c>
      <c r="F95" s="22">
        <v>22</v>
      </c>
      <c r="G95" s="22" t="s">
        <v>419</v>
      </c>
      <c r="H95" s="22" t="s">
        <v>95</v>
      </c>
      <c r="I95" s="22" t="s">
        <v>235</v>
      </c>
      <c r="J95" s="22" t="s">
        <v>205</v>
      </c>
      <c r="K95" s="22" t="s">
        <v>65</v>
      </c>
      <c r="L95" s="22" t="s">
        <v>67</v>
      </c>
      <c r="M95" s="22" t="s">
        <v>68</v>
      </c>
    </row>
    <row r="96" spans="1:13">
      <c r="A96" s="22" t="s">
        <v>438</v>
      </c>
      <c r="B96" s="22" t="s">
        <v>439</v>
      </c>
      <c r="C96" s="22" t="s">
        <v>204</v>
      </c>
      <c r="D96" s="22" t="s">
        <v>205</v>
      </c>
      <c r="E96" s="22">
        <v>6</v>
      </c>
      <c r="F96" s="22">
        <v>11</v>
      </c>
      <c r="G96" s="22" t="s">
        <v>419</v>
      </c>
      <c r="H96" s="22" t="s">
        <v>95</v>
      </c>
      <c r="I96" s="22" t="s">
        <v>238</v>
      </c>
      <c r="J96" s="22" t="s">
        <v>205</v>
      </c>
      <c r="K96" s="22" t="s">
        <v>65</v>
      </c>
      <c r="L96" s="22" t="s">
        <v>67</v>
      </c>
      <c r="M96" s="22" t="s">
        <v>68</v>
      </c>
    </row>
    <row r="97" spans="1:13">
      <c r="A97" s="22" t="s">
        <v>440</v>
      </c>
      <c r="B97" s="22" t="s">
        <v>441</v>
      </c>
      <c r="C97" s="22" t="s">
        <v>204</v>
      </c>
      <c r="D97" s="22" t="s">
        <v>205</v>
      </c>
      <c r="E97" s="22">
        <v>6</v>
      </c>
      <c r="F97" s="22">
        <v>23</v>
      </c>
      <c r="G97" s="22" t="s">
        <v>419</v>
      </c>
      <c r="H97" s="22" t="s">
        <v>95</v>
      </c>
      <c r="I97" s="22" t="s">
        <v>241</v>
      </c>
      <c r="J97" s="22" t="s">
        <v>205</v>
      </c>
      <c r="K97" s="22" t="s">
        <v>65</v>
      </c>
      <c r="L97" s="22" t="s">
        <v>67</v>
      </c>
      <c r="M97" s="22" t="s">
        <v>68</v>
      </c>
    </row>
    <row r="98" spans="1:13">
      <c r="A98" s="22" t="s">
        <v>442</v>
      </c>
      <c r="B98" s="22" t="s">
        <v>443</v>
      </c>
      <c r="C98" s="22" t="s">
        <v>204</v>
      </c>
      <c r="D98" s="22" t="s">
        <v>205</v>
      </c>
      <c r="E98" s="22">
        <v>2</v>
      </c>
      <c r="F98" s="22">
        <v>17</v>
      </c>
      <c r="G98" s="22" t="s">
        <v>419</v>
      </c>
      <c r="H98" s="22" t="s">
        <v>95</v>
      </c>
      <c r="I98" s="22" t="s">
        <v>244</v>
      </c>
      <c r="J98" s="22" t="s">
        <v>205</v>
      </c>
      <c r="K98" s="22" t="s">
        <v>65</v>
      </c>
      <c r="L98" s="22" t="s">
        <v>67</v>
      </c>
      <c r="M98" s="22" t="s">
        <v>68</v>
      </c>
    </row>
    <row r="99" spans="1:13">
      <c r="A99" s="22" t="s">
        <v>444</v>
      </c>
      <c r="B99" s="22" t="s">
        <v>445</v>
      </c>
      <c r="C99" s="22" t="s">
        <v>204</v>
      </c>
      <c r="D99" s="22" t="s">
        <v>205</v>
      </c>
      <c r="E99" s="22">
        <v>8</v>
      </c>
      <c r="F99" s="22">
        <v>44</v>
      </c>
      <c r="G99" s="22" t="s">
        <v>419</v>
      </c>
      <c r="H99" s="22" t="s">
        <v>95</v>
      </c>
      <c r="I99" s="22" t="s">
        <v>247</v>
      </c>
      <c r="J99" s="22" t="s">
        <v>205</v>
      </c>
      <c r="K99" s="22" t="s">
        <v>65</v>
      </c>
      <c r="L99" s="22" t="s">
        <v>67</v>
      </c>
      <c r="M99" s="22" t="s">
        <v>68</v>
      </c>
    </row>
    <row r="100" spans="1:13">
      <c r="A100" s="22" t="s">
        <v>446</v>
      </c>
      <c r="B100" s="22" t="s">
        <v>447</v>
      </c>
      <c r="C100" s="22" t="s">
        <v>204</v>
      </c>
      <c r="D100" s="22" t="s">
        <v>205</v>
      </c>
      <c r="E100" s="22">
        <v>4</v>
      </c>
      <c r="F100" s="22">
        <v>9</v>
      </c>
      <c r="G100" s="22" t="s">
        <v>419</v>
      </c>
      <c r="H100" s="22" t="s">
        <v>95</v>
      </c>
      <c r="I100" s="22" t="s">
        <v>250</v>
      </c>
      <c r="J100" s="22" t="s">
        <v>205</v>
      </c>
      <c r="K100" s="22" t="s">
        <v>65</v>
      </c>
      <c r="L100" s="22" t="s">
        <v>67</v>
      </c>
      <c r="M100" s="22" t="s">
        <v>68</v>
      </c>
    </row>
    <row r="101" spans="1:13">
      <c r="A101" s="22" t="s">
        <v>448</v>
      </c>
      <c r="B101" s="22" t="s">
        <v>449</v>
      </c>
      <c r="C101" s="22" t="s">
        <v>204</v>
      </c>
      <c r="D101" s="22" t="s">
        <v>205</v>
      </c>
      <c r="E101" s="22">
        <v>4</v>
      </c>
      <c r="F101" s="22">
        <v>29</v>
      </c>
      <c r="G101" s="22" t="s">
        <v>419</v>
      </c>
      <c r="H101" s="22" t="s">
        <v>95</v>
      </c>
      <c r="I101" s="22" t="s">
        <v>253</v>
      </c>
      <c r="J101" s="22" t="s">
        <v>205</v>
      </c>
      <c r="K101" s="22" t="s">
        <v>65</v>
      </c>
      <c r="L101" s="22" t="s">
        <v>67</v>
      </c>
      <c r="M101" s="22" t="s">
        <v>68</v>
      </c>
    </row>
    <row r="102" spans="1:13">
      <c r="A102" s="22" t="s">
        <v>450</v>
      </c>
      <c r="B102" s="22" t="s">
        <v>451</v>
      </c>
      <c r="C102" s="22" t="s">
        <v>213</v>
      </c>
      <c r="D102" s="22" t="s">
        <v>205</v>
      </c>
      <c r="E102" s="22">
        <v>2</v>
      </c>
      <c r="F102" s="22">
        <v>30</v>
      </c>
      <c r="G102" s="22" t="s">
        <v>419</v>
      </c>
      <c r="H102" s="22" t="s">
        <v>95</v>
      </c>
      <c r="I102" s="22" t="s">
        <v>256</v>
      </c>
      <c r="J102" s="22" t="s">
        <v>205</v>
      </c>
      <c r="K102" s="22" t="s">
        <v>65</v>
      </c>
      <c r="L102" s="22" t="s">
        <v>67</v>
      </c>
      <c r="M102" s="22" t="s">
        <v>68</v>
      </c>
    </row>
    <row r="103" spans="1:13">
      <c r="A103" s="22" t="s">
        <v>452</v>
      </c>
      <c r="B103" s="22" t="s">
        <v>453</v>
      </c>
      <c r="C103" s="22" t="s">
        <v>204</v>
      </c>
      <c r="D103" s="22" t="s">
        <v>205</v>
      </c>
      <c r="E103" s="22">
        <v>5</v>
      </c>
      <c r="F103" s="22">
        <v>24</v>
      </c>
      <c r="G103" s="22" t="s">
        <v>419</v>
      </c>
      <c r="H103" s="22" t="s">
        <v>95</v>
      </c>
      <c r="I103" s="22" t="s">
        <v>259</v>
      </c>
      <c r="J103" s="22" t="s">
        <v>205</v>
      </c>
      <c r="K103" s="22" t="s">
        <v>65</v>
      </c>
      <c r="L103" s="22" t="s">
        <v>67</v>
      </c>
      <c r="M103" s="22" t="s">
        <v>68</v>
      </c>
    </row>
    <row r="104" spans="1:13">
      <c r="A104" s="22" t="s">
        <v>454</v>
      </c>
      <c r="B104" s="22" t="s">
        <v>455</v>
      </c>
      <c r="C104" s="22" t="s">
        <v>213</v>
      </c>
      <c r="D104" s="22" t="s">
        <v>205</v>
      </c>
      <c r="E104" s="22">
        <v>4</v>
      </c>
      <c r="F104" s="22">
        <v>27</v>
      </c>
      <c r="G104" s="22" t="s">
        <v>419</v>
      </c>
      <c r="H104" s="22" t="s">
        <v>95</v>
      </c>
      <c r="I104" s="22" t="s">
        <v>262</v>
      </c>
      <c r="J104" s="22" t="s">
        <v>205</v>
      </c>
      <c r="K104" s="22" t="s">
        <v>65</v>
      </c>
      <c r="L104" s="22" t="s">
        <v>67</v>
      </c>
      <c r="M104" s="22" t="s">
        <v>68</v>
      </c>
    </row>
    <row r="105" spans="1:13">
      <c r="A105" s="22" t="s">
        <v>456</v>
      </c>
      <c r="B105" s="22" t="s">
        <v>457</v>
      </c>
      <c r="C105" s="22" t="s">
        <v>213</v>
      </c>
      <c r="D105" s="22" t="s">
        <v>205</v>
      </c>
      <c r="E105" s="22">
        <v>2</v>
      </c>
      <c r="F105" s="22">
        <v>50</v>
      </c>
      <c r="G105" s="22" t="s">
        <v>419</v>
      </c>
      <c r="H105" s="22" t="s">
        <v>95</v>
      </c>
      <c r="I105" s="22" t="s">
        <v>265</v>
      </c>
      <c r="J105" s="22" t="s">
        <v>205</v>
      </c>
      <c r="K105" s="22" t="s">
        <v>65</v>
      </c>
      <c r="L105" s="22" t="s">
        <v>67</v>
      </c>
      <c r="M105" s="22" t="s">
        <v>68</v>
      </c>
    </row>
    <row r="106" spans="1:13">
      <c r="A106" s="22" t="s">
        <v>458</v>
      </c>
      <c r="B106" s="22" t="s">
        <v>459</v>
      </c>
      <c r="C106" s="22" t="s">
        <v>204</v>
      </c>
      <c r="D106" s="22" t="s">
        <v>205</v>
      </c>
      <c r="E106" s="22">
        <v>1</v>
      </c>
      <c r="F106" s="22">
        <v>24</v>
      </c>
      <c r="G106" s="22" t="s">
        <v>419</v>
      </c>
      <c r="H106" s="22" t="s">
        <v>95</v>
      </c>
      <c r="I106" s="22" t="s">
        <v>268</v>
      </c>
      <c r="J106" s="22" t="s">
        <v>205</v>
      </c>
      <c r="K106" s="22" t="s">
        <v>65</v>
      </c>
      <c r="L106" s="22" t="s">
        <v>67</v>
      </c>
      <c r="M106" s="22" t="s">
        <v>68</v>
      </c>
    </row>
    <row r="107" spans="1:13">
      <c r="A107" s="22" t="s">
        <v>460</v>
      </c>
      <c r="B107" s="22" t="s">
        <v>461</v>
      </c>
      <c r="C107" s="22" t="s">
        <v>213</v>
      </c>
      <c r="D107" s="22" t="s">
        <v>205</v>
      </c>
      <c r="E107" s="22">
        <v>3</v>
      </c>
      <c r="F107" s="22">
        <v>32</v>
      </c>
      <c r="G107" s="22" t="s">
        <v>419</v>
      </c>
      <c r="H107" s="22" t="s">
        <v>95</v>
      </c>
      <c r="I107" s="22" t="s">
        <v>271</v>
      </c>
      <c r="J107" s="22" t="s">
        <v>205</v>
      </c>
      <c r="K107" s="22" t="s">
        <v>65</v>
      </c>
      <c r="L107" s="22" t="s">
        <v>67</v>
      </c>
      <c r="M107" s="22" t="s">
        <v>68</v>
      </c>
    </row>
    <row r="108" spans="1:13">
      <c r="A108" s="22" t="s">
        <v>462</v>
      </c>
      <c r="B108" s="22" t="s">
        <v>463</v>
      </c>
      <c r="C108" s="22" t="s">
        <v>213</v>
      </c>
      <c r="D108" s="22" t="s">
        <v>205</v>
      </c>
      <c r="E108" s="22">
        <v>2</v>
      </c>
      <c r="F108" s="22">
        <v>13</v>
      </c>
      <c r="G108" s="22" t="s">
        <v>419</v>
      </c>
      <c r="H108" s="22" t="s">
        <v>95</v>
      </c>
      <c r="I108" s="22" t="s">
        <v>274</v>
      </c>
      <c r="J108" s="22" t="s">
        <v>205</v>
      </c>
      <c r="K108" s="22" t="s">
        <v>65</v>
      </c>
      <c r="L108" s="22" t="s">
        <v>67</v>
      </c>
      <c r="M108" s="22" t="s">
        <v>68</v>
      </c>
    </row>
    <row r="109" spans="1:13">
      <c r="A109" s="22" t="s">
        <v>464</v>
      </c>
      <c r="B109" s="22" t="s">
        <v>465</v>
      </c>
      <c r="C109" s="22" t="s">
        <v>204</v>
      </c>
      <c r="D109" s="22" t="s">
        <v>205</v>
      </c>
      <c r="E109" s="22">
        <v>9</v>
      </c>
      <c r="F109" s="22">
        <v>49</v>
      </c>
      <c r="G109" s="22" t="s">
        <v>419</v>
      </c>
      <c r="H109" s="22" t="s">
        <v>95</v>
      </c>
      <c r="I109" s="22" t="s">
        <v>277</v>
      </c>
      <c r="J109" s="22" t="s">
        <v>205</v>
      </c>
      <c r="K109" s="22" t="s">
        <v>65</v>
      </c>
      <c r="L109" s="22" t="s">
        <v>67</v>
      </c>
      <c r="M109" s="22" t="s">
        <v>68</v>
      </c>
    </row>
    <row r="110" spans="1:13">
      <c r="A110" s="22" t="s">
        <v>466</v>
      </c>
      <c r="B110" s="22" t="s">
        <v>467</v>
      </c>
      <c r="C110" s="22" t="s">
        <v>213</v>
      </c>
      <c r="D110" s="22" t="s">
        <v>205</v>
      </c>
      <c r="E110" s="22">
        <v>1</v>
      </c>
      <c r="F110" s="22">
        <v>38</v>
      </c>
      <c r="G110" s="22" t="s">
        <v>419</v>
      </c>
      <c r="H110" s="22" t="s">
        <v>95</v>
      </c>
      <c r="I110" s="22" t="s">
        <v>280</v>
      </c>
      <c r="J110" s="22" t="s">
        <v>205</v>
      </c>
      <c r="K110" s="22" t="s">
        <v>65</v>
      </c>
      <c r="L110" s="22" t="s">
        <v>67</v>
      </c>
      <c r="M110" s="22" t="s">
        <v>68</v>
      </c>
    </row>
    <row r="111" spans="1:13">
      <c r="A111" s="22" t="s">
        <v>468</v>
      </c>
      <c r="B111" s="22" t="s">
        <v>469</v>
      </c>
      <c r="C111" s="22" t="s">
        <v>213</v>
      </c>
      <c r="D111" s="22" t="s">
        <v>205</v>
      </c>
      <c r="E111" s="22">
        <v>1</v>
      </c>
      <c r="F111" s="22">
        <v>45</v>
      </c>
      <c r="G111" s="22" t="s">
        <v>419</v>
      </c>
      <c r="H111" s="22" t="s">
        <v>95</v>
      </c>
      <c r="I111" s="22" t="s">
        <v>283</v>
      </c>
      <c r="J111" s="22" t="s">
        <v>205</v>
      </c>
      <c r="K111" s="22" t="s">
        <v>65</v>
      </c>
      <c r="L111" s="22" t="s">
        <v>67</v>
      </c>
      <c r="M111" s="22" t="s">
        <v>68</v>
      </c>
    </row>
    <row r="112" spans="1:13">
      <c r="A112" s="22" t="s">
        <v>470</v>
      </c>
      <c r="B112" s="22" t="s">
        <v>471</v>
      </c>
      <c r="C112" s="22" t="s">
        <v>204</v>
      </c>
      <c r="D112" s="22" t="s">
        <v>205</v>
      </c>
      <c r="E112" s="22">
        <v>9</v>
      </c>
      <c r="F112" s="22">
        <v>45</v>
      </c>
      <c r="G112" s="22" t="s">
        <v>419</v>
      </c>
      <c r="H112" s="22" t="s">
        <v>95</v>
      </c>
      <c r="I112" s="22" t="s">
        <v>286</v>
      </c>
      <c r="J112" s="22" t="s">
        <v>205</v>
      </c>
      <c r="K112" s="22" t="s">
        <v>65</v>
      </c>
      <c r="L112" s="22" t="s">
        <v>67</v>
      </c>
      <c r="M112" s="22" t="s">
        <v>68</v>
      </c>
    </row>
    <row r="113" spans="1:13">
      <c r="A113" s="22" t="s">
        <v>472</v>
      </c>
      <c r="B113" s="22" t="s">
        <v>473</v>
      </c>
      <c r="C113" s="22" t="s">
        <v>213</v>
      </c>
      <c r="D113" s="22" t="s">
        <v>205</v>
      </c>
      <c r="E113" s="22">
        <v>2</v>
      </c>
      <c r="F113" s="22">
        <v>1</v>
      </c>
      <c r="G113" s="22" t="s">
        <v>419</v>
      </c>
      <c r="H113" s="22" t="s">
        <v>95</v>
      </c>
      <c r="I113" s="22" t="s">
        <v>289</v>
      </c>
      <c r="J113" s="22" t="s">
        <v>205</v>
      </c>
      <c r="K113" s="22" t="s">
        <v>65</v>
      </c>
      <c r="L113" s="22" t="s">
        <v>67</v>
      </c>
      <c r="M113" s="22" t="s">
        <v>68</v>
      </c>
    </row>
    <row r="114" spans="1:13">
      <c r="A114" s="22" t="s">
        <v>474</v>
      </c>
      <c r="B114" s="22" t="s">
        <v>475</v>
      </c>
      <c r="C114" s="22" t="s">
        <v>213</v>
      </c>
      <c r="D114" s="22" t="s">
        <v>205</v>
      </c>
      <c r="E114" s="22">
        <v>5</v>
      </c>
      <c r="F114" s="22">
        <v>4</v>
      </c>
      <c r="G114" s="22" t="s">
        <v>419</v>
      </c>
      <c r="H114" s="22" t="s">
        <v>95</v>
      </c>
      <c r="I114" s="22" t="s">
        <v>292</v>
      </c>
      <c r="J114" s="22" t="s">
        <v>205</v>
      </c>
      <c r="K114" s="22" t="s">
        <v>65</v>
      </c>
      <c r="L114" s="22" t="s">
        <v>67</v>
      </c>
      <c r="M114" s="22" t="s">
        <v>68</v>
      </c>
    </row>
    <row r="115" spans="1:13">
      <c r="A115" s="22" t="s">
        <v>476</v>
      </c>
      <c r="B115" s="22" t="s">
        <v>477</v>
      </c>
      <c r="C115" s="22" t="s">
        <v>204</v>
      </c>
      <c r="D115" s="22" t="s">
        <v>205</v>
      </c>
      <c r="E115" s="22">
        <v>9</v>
      </c>
      <c r="F115" s="22">
        <v>32</v>
      </c>
      <c r="G115" s="22" t="s">
        <v>419</v>
      </c>
      <c r="H115" s="22" t="s">
        <v>95</v>
      </c>
      <c r="I115" s="22" t="s">
        <v>295</v>
      </c>
      <c r="J115" s="22" t="s">
        <v>205</v>
      </c>
      <c r="K115" s="22" t="s">
        <v>65</v>
      </c>
      <c r="L115" s="22" t="s">
        <v>67</v>
      </c>
      <c r="M115" s="22" t="s">
        <v>68</v>
      </c>
    </row>
    <row r="116" spans="1:13">
      <c r="A116" s="22" t="s">
        <v>478</v>
      </c>
      <c r="B116" s="22" t="s">
        <v>479</v>
      </c>
      <c r="C116" s="22" t="s">
        <v>213</v>
      </c>
      <c r="D116" s="22" t="s">
        <v>205</v>
      </c>
      <c r="E116" s="22">
        <v>6</v>
      </c>
      <c r="F116" s="22">
        <v>5</v>
      </c>
      <c r="G116" s="22" t="s">
        <v>419</v>
      </c>
      <c r="H116" s="22" t="s">
        <v>95</v>
      </c>
      <c r="I116" s="22" t="s">
        <v>298</v>
      </c>
      <c r="J116" s="22" t="s">
        <v>205</v>
      </c>
      <c r="K116" s="22" t="s">
        <v>65</v>
      </c>
      <c r="L116" s="22" t="s">
        <v>67</v>
      </c>
      <c r="M116" s="22" t="s">
        <v>68</v>
      </c>
    </row>
    <row r="117" spans="1:13">
      <c r="A117" s="22" t="s">
        <v>480</v>
      </c>
      <c r="B117" s="22" t="s">
        <v>481</v>
      </c>
      <c r="C117" s="22" t="s">
        <v>213</v>
      </c>
      <c r="D117" s="22" t="s">
        <v>205</v>
      </c>
      <c r="E117" s="22">
        <v>8</v>
      </c>
      <c r="F117" s="22">
        <v>26</v>
      </c>
      <c r="G117" s="22" t="s">
        <v>419</v>
      </c>
      <c r="H117" s="22" t="s">
        <v>95</v>
      </c>
      <c r="I117" s="22" t="s">
        <v>301</v>
      </c>
      <c r="J117" s="22" t="s">
        <v>205</v>
      </c>
      <c r="K117" s="22" t="s">
        <v>65</v>
      </c>
      <c r="L117" s="22" t="s">
        <v>67</v>
      </c>
      <c r="M117" s="22" t="s">
        <v>68</v>
      </c>
    </row>
    <row r="118" spans="1:13">
      <c r="A118" s="22" t="s">
        <v>482</v>
      </c>
      <c r="B118" s="22" t="s">
        <v>483</v>
      </c>
      <c r="C118" s="22" t="s">
        <v>213</v>
      </c>
      <c r="D118" s="22" t="s">
        <v>205</v>
      </c>
      <c r="E118" s="22">
        <v>6</v>
      </c>
      <c r="F118" s="22">
        <v>8</v>
      </c>
      <c r="G118" s="22" t="s">
        <v>419</v>
      </c>
      <c r="H118" s="22" t="s">
        <v>95</v>
      </c>
      <c r="I118" s="22" t="s">
        <v>304</v>
      </c>
      <c r="J118" s="22" t="s">
        <v>205</v>
      </c>
      <c r="K118" s="22" t="s">
        <v>65</v>
      </c>
      <c r="L118" s="22" t="s">
        <v>67</v>
      </c>
      <c r="M118" s="22" t="s">
        <v>68</v>
      </c>
    </row>
    <row r="119" spans="1:13">
      <c r="A119" s="22" t="s">
        <v>484</v>
      </c>
      <c r="B119" s="22" t="s">
        <v>485</v>
      </c>
      <c r="C119" s="22" t="s">
        <v>213</v>
      </c>
      <c r="D119" s="22" t="s">
        <v>205</v>
      </c>
      <c r="E119" s="22">
        <v>6</v>
      </c>
      <c r="F119" s="22">
        <v>12</v>
      </c>
      <c r="G119" s="22" t="s">
        <v>419</v>
      </c>
      <c r="H119" s="22" t="s">
        <v>95</v>
      </c>
      <c r="I119" s="22" t="s">
        <v>307</v>
      </c>
      <c r="J119" s="22" t="s">
        <v>205</v>
      </c>
      <c r="K119" s="22" t="s">
        <v>65</v>
      </c>
      <c r="L119" s="22" t="s">
        <v>67</v>
      </c>
      <c r="M119" s="22" t="s">
        <v>68</v>
      </c>
    </row>
    <row r="120" spans="1:13">
      <c r="A120" s="22" t="s">
        <v>486</v>
      </c>
      <c r="B120" s="22" t="s">
        <v>487</v>
      </c>
      <c r="C120" s="22" t="s">
        <v>213</v>
      </c>
      <c r="D120" s="22" t="s">
        <v>205</v>
      </c>
      <c r="E120" s="22">
        <v>2</v>
      </c>
      <c r="F120" s="22">
        <v>10</v>
      </c>
      <c r="G120" s="22" t="s">
        <v>419</v>
      </c>
      <c r="H120" s="22" t="s">
        <v>95</v>
      </c>
      <c r="I120" s="22" t="s">
        <v>310</v>
      </c>
      <c r="J120" s="22" t="s">
        <v>205</v>
      </c>
      <c r="K120" s="22" t="s">
        <v>65</v>
      </c>
      <c r="L120" s="22" t="s">
        <v>67</v>
      </c>
      <c r="M120" s="22" t="s">
        <v>68</v>
      </c>
    </row>
    <row r="121" spans="1:13">
      <c r="A121" s="22" t="s">
        <v>488</v>
      </c>
      <c r="B121" s="22" t="s">
        <v>489</v>
      </c>
      <c r="C121" s="22" t="s">
        <v>213</v>
      </c>
      <c r="D121" s="22" t="s">
        <v>205</v>
      </c>
      <c r="E121" s="22">
        <v>8</v>
      </c>
      <c r="F121" s="22">
        <v>28</v>
      </c>
      <c r="G121" s="22" t="s">
        <v>419</v>
      </c>
      <c r="H121" s="22" t="s">
        <v>95</v>
      </c>
      <c r="I121" s="22" t="s">
        <v>313</v>
      </c>
      <c r="J121" s="22" t="s">
        <v>205</v>
      </c>
      <c r="K121" s="22" t="s">
        <v>65</v>
      </c>
      <c r="L121" s="22" t="s">
        <v>67</v>
      </c>
      <c r="M121" s="22" t="s">
        <v>68</v>
      </c>
    </row>
    <row r="122" spans="1:13">
      <c r="A122" s="22" t="s">
        <v>490</v>
      </c>
      <c r="B122" s="22" t="s">
        <v>491</v>
      </c>
      <c r="C122" s="22" t="s">
        <v>213</v>
      </c>
      <c r="D122" s="22" t="s">
        <v>205</v>
      </c>
      <c r="E122" s="22">
        <v>3</v>
      </c>
      <c r="F122" s="22">
        <v>6</v>
      </c>
      <c r="G122" s="22" t="s">
        <v>419</v>
      </c>
      <c r="H122" s="22" t="s">
        <v>95</v>
      </c>
      <c r="I122" s="22" t="s">
        <v>316</v>
      </c>
      <c r="J122" s="22" t="s">
        <v>205</v>
      </c>
      <c r="K122" s="22" t="s">
        <v>65</v>
      </c>
      <c r="L122" s="22" t="s">
        <v>67</v>
      </c>
      <c r="M122" s="22" t="s">
        <v>68</v>
      </c>
    </row>
    <row r="123" spans="1:13">
      <c r="A123" s="22" t="s">
        <v>492</v>
      </c>
      <c r="B123" s="22" t="s">
        <v>493</v>
      </c>
      <c r="C123" s="22" t="s">
        <v>204</v>
      </c>
      <c r="D123" s="22" t="s">
        <v>205</v>
      </c>
      <c r="E123" s="22">
        <v>6</v>
      </c>
      <c r="F123" s="22">
        <v>29</v>
      </c>
      <c r="G123" s="22" t="s">
        <v>419</v>
      </c>
      <c r="H123" s="22" t="s">
        <v>95</v>
      </c>
      <c r="I123" s="22" t="s">
        <v>319</v>
      </c>
      <c r="J123" s="22" t="s">
        <v>205</v>
      </c>
      <c r="K123" s="22" t="s">
        <v>65</v>
      </c>
      <c r="L123" s="22" t="s">
        <v>67</v>
      </c>
      <c r="M123" s="22" t="s">
        <v>68</v>
      </c>
    </row>
    <row r="124" spans="1:13">
      <c r="A124" s="22" t="s">
        <v>494</v>
      </c>
      <c r="B124" s="22" t="s">
        <v>495</v>
      </c>
      <c r="C124" s="22" t="s">
        <v>213</v>
      </c>
      <c r="D124" s="22" t="s">
        <v>205</v>
      </c>
      <c r="E124" s="22">
        <v>5</v>
      </c>
      <c r="F124" s="22">
        <v>47</v>
      </c>
      <c r="G124" s="22" t="s">
        <v>419</v>
      </c>
      <c r="H124" s="22" t="s">
        <v>95</v>
      </c>
      <c r="I124" s="22" t="s">
        <v>322</v>
      </c>
      <c r="J124" s="22" t="s">
        <v>205</v>
      </c>
      <c r="K124" s="22" t="s">
        <v>65</v>
      </c>
      <c r="L124" s="22" t="s">
        <v>67</v>
      </c>
      <c r="M124" s="22" t="s">
        <v>68</v>
      </c>
    </row>
    <row r="125" spans="1:13">
      <c r="A125" s="22" t="s">
        <v>496</v>
      </c>
      <c r="B125" s="22" t="s">
        <v>497</v>
      </c>
      <c r="C125" s="22" t="s">
        <v>204</v>
      </c>
      <c r="D125" s="22" t="s">
        <v>205</v>
      </c>
      <c r="E125" s="22">
        <v>8</v>
      </c>
      <c r="F125" s="22">
        <v>53</v>
      </c>
      <c r="G125" s="22" t="s">
        <v>419</v>
      </c>
      <c r="H125" s="22" t="s">
        <v>95</v>
      </c>
      <c r="I125" s="22" t="s">
        <v>325</v>
      </c>
      <c r="J125" s="22" t="s">
        <v>205</v>
      </c>
      <c r="K125" s="22" t="s">
        <v>65</v>
      </c>
      <c r="L125" s="22" t="s">
        <v>67</v>
      </c>
      <c r="M125" s="22" t="s">
        <v>68</v>
      </c>
    </row>
    <row r="126" spans="1:13">
      <c r="A126" s="22" t="s">
        <v>498</v>
      </c>
      <c r="B126" s="22" t="s">
        <v>499</v>
      </c>
      <c r="C126" s="22" t="s">
        <v>204</v>
      </c>
      <c r="D126" s="22" t="s">
        <v>205</v>
      </c>
      <c r="E126" s="22">
        <v>8</v>
      </c>
      <c r="F126" s="22">
        <v>34</v>
      </c>
      <c r="G126" s="22" t="s">
        <v>419</v>
      </c>
      <c r="H126" s="22" t="s">
        <v>95</v>
      </c>
      <c r="I126" s="22" t="s">
        <v>328</v>
      </c>
      <c r="J126" s="22" t="s">
        <v>205</v>
      </c>
      <c r="K126" s="22" t="s">
        <v>65</v>
      </c>
      <c r="L126" s="22" t="s">
        <v>67</v>
      </c>
      <c r="M126" s="22" t="s">
        <v>68</v>
      </c>
    </row>
    <row r="127" spans="1:13">
      <c r="A127" s="22" t="s">
        <v>500</v>
      </c>
      <c r="B127" s="22" t="s">
        <v>501</v>
      </c>
      <c r="C127" s="22" t="s">
        <v>204</v>
      </c>
      <c r="D127" s="22" t="s">
        <v>205</v>
      </c>
      <c r="E127" s="22">
        <v>9</v>
      </c>
      <c r="F127" s="22">
        <v>50</v>
      </c>
      <c r="G127" s="22" t="s">
        <v>419</v>
      </c>
      <c r="H127" s="22" t="s">
        <v>95</v>
      </c>
      <c r="I127" s="22" t="s">
        <v>331</v>
      </c>
      <c r="J127" s="22" t="s">
        <v>205</v>
      </c>
      <c r="K127" s="22" t="s">
        <v>65</v>
      </c>
      <c r="L127" s="22" t="s">
        <v>67</v>
      </c>
      <c r="M127" s="22" t="s">
        <v>68</v>
      </c>
    </row>
    <row r="128" spans="1:13">
      <c r="A128" s="22" t="s">
        <v>502</v>
      </c>
      <c r="B128" s="22" t="s">
        <v>503</v>
      </c>
      <c r="C128" s="22" t="s">
        <v>213</v>
      </c>
      <c r="D128" s="22" t="s">
        <v>205</v>
      </c>
      <c r="E128" s="22">
        <v>2</v>
      </c>
      <c r="F128" s="22">
        <v>7</v>
      </c>
      <c r="G128" s="22" t="s">
        <v>504</v>
      </c>
      <c r="H128" s="22" t="s">
        <v>104</v>
      </c>
      <c r="I128" s="22" t="s">
        <v>207</v>
      </c>
      <c r="J128" s="22" t="s">
        <v>205</v>
      </c>
      <c r="K128" s="22" t="s">
        <v>65</v>
      </c>
      <c r="L128" s="22" t="s">
        <v>67</v>
      </c>
      <c r="M128" s="22" t="s">
        <v>68</v>
      </c>
    </row>
    <row r="129" spans="1:13">
      <c r="A129" s="22" t="s">
        <v>505</v>
      </c>
      <c r="B129" s="22" t="s">
        <v>506</v>
      </c>
      <c r="C129" s="22" t="s">
        <v>213</v>
      </c>
      <c r="D129" s="22" t="s">
        <v>205</v>
      </c>
      <c r="E129" s="22">
        <v>6</v>
      </c>
      <c r="F129" s="22">
        <v>16</v>
      </c>
      <c r="G129" s="22" t="s">
        <v>504</v>
      </c>
      <c r="H129" s="22" t="s">
        <v>104</v>
      </c>
      <c r="I129" s="22" t="s">
        <v>210</v>
      </c>
      <c r="J129" s="22" t="s">
        <v>205</v>
      </c>
      <c r="K129" s="22" t="s">
        <v>65</v>
      </c>
      <c r="L129" s="22" t="s">
        <v>67</v>
      </c>
      <c r="M129" s="22" t="s">
        <v>68</v>
      </c>
    </row>
    <row r="130" spans="1:13">
      <c r="A130" s="22" t="s">
        <v>507</v>
      </c>
      <c r="B130" s="22" t="s">
        <v>508</v>
      </c>
      <c r="C130" s="22" t="s">
        <v>213</v>
      </c>
      <c r="D130" s="22" t="s">
        <v>205</v>
      </c>
      <c r="E130" s="22">
        <v>9</v>
      </c>
      <c r="F130" s="22">
        <v>40</v>
      </c>
      <c r="G130" s="22" t="s">
        <v>504</v>
      </c>
      <c r="H130" s="22" t="s">
        <v>104</v>
      </c>
      <c r="I130" s="22" t="s">
        <v>214</v>
      </c>
      <c r="J130" s="22" t="s">
        <v>205</v>
      </c>
      <c r="K130" s="22" t="s">
        <v>65</v>
      </c>
      <c r="L130" s="22" t="s">
        <v>67</v>
      </c>
      <c r="M130" s="22" t="s">
        <v>68</v>
      </c>
    </row>
    <row r="131" spans="1:13">
      <c r="A131" s="22" t="s">
        <v>509</v>
      </c>
      <c r="B131" s="22" t="s">
        <v>510</v>
      </c>
      <c r="C131" s="22" t="s">
        <v>213</v>
      </c>
      <c r="D131" s="22" t="s">
        <v>205</v>
      </c>
      <c r="E131" s="22">
        <v>9</v>
      </c>
      <c r="F131" s="22">
        <v>33</v>
      </c>
      <c r="G131" s="22" t="s">
        <v>504</v>
      </c>
      <c r="H131" s="22" t="s">
        <v>104</v>
      </c>
      <c r="I131" s="22" t="s">
        <v>217</v>
      </c>
      <c r="J131" s="22" t="s">
        <v>205</v>
      </c>
      <c r="K131" s="22" t="s">
        <v>65</v>
      </c>
      <c r="L131" s="22" t="s">
        <v>67</v>
      </c>
      <c r="M131" s="22" t="s">
        <v>68</v>
      </c>
    </row>
    <row r="132" spans="1:13">
      <c r="A132" s="22" t="s">
        <v>511</v>
      </c>
      <c r="B132" s="22" t="s">
        <v>512</v>
      </c>
      <c r="C132" s="22" t="s">
        <v>213</v>
      </c>
      <c r="D132" s="22" t="s">
        <v>205</v>
      </c>
      <c r="E132" s="22">
        <v>1</v>
      </c>
      <c r="F132" s="22">
        <v>51</v>
      </c>
      <c r="G132" s="22" t="s">
        <v>504</v>
      </c>
      <c r="H132" s="22" t="s">
        <v>104</v>
      </c>
      <c r="I132" s="22" t="s">
        <v>220</v>
      </c>
      <c r="J132" s="22" t="s">
        <v>205</v>
      </c>
      <c r="K132" s="22" t="s">
        <v>65</v>
      </c>
      <c r="L132" s="22" t="s">
        <v>67</v>
      </c>
      <c r="M132" s="22" t="s">
        <v>68</v>
      </c>
    </row>
    <row r="133" spans="1:13">
      <c r="A133" s="22" t="s">
        <v>513</v>
      </c>
      <c r="B133" s="22" t="s">
        <v>514</v>
      </c>
      <c r="C133" s="22" t="s">
        <v>204</v>
      </c>
      <c r="D133" s="22" t="s">
        <v>205</v>
      </c>
      <c r="E133" s="22">
        <v>6</v>
      </c>
      <c r="F133" s="22">
        <v>24</v>
      </c>
      <c r="G133" s="22" t="s">
        <v>504</v>
      </c>
      <c r="H133" s="22" t="s">
        <v>104</v>
      </c>
      <c r="I133" s="22" t="s">
        <v>223</v>
      </c>
      <c r="J133" s="22" t="s">
        <v>205</v>
      </c>
      <c r="K133" s="22" t="s">
        <v>65</v>
      </c>
      <c r="L133" s="22" t="s">
        <v>67</v>
      </c>
      <c r="M133" s="22" t="s">
        <v>68</v>
      </c>
    </row>
    <row r="134" spans="1:13">
      <c r="A134" s="22" t="s">
        <v>515</v>
      </c>
      <c r="B134" s="22" t="s">
        <v>516</v>
      </c>
      <c r="C134" s="22" t="s">
        <v>204</v>
      </c>
      <c r="D134" s="22" t="s">
        <v>205</v>
      </c>
      <c r="E134" s="22">
        <v>7</v>
      </c>
      <c r="F134" s="22">
        <v>44</v>
      </c>
      <c r="G134" s="22" t="s">
        <v>504</v>
      </c>
      <c r="H134" s="22" t="s">
        <v>104</v>
      </c>
      <c r="I134" s="22" t="s">
        <v>226</v>
      </c>
      <c r="J134" s="22" t="s">
        <v>205</v>
      </c>
      <c r="K134" s="22" t="s">
        <v>65</v>
      </c>
      <c r="L134" s="22" t="s">
        <v>67</v>
      </c>
      <c r="M134" s="22" t="s">
        <v>68</v>
      </c>
    </row>
    <row r="135" spans="1:13">
      <c r="A135" s="22" t="s">
        <v>517</v>
      </c>
      <c r="B135" s="22" t="s">
        <v>518</v>
      </c>
      <c r="C135" s="22" t="s">
        <v>213</v>
      </c>
      <c r="D135" s="22" t="s">
        <v>205</v>
      </c>
      <c r="E135" s="22">
        <v>1</v>
      </c>
      <c r="F135" s="22">
        <v>14</v>
      </c>
      <c r="G135" s="22" t="s">
        <v>504</v>
      </c>
      <c r="H135" s="22" t="s">
        <v>104</v>
      </c>
      <c r="I135" s="22" t="s">
        <v>229</v>
      </c>
      <c r="J135" s="22" t="s">
        <v>205</v>
      </c>
      <c r="K135" s="22" t="s">
        <v>65</v>
      </c>
      <c r="L135" s="22" t="s">
        <v>67</v>
      </c>
      <c r="M135" s="22" t="s">
        <v>68</v>
      </c>
    </row>
    <row r="136" spans="1:13">
      <c r="A136" s="22" t="s">
        <v>519</v>
      </c>
      <c r="B136" s="22" t="s">
        <v>520</v>
      </c>
      <c r="C136" s="22" t="s">
        <v>213</v>
      </c>
      <c r="D136" s="22" t="s">
        <v>205</v>
      </c>
      <c r="E136" s="22">
        <v>7</v>
      </c>
      <c r="F136" s="22">
        <v>35</v>
      </c>
      <c r="G136" s="22" t="s">
        <v>504</v>
      </c>
      <c r="H136" s="22" t="s">
        <v>104</v>
      </c>
      <c r="I136" s="22" t="s">
        <v>232</v>
      </c>
      <c r="J136" s="22" t="s">
        <v>205</v>
      </c>
      <c r="K136" s="22" t="s">
        <v>65</v>
      </c>
      <c r="L136" s="22" t="s">
        <v>67</v>
      </c>
      <c r="M136" s="22" t="s">
        <v>68</v>
      </c>
    </row>
    <row r="137" spans="1:13">
      <c r="A137" s="22" t="s">
        <v>521</v>
      </c>
      <c r="B137" s="22" t="s">
        <v>522</v>
      </c>
      <c r="C137" s="22" t="s">
        <v>204</v>
      </c>
      <c r="D137" s="22" t="s">
        <v>205</v>
      </c>
      <c r="E137" s="22">
        <v>6</v>
      </c>
      <c r="F137" s="22">
        <v>33</v>
      </c>
      <c r="G137" s="22" t="s">
        <v>504</v>
      </c>
      <c r="H137" s="22" t="s">
        <v>104</v>
      </c>
      <c r="I137" s="22" t="s">
        <v>235</v>
      </c>
      <c r="J137" s="22" t="s">
        <v>205</v>
      </c>
      <c r="K137" s="22" t="s">
        <v>65</v>
      </c>
      <c r="L137" s="22" t="s">
        <v>67</v>
      </c>
      <c r="M137" s="22" t="s">
        <v>68</v>
      </c>
    </row>
    <row r="138" spans="1:13">
      <c r="A138" s="22" t="s">
        <v>523</v>
      </c>
      <c r="B138" s="22" t="s">
        <v>524</v>
      </c>
      <c r="C138" s="22" t="s">
        <v>213</v>
      </c>
      <c r="D138" s="22" t="s">
        <v>205</v>
      </c>
      <c r="E138" s="22">
        <v>7</v>
      </c>
      <c r="F138" s="22">
        <v>24</v>
      </c>
      <c r="G138" s="22" t="s">
        <v>504</v>
      </c>
      <c r="H138" s="22" t="s">
        <v>104</v>
      </c>
      <c r="I138" s="22" t="s">
        <v>238</v>
      </c>
      <c r="J138" s="22" t="s">
        <v>205</v>
      </c>
      <c r="K138" s="22" t="s">
        <v>65</v>
      </c>
      <c r="L138" s="22" t="s">
        <v>67</v>
      </c>
      <c r="M138" s="22" t="s">
        <v>68</v>
      </c>
    </row>
    <row r="139" spans="1:13">
      <c r="A139" s="22" t="s">
        <v>525</v>
      </c>
      <c r="B139" s="22" t="s">
        <v>526</v>
      </c>
      <c r="C139" s="22" t="s">
        <v>204</v>
      </c>
      <c r="D139" s="22" t="s">
        <v>205</v>
      </c>
      <c r="E139" s="22">
        <v>5</v>
      </c>
      <c r="F139" s="22">
        <v>6</v>
      </c>
      <c r="G139" s="22" t="s">
        <v>504</v>
      </c>
      <c r="H139" s="22" t="s">
        <v>104</v>
      </c>
      <c r="I139" s="22" t="s">
        <v>241</v>
      </c>
      <c r="J139" s="22" t="s">
        <v>205</v>
      </c>
      <c r="K139" s="22" t="s">
        <v>65</v>
      </c>
      <c r="L139" s="22" t="s">
        <v>67</v>
      </c>
      <c r="M139" s="22" t="s">
        <v>68</v>
      </c>
    </row>
    <row r="140" spans="1:13">
      <c r="A140" s="22" t="s">
        <v>527</v>
      </c>
      <c r="B140" s="22" t="s">
        <v>528</v>
      </c>
      <c r="C140" s="22" t="s">
        <v>213</v>
      </c>
      <c r="D140" s="22" t="s">
        <v>205</v>
      </c>
      <c r="E140" s="22">
        <v>5</v>
      </c>
      <c r="F140" s="22">
        <v>5</v>
      </c>
      <c r="G140" s="22" t="s">
        <v>504</v>
      </c>
      <c r="H140" s="22" t="s">
        <v>104</v>
      </c>
      <c r="I140" s="22" t="s">
        <v>244</v>
      </c>
      <c r="J140" s="22" t="s">
        <v>205</v>
      </c>
      <c r="K140" s="22" t="s">
        <v>65</v>
      </c>
      <c r="L140" s="22" t="s">
        <v>67</v>
      </c>
      <c r="M140" s="22" t="s">
        <v>68</v>
      </c>
    </row>
    <row r="141" spans="1:13">
      <c r="A141" s="22" t="s">
        <v>529</v>
      </c>
      <c r="B141" s="22" t="s">
        <v>530</v>
      </c>
      <c r="C141" s="22" t="s">
        <v>213</v>
      </c>
      <c r="D141" s="22" t="s">
        <v>205</v>
      </c>
      <c r="E141" s="22">
        <v>5</v>
      </c>
      <c r="F141" s="22">
        <v>7</v>
      </c>
      <c r="G141" s="22" t="s">
        <v>504</v>
      </c>
      <c r="H141" s="22" t="s">
        <v>104</v>
      </c>
      <c r="I141" s="22" t="s">
        <v>247</v>
      </c>
      <c r="J141" s="22" t="s">
        <v>205</v>
      </c>
      <c r="K141" s="22" t="s">
        <v>65</v>
      </c>
      <c r="L141" s="22" t="s">
        <v>67</v>
      </c>
      <c r="M141" s="22" t="s">
        <v>68</v>
      </c>
    </row>
    <row r="142" spans="1:13">
      <c r="A142" s="22" t="s">
        <v>531</v>
      </c>
      <c r="B142" s="22" t="s">
        <v>532</v>
      </c>
      <c r="C142" s="22" t="s">
        <v>213</v>
      </c>
      <c r="D142" s="22" t="s">
        <v>205</v>
      </c>
      <c r="E142" s="22">
        <v>2</v>
      </c>
      <c r="F142" s="22">
        <v>18</v>
      </c>
      <c r="G142" s="22" t="s">
        <v>504</v>
      </c>
      <c r="H142" s="22" t="s">
        <v>104</v>
      </c>
      <c r="I142" s="22" t="s">
        <v>250</v>
      </c>
      <c r="J142" s="22" t="s">
        <v>205</v>
      </c>
      <c r="K142" s="22" t="s">
        <v>65</v>
      </c>
      <c r="L142" s="22" t="s">
        <v>67</v>
      </c>
      <c r="M142" s="22" t="s">
        <v>68</v>
      </c>
    </row>
    <row r="143" spans="1:13">
      <c r="A143" s="22" t="s">
        <v>533</v>
      </c>
      <c r="B143" s="22" t="s">
        <v>534</v>
      </c>
      <c r="C143" s="22" t="s">
        <v>213</v>
      </c>
      <c r="D143" s="22" t="s">
        <v>205</v>
      </c>
      <c r="E143" s="22">
        <v>4</v>
      </c>
      <c r="F143" s="22">
        <v>48</v>
      </c>
      <c r="G143" s="22" t="s">
        <v>504</v>
      </c>
      <c r="H143" s="22" t="s">
        <v>104</v>
      </c>
      <c r="I143" s="22" t="s">
        <v>253</v>
      </c>
      <c r="J143" s="22" t="s">
        <v>205</v>
      </c>
      <c r="K143" s="22" t="s">
        <v>65</v>
      </c>
      <c r="L143" s="22" t="s">
        <v>67</v>
      </c>
      <c r="M143" s="22" t="s">
        <v>68</v>
      </c>
    </row>
    <row r="144" spans="1:13">
      <c r="A144" s="22" t="s">
        <v>535</v>
      </c>
      <c r="B144" s="22" t="s">
        <v>536</v>
      </c>
      <c r="C144" s="22" t="s">
        <v>213</v>
      </c>
      <c r="D144" s="22" t="s">
        <v>205</v>
      </c>
      <c r="E144" s="22">
        <v>3</v>
      </c>
      <c r="F144" s="22">
        <v>39</v>
      </c>
      <c r="G144" s="22" t="s">
        <v>504</v>
      </c>
      <c r="H144" s="22" t="s">
        <v>104</v>
      </c>
      <c r="I144" s="22" t="s">
        <v>256</v>
      </c>
      <c r="J144" s="22" t="s">
        <v>205</v>
      </c>
      <c r="K144" s="22" t="s">
        <v>65</v>
      </c>
      <c r="L144" s="22" t="s">
        <v>67</v>
      </c>
      <c r="M144" s="22" t="s">
        <v>68</v>
      </c>
    </row>
    <row r="145" spans="1:13">
      <c r="A145" s="22" t="s">
        <v>537</v>
      </c>
      <c r="B145" s="22" t="s">
        <v>538</v>
      </c>
      <c r="C145" s="22" t="s">
        <v>204</v>
      </c>
      <c r="D145" s="22" t="s">
        <v>205</v>
      </c>
      <c r="E145" s="22">
        <v>7</v>
      </c>
      <c r="F145" s="22">
        <v>45</v>
      </c>
      <c r="G145" s="22" t="s">
        <v>504</v>
      </c>
      <c r="H145" s="22" t="s">
        <v>104</v>
      </c>
      <c r="I145" s="22" t="s">
        <v>259</v>
      </c>
      <c r="J145" s="22" t="s">
        <v>205</v>
      </c>
      <c r="K145" s="22" t="s">
        <v>65</v>
      </c>
      <c r="L145" s="22" t="s">
        <v>67</v>
      </c>
      <c r="M145" s="22" t="s">
        <v>68</v>
      </c>
    </row>
    <row r="146" spans="1:13">
      <c r="A146" s="22" t="s">
        <v>539</v>
      </c>
      <c r="B146" s="22" t="s">
        <v>540</v>
      </c>
      <c r="C146" s="22" t="s">
        <v>204</v>
      </c>
      <c r="D146" s="22" t="s">
        <v>205</v>
      </c>
      <c r="E146" s="22">
        <v>9</v>
      </c>
      <c r="F146" s="22">
        <v>27</v>
      </c>
      <c r="G146" s="22" t="s">
        <v>504</v>
      </c>
      <c r="H146" s="22" t="s">
        <v>104</v>
      </c>
      <c r="I146" s="22" t="s">
        <v>262</v>
      </c>
      <c r="J146" s="22" t="s">
        <v>205</v>
      </c>
      <c r="K146" s="22" t="s">
        <v>65</v>
      </c>
      <c r="L146" s="22" t="s">
        <v>67</v>
      </c>
      <c r="M146" s="22" t="s">
        <v>68</v>
      </c>
    </row>
    <row r="147" spans="1:13">
      <c r="A147" s="22" t="s">
        <v>541</v>
      </c>
      <c r="B147" s="22" t="s">
        <v>542</v>
      </c>
      <c r="C147" s="22" t="s">
        <v>204</v>
      </c>
      <c r="D147" s="22" t="s">
        <v>205</v>
      </c>
      <c r="E147" s="22">
        <v>9</v>
      </c>
      <c r="F147" s="22">
        <v>54</v>
      </c>
      <c r="G147" s="22" t="s">
        <v>504</v>
      </c>
      <c r="H147" s="22" t="s">
        <v>104</v>
      </c>
      <c r="I147" s="22" t="s">
        <v>265</v>
      </c>
      <c r="J147" s="22" t="s">
        <v>205</v>
      </c>
      <c r="K147" s="22" t="s">
        <v>65</v>
      </c>
      <c r="L147" s="22" t="s">
        <v>67</v>
      </c>
      <c r="M147" s="22" t="s">
        <v>68</v>
      </c>
    </row>
    <row r="148" spans="1:13">
      <c r="A148" s="22" t="s">
        <v>543</v>
      </c>
      <c r="B148" s="22" t="s">
        <v>544</v>
      </c>
      <c r="C148" s="22" t="s">
        <v>213</v>
      </c>
      <c r="D148" s="22" t="s">
        <v>205</v>
      </c>
      <c r="E148" s="22">
        <v>1</v>
      </c>
      <c r="F148" s="22">
        <v>23</v>
      </c>
      <c r="G148" s="22" t="s">
        <v>504</v>
      </c>
      <c r="H148" s="22" t="s">
        <v>104</v>
      </c>
      <c r="I148" s="22" t="s">
        <v>268</v>
      </c>
      <c r="J148" s="22" t="s">
        <v>205</v>
      </c>
      <c r="K148" s="22" t="s">
        <v>65</v>
      </c>
      <c r="L148" s="22" t="s">
        <v>67</v>
      </c>
      <c r="M148" s="22" t="s">
        <v>68</v>
      </c>
    </row>
    <row r="149" spans="1:13">
      <c r="A149" s="22" t="s">
        <v>545</v>
      </c>
      <c r="B149" s="22" t="s">
        <v>546</v>
      </c>
      <c r="C149" s="22" t="s">
        <v>213</v>
      </c>
      <c r="D149" s="22" t="s">
        <v>205</v>
      </c>
      <c r="E149" s="22">
        <v>7</v>
      </c>
      <c r="F149" s="22">
        <v>29</v>
      </c>
      <c r="G149" s="22" t="s">
        <v>504</v>
      </c>
      <c r="H149" s="22" t="s">
        <v>104</v>
      </c>
      <c r="I149" s="22" t="s">
        <v>271</v>
      </c>
      <c r="J149" s="22" t="s">
        <v>205</v>
      </c>
      <c r="K149" s="22" t="s">
        <v>65</v>
      </c>
      <c r="L149" s="22" t="s">
        <v>67</v>
      </c>
      <c r="M149" s="22" t="s">
        <v>68</v>
      </c>
    </row>
    <row r="150" spans="1:13">
      <c r="A150" s="22" t="s">
        <v>547</v>
      </c>
      <c r="B150" s="22" t="s">
        <v>548</v>
      </c>
      <c r="C150" s="22" t="s">
        <v>204</v>
      </c>
      <c r="D150" s="22" t="s">
        <v>205</v>
      </c>
      <c r="E150" s="22">
        <v>5</v>
      </c>
      <c r="F150" s="22">
        <v>43</v>
      </c>
      <c r="G150" s="22" t="s">
        <v>504</v>
      </c>
      <c r="H150" s="22" t="s">
        <v>104</v>
      </c>
      <c r="I150" s="22" t="s">
        <v>274</v>
      </c>
      <c r="J150" s="22" t="s">
        <v>205</v>
      </c>
      <c r="K150" s="22" t="s">
        <v>65</v>
      </c>
      <c r="L150" s="22" t="s">
        <v>67</v>
      </c>
      <c r="M150" s="22" t="s">
        <v>68</v>
      </c>
    </row>
    <row r="151" spans="1:13">
      <c r="A151" s="22" t="s">
        <v>549</v>
      </c>
      <c r="B151" s="22" t="s">
        <v>550</v>
      </c>
      <c r="C151" s="22" t="s">
        <v>213</v>
      </c>
      <c r="D151" s="22" t="s">
        <v>205</v>
      </c>
      <c r="E151" s="22">
        <v>8</v>
      </c>
      <c r="F151" s="22">
        <v>35</v>
      </c>
      <c r="G151" s="22" t="s">
        <v>504</v>
      </c>
      <c r="H151" s="22" t="s">
        <v>104</v>
      </c>
      <c r="I151" s="22" t="s">
        <v>277</v>
      </c>
      <c r="J151" s="22" t="s">
        <v>205</v>
      </c>
      <c r="K151" s="22" t="s">
        <v>65</v>
      </c>
      <c r="L151" s="22" t="s">
        <v>67</v>
      </c>
      <c r="M151" s="22" t="s">
        <v>68</v>
      </c>
    </row>
    <row r="152" spans="1:13">
      <c r="A152" s="22" t="s">
        <v>551</v>
      </c>
      <c r="B152" s="22" t="s">
        <v>552</v>
      </c>
      <c r="C152" s="22" t="s">
        <v>213</v>
      </c>
      <c r="D152" s="22" t="s">
        <v>205</v>
      </c>
      <c r="E152" s="22">
        <v>5</v>
      </c>
      <c r="F152" s="22">
        <v>53</v>
      </c>
      <c r="G152" s="22" t="s">
        <v>504</v>
      </c>
      <c r="H152" s="22" t="s">
        <v>104</v>
      </c>
      <c r="I152" s="22" t="s">
        <v>280</v>
      </c>
      <c r="J152" s="22" t="s">
        <v>205</v>
      </c>
      <c r="K152" s="22" t="s">
        <v>65</v>
      </c>
      <c r="L152" s="22" t="s">
        <v>67</v>
      </c>
      <c r="M152" s="22" t="s">
        <v>68</v>
      </c>
    </row>
    <row r="153" spans="1:13">
      <c r="A153" s="22" t="s">
        <v>553</v>
      </c>
      <c r="B153" s="22" t="s">
        <v>554</v>
      </c>
      <c r="C153" s="22" t="s">
        <v>204</v>
      </c>
      <c r="D153" s="22" t="s">
        <v>205</v>
      </c>
      <c r="E153" s="22">
        <v>5</v>
      </c>
      <c r="F153" s="22">
        <v>14</v>
      </c>
      <c r="G153" s="22" t="s">
        <v>504</v>
      </c>
      <c r="H153" s="22" t="s">
        <v>104</v>
      </c>
      <c r="I153" s="22" t="s">
        <v>283</v>
      </c>
      <c r="J153" s="22" t="s">
        <v>205</v>
      </c>
      <c r="K153" s="22" t="s">
        <v>65</v>
      </c>
      <c r="L153" s="22" t="s">
        <v>67</v>
      </c>
      <c r="M153" s="22" t="s">
        <v>68</v>
      </c>
    </row>
    <row r="154" spans="1:13">
      <c r="A154" s="22" t="s">
        <v>555</v>
      </c>
      <c r="B154" s="22" t="s">
        <v>556</v>
      </c>
      <c r="C154" s="22" t="s">
        <v>204</v>
      </c>
      <c r="D154" s="22" t="s">
        <v>205</v>
      </c>
      <c r="E154" s="22">
        <v>8</v>
      </c>
      <c r="F154" s="22">
        <v>52</v>
      </c>
      <c r="G154" s="22" t="s">
        <v>504</v>
      </c>
      <c r="H154" s="22" t="s">
        <v>104</v>
      </c>
      <c r="I154" s="22" t="s">
        <v>286</v>
      </c>
      <c r="J154" s="22" t="s">
        <v>205</v>
      </c>
      <c r="K154" s="22" t="s">
        <v>65</v>
      </c>
      <c r="L154" s="22" t="s">
        <v>67</v>
      </c>
      <c r="M154" s="22" t="s">
        <v>68</v>
      </c>
    </row>
    <row r="155" spans="1:13">
      <c r="A155" s="22" t="s">
        <v>557</v>
      </c>
      <c r="B155" s="22" t="s">
        <v>558</v>
      </c>
      <c r="C155" s="22" t="s">
        <v>204</v>
      </c>
      <c r="D155" s="22" t="s">
        <v>205</v>
      </c>
      <c r="E155" s="22">
        <v>5</v>
      </c>
      <c r="F155" s="22">
        <v>28</v>
      </c>
      <c r="G155" s="22" t="s">
        <v>504</v>
      </c>
      <c r="H155" s="22" t="s">
        <v>104</v>
      </c>
      <c r="I155" s="22" t="s">
        <v>289</v>
      </c>
      <c r="J155" s="22" t="s">
        <v>205</v>
      </c>
      <c r="K155" s="22" t="s">
        <v>65</v>
      </c>
      <c r="L155" s="22" t="s">
        <v>67</v>
      </c>
      <c r="M155" s="22" t="s">
        <v>68</v>
      </c>
    </row>
    <row r="156" spans="1:13">
      <c r="A156" s="22" t="s">
        <v>559</v>
      </c>
      <c r="B156" s="22" t="s">
        <v>560</v>
      </c>
      <c r="C156" s="22" t="s">
        <v>213</v>
      </c>
      <c r="D156" s="22" t="s">
        <v>205</v>
      </c>
      <c r="E156" s="22">
        <v>7</v>
      </c>
      <c r="F156" s="22">
        <v>20</v>
      </c>
      <c r="G156" s="22" t="s">
        <v>504</v>
      </c>
      <c r="H156" s="22" t="s">
        <v>104</v>
      </c>
      <c r="I156" s="22" t="s">
        <v>292</v>
      </c>
      <c r="J156" s="22" t="s">
        <v>205</v>
      </c>
      <c r="K156" s="22" t="s">
        <v>65</v>
      </c>
      <c r="L156" s="22" t="s">
        <v>67</v>
      </c>
      <c r="M156" s="22" t="s">
        <v>68</v>
      </c>
    </row>
    <row r="157" spans="1:13">
      <c r="A157" s="22" t="s">
        <v>561</v>
      </c>
      <c r="B157" s="22" t="s">
        <v>562</v>
      </c>
      <c r="C157" s="22" t="s">
        <v>204</v>
      </c>
      <c r="D157" s="22" t="s">
        <v>205</v>
      </c>
      <c r="E157" s="22">
        <v>3</v>
      </c>
      <c r="F157" s="22">
        <v>11</v>
      </c>
      <c r="G157" s="22" t="s">
        <v>504</v>
      </c>
      <c r="H157" s="22" t="s">
        <v>104</v>
      </c>
      <c r="I157" s="22" t="s">
        <v>295</v>
      </c>
      <c r="J157" s="22" t="s">
        <v>205</v>
      </c>
      <c r="K157" s="22" t="s">
        <v>65</v>
      </c>
      <c r="L157" s="22" t="s">
        <v>67</v>
      </c>
      <c r="M157" s="22" t="s">
        <v>68</v>
      </c>
    </row>
    <row r="158" spans="1:13">
      <c r="A158" s="22" t="s">
        <v>563</v>
      </c>
      <c r="B158" s="22" t="s">
        <v>564</v>
      </c>
      <c r="C158" s="22" t="s">
        <v>204</v>
      </c>
      <c r="D158" s="22" t="s">
        <v>205</v>
      </c>
      <c r="E158" s="22">
        <v>8</v>
      </c>
      <c r="F158" s="22">
        <v>43</v>
      </c>
      <c r="G158" s="22" t="s">
        <v>504</v>
      </c>
      <c r="H158" s="22" t="s">
        <v>104</v>
      </c>
      <c r="I158" s="22" t="s">
        <v>298</v>
      </c>
      <c r="J158" s="22" t="s">
        <v>205</v>
      </c>
      <c r="K158" s="22" t="s">
        <v>65</v>
      </c>
      <c r="L158" s="22" t="s">
        <v>67</v>
      </c>
      <c r="M158" s="22" t="s">
        <v>68</v>
      </c>
    </row>
    <row r="159" spans="1:13">
      <c r="A159" s="22" t="s">
        <v>565</v>
      </c>
      <c r="B159" s="22" t="s">
        <v>566</v>
      </c>
      <c r="C159" s="22" t="s">
        <v>213</v>
      </c>
      <c r="D159" s="22" t="s">
        <v>205</v>
      </c>
      <c r="E159" s="22">
        <v>8</v>
      </c>
      <c r="F159" s="22">
        <v>14</v>
      </c>
      <c r="G159" s="22" t="s">
        <v>504</v>
      </c>
      <c r="H159" s="22" t="s">
        <v>104</v>
      </c>
      <c r="I159" s="22" t="s">
        <v>301</v>
      </c>
      <c r="J159" s="22" t="s">
        <v>205</v>
      </c>
      <c r="K159" s="22" t="s">
        <v>65</v>
      </c>
      <c r="L159" s="22" t="s">
        <v>67</v>
      </c>
      <c r="M159" s="22" t="s">
        <v>68</v>
      </c>
    </row>
    <row r="160" spans="1:13">
      <c r="A160" s="22" t="s">
        <v>567</v>
      </c>
      <c r="B160" s="22" t="s">
        <v>568</v>
      </c>
      <c r="C160" s="22" t="s">
        <v>213</v>
      </c>
      <c r="D160" s="22" t="s">
        <v>205</v>
      </c>
      <c r="E160" s="22">
        <v>4</v>
      </c>
      <c r="F160" s="22">
        <v>30</v>
      </c>
      <c r="G160" s="22" t="s">
        <v>504</v>
      </c>
      <c r="H160" s="22" t="s">
        <v>104</v>
      </c>
      <c r="I160" s="22" t="s">
        <v>304</v>
      </c>
      <c r="J160" s="22" t="s">
        <v>205</v>
      </c>
      <c r="K160" s="22" t="s">
        <v>65</v>
      </c>
      <c r="L160" s="22" t="s">
        <v>67</v>
      </c>
      <c r="M160" s="22" t="s">
        <v>68</v>
      </c>
    </row>
    <row r="161" spans="1:13">
      <c r="A161" s="22" t="s">
        <v>569</v>
      </c>
      <c r="B161" s="22" t="s">
        <v>570</v>
      </c>
      <c r="C161" s="22" t="s">
        <v>213</v>
      </c>
      <c r="D161" s="22" t="s">
        <v>205</v>
      </c>
      <c r="E161" s="22">
        <v>7</v>
      </c>
      <c r="F161" s="22">
        <v>34</v>
      </c>
      <c r="G161" s="22" t="s">
        <v>504</v>
      </c>
      <c r="H161" s="22" t="s">
        <v>104</v>
      </c>
      <c r="I161" s="22" t="s">
        <v>307</v>
      </c>
      <c r="J161" s="22" t="s">
        <v>205</v>
      </c>
      <c r="K161" s="22" t="s">
        <v>65</v>
      </c>
      <c r="L161" s="22" t="s">
        <v>67</v>
      </c>
      <c r="M161" s="22" t="s">
        <v>68</v>
      </c>
    </row>
    <row r="162" spans="1:13">
      <c r="A162" s="22" t="s">
        <v>571</v>
      </c>
      <c r="B162" s="22" t="s">
        <v>572</v>
      </c>
      <c r="C162" s="22" t="s">
        <v>213</v>
      </c>
      <c r="D162" s="22" t="s">
        <v>205</v>
      </c>
      <c r="E162" s="22">
        <v>8</v>
      </c>
      <c r="F162" s="22">
        <v>36</v>
      </c>
      <c r="G162" s="22" t="s">
        <v>504</v>
      </c>
      <c r="H162" s="22" t="s">
        <v>104</v>
      </c>
      <c r="I162" s="22" t="s">
        <v>310</v>
      </c>
      <c r="J162" s="22" t="s">
        <v>205</v>
      </c>
      <c r="K162" s="22" t="s">
        <v>65</v>
      </c>
      <c r="L162" s="22" t="s">
        <v>67</v>
      </c>
      <c r="M162" s="22" t="s">
        <v>68</v>
      </c>
    </row>
    <row r="163" spans="1:13">
      <c r="A163" s="22" t="s">
        <v>573</v>
      </c>
      <c r="B163" s="22" t="s">
        <v>574</v>
      </c>
      <c r="C163" s="22" t="s">
        <v>204</v>
      </c>
      <c r="D163" s="22" t="s">
        <v>205</v>
      </c>
      <c r="E163" s="22">
        <v>8</v>
      </c>
      <c r="F163" s="22">
        <v>19</v>
      </c>
      <c r="G163" s="22" t="s">
        <v>504</v>
      </c>
      <c r="H163" s="22" t="s">
        <v>104</v>
      </c>
      <c r="I163" s="22" t="s">
        <v>313</v>
      </c>
      <c r="J163" s="22" t="s">
        <v>205</v>
      </c>
      <c r="K163" s="22" t="s">
        <v>65</v>
      </c>
      <c r="L163" s="22" t="s">
        <v>67</v>
      </c>
      <c r="M163" s="22" t="s">
        <v>68</v>
      </c>
    </row>
    <row r="164" spans="1:13">
      <c r="A164" s="22" t="s">
        <v>575</v>
      </c>
      <c r="B164" s="22" t="s">
        <v>576</v>
      </c>
      <c r="C164" s="22" t="s">
        <v>213</v>
      </c>
      <c r="D164" s="22" t="s">
        <v>205</v>
      </c>
      <c r="E164" s="22">
        <v>4</v>
      </c>
      <c r="F164" s="22">
        <v>40</v>
      </c>
      <c r="G164" s="22" t="s">
        <v>504</v>
      </c>
      <c r="H164" s="22" t="s">
        <v>104</v>
      </c>
      <c r="I164" s="22" t="s">
        <v>316</v>
      </c>
      <c r="J164" s="22" t="s">
        <v>205</v>
      </c>
      <c r="K164" s="22" t="s">
        <v>65</v>
      </c>
      <c r="L164" s="22" t="s">
        <v>67</v>
      </c>
      <c r="M164" s="22" t="s">
        <v>68</v>
      </c>
    </row>
    <row r="165" spans="1:13">
      <c r="A165" s="22" t="s">
        <v>577</v>
      </c>
      <c r="B165" s="22" t="s">
        <v>578</v>
      </c>
      <c r="C165" s="22" t="s">
        <v>213</v>
      </c>
      <c r="D165" s="22" t="s">
        <v>205</v>
      </c>
      <c r="E165" s="22">
        <v>1</v>
      </c>
      <c r="F165" s="22">
        <v>30</v>
      </c>
      <c r="G165" s="22" t="s">
        <v>504</v>
      </c>
      <c r="H165" s="22" t="s">
        <v>104</v>
      </c>
      <c r="I165" s="22" t="s">
        <v>319</v>
      </c>
      <c r="J165" s="22" t="s">
        <v>205</v>
      </c>
      <c r="K165" s="22" t="s">
        <v>65</v>
      </c>
      <c r="L165" s="22" t="s">
        <v>67</v>
      </c>
      <c r="M165" s="22" t="s">
        <v>68</v>
      </c>
    </row>
    <row r="166" spans="1:13">
      <c r="A166" s="22" t="s">
        <v>579</v>
      </c>
      <c r="B166" s="22" t="s">
        <v>580</v>
      </c>
      <c r="C166" s="22" t="s">
        <v>204</v>
      </c>
      <c r="D166" s="22" t="s">
        <v>205</v>
      </c>
      <c r="E166" s="22">
        <v>8</v>
      </c>
      <c r="F166" s="22">
        <v>41</v>
      </c>
      <c r="G166" s="22" t="s">
        <v>504</v>
      </c>
      <c r="H166" s="22" t="s">
        <v>104</v>
      </c>
      <c r="I166" s="22" t="s">
        <v>322</v>
      </c>
      <c r="J166" s="22" t="s">
        <v>205</v>
      </c>
      <c r="K166" s="22" t="s">
        <v>65</v>
      </c>
      <c r="L166" s="22" t="s">
        <v>67</v>
      </c>
      <c r="M166" s="22" t="s">
        <v>68</v>
      </c>
    </row>
    <row r="167" spans="1:13">
      <c r="A167" s="22" t="s">
        <v>581</v>
      </c>
      <c r="B167" s="22" t="s">
        <v>582</v>
      </c>
      <c r="C167" s="22" t="s">
        <v>213</v>
      </c>
      <c r="D167" s="22" t="s">
        <v>205</v>
      </c>
      <c r="E167" s="22">
        <v>3</v>
      </c>
      <c r="F167" s="22">
        <v>9</v>
      </c>
      <c r="G167" s="22" t="s">
        <v>504</v>
      </c>
      <c r="H167" s="22" t="s">
        <v>104</v>
      </c>
      <c r="I167" s="22" t="s">
        <v>325</v>
      </c>
      <c r="J167" s="22" t="s">
        <v>205</v>
      </c>
      <c r="K167" s="22" t="s">
        <v>65</v>
      </c>
      <c r="L167" s="22" t="s">
        <v>67</v>
      </c>
      <c r="M167" s="22" t="s">
        <v>68</v>
      </c>
    </row>
    <row r="168" spans="1:13">
      <c r="A168" s="22" t="s">
        <v>583</v>
      </c>
      <c r="B168" s="22" t="s">
        <v>584</v>
      </c>
      <c r="C168" s="22" t="s">
        <v>213</v>
      </c>
      <c r="D168" s="22" t="s">
        <v>205</v>
      </c>
      <c r="E168" s="22">
        <v>9</v>
      </c>
      <c r="F168" s="22">
        <v>19</v>
      </c>
      <c r="G168" s="22" t="s">
        <v>504</v>
      </c>
      <c r="H168" s="22" t="s">
        <v>104</v>
      </c>
      <c r="I168" s="22" t="s">
        <v>328</v>
      </c>
      <c r="J168" s="22" t="s">
        <v>205</v>
      </c>
      <c r="K168" s="22" t="s">
        <v>65</v>
      </c>
      <c r="L168" s="22" t="s">
        <v>67</v>
      </c>
      <c r="M168" s="22" t="s">
        <v>68</v>
      </c>
    </row>
    <row r="169" spans="1:13">
      <c r="A169" s="22" t="s">
        <v>585</v>
      </c>
      <c r="B169" s="22" t="s">
        <v>586</v>
      </c>
      <c r="C169" s="22" t="s">
        <v>204</v>
      </c>
      <c r="D169" s="22" t="s">
        <v>205</v>
      </c>
      <c r="E169" s="22">
        <v>3</v>
      </c>
      <c r="F169" s="22">
        <v>34</v>
      </c>
      <c r="G169" s="22" t="s">
        <v>504</v>
      </c>
      <c r="H169" s="22" t="s">
        <v>104</v>
      </c>
      <c r="I169" s="22" t="s">
        <v>331</v>
      </c>
      <c r="J169" s="22" t="s">
        <v>205</v>
      </c>
      <c r="K169" s="22" t="s">
        <v>65</v>
      </c>
      <c r="L169" s="22" t="s">
        <v>67</v>
      </c>
      <c r="M169" s="22" t="s">
        <v>68</v>
      </c>
    </row>
    <row r="170" spans="1:13">
      <c r="A170" s="22" t="s">
        <v>587</v>
      </c>
      <c r="B170" s="22" t="s">
        <v>588</v>
      </c>
      <c r="C170" s="22" t="s">
        <v>213</v>
      </c>
      <c r="D170" s="22" t="s">
        <v>205</v>
      </c>
      <c r="E170" s="22">
        <v>3</v>
      </c>
      <c r="F170" s="22">
        <v>10</v>
      </c>
      <c r="G170" s="22" t="s">
        <v>589</v>
      </c>
      <c r="H170" s="22" t="s">
        <v>110</v>
      </c>
      <c r="I170" s="22" t="s">
        <v>207</v>
      </c>
      <c r="J170" s="22" t="s">
        <v>205</v>
      </c>
      <c r="K170" s="22" t="s">
        <v>65</v>
      </c>
      <c r="L170" s="22" t="s">
        <v>67</v>
      </c>
      <c r="M170" s="22" t="s">
        <v>68</v>
      </c>
    </row>
    <row r="171" spans="1:13">
      <c r="A171" s="22" t="s">
        <v>590</v>
      </c>
      <c r="B171" s="22" t="s">
        <v>591</v>
      </c>
      <c r="C171" s="22" t="s">
        <v>213</v>
      </c>
      <c r="D171" s="22" t="s">
        <v>205</v>
      </c>
      <c r="E171" s="22">
        <v>7</v>
      </c>
      <c r="F171" s="22">
        <v>23</v>
      </c>
      <c r="G171" s="22" t="s">
        <v>589</v>
      </c>
      <c r="H171" s="22" t="s">
        <v>110</v>
      </c>
      <c r="I171" s="22" t="s">
        <v>210</v>
      </c>
      <c r="J171" s="22" t="s">
        <v>205</v>
      </c>
      <c r="K171" s="22" t="s">
        <v>65</v>
      </c>
      <c r="L171" s="22" t="s">
        <v>67</v>
      </c>
      <c r="M171" s="22" t="s">
        <v>68</v>
      </c>
    </row>
    <row r="172" spans="1:13">
      <c r="A172" s="22" t="s">
        <v>592</v>
      </c>
      <c r="B172" s="22" t="s">
        <v>593</v>
      </c>
      <c r="C172" s="22" t="s">
        <v>213</v>
      </c>
      <c r="D172" s="22" t="s">
        <v>205</v>
      </c>
      <c r="E172" s="22">
        <v>1</v>
      </c>
      <c r="F172" s="22">
        <v>20</v>
      </c>
      <c r="G172" s="22" t="s">
        <v>589</v>
      </c>
      <c r="H172" s="22" t="s">
        <v>110</v>
      </c>
      <c r="I172" s="22" t="s">
        <v>214</v>
      </c>
      <c r="J172" s="22" t="s">
        <v>205</v>
      </c>
      <c r="K172" s="22" t="s">
        <v>65</v>
      </c>
      <c r="L172" s="22" t="s">
        <v>67</v>
      </c>
      <c r="M172" s="22" t="s">
        <v>68</v>
      </c>
    </row>
    <row r="173" spans="1:13">
      <c r="A173" s="22" t="s">
        <v>594</v>
      </c>
      <c r="B173" s="22" t="s">
        <v>595</v>
      </c>
      <c r="C173" s="22" t="s">
        <v>204</v>
      </c>
      <c r="D173" s="22" t="s">
        <v>205</v>
      </c>
      <c r="E173" s="22">
        <v>3</v>
      </c>
      <c r="F173" s="22">
        <v>45</v>
      </c>
      <c r="G173" s="22" t="s">
        <v>589</v>
      </c>
      <c r="H173" s="22" t="s">
        <v>110</v>
      </c>
      <c r="I173" s="22" t="s">
        <v>217</v>
      </c>
      <c r="J173" s="22" t="s">
        <v>205</v>
      </c>
      <c r="K173" s="22" t="s">
        <v>65</v>
      </c>
      <c r="L173" s="22" t="s">
        <v>67</v>
      </c>
      <c r="M173" s="22" t="s">
        <v>68</v>
      </c>
    </row>
    <row r="174" spans="1:13">
      <c r="A174" s="22" t="s">
        <v>596</v>
      </c>
      <c r="B174" s="22" t="s">
        <v>597</v>
      </c>
      <c r="C174" s="22" t="s">
        <v>213</v>
      </c>
      <c r="D174" s="22" t="s">
        <v>205</v>
      </c>
      <c r="E174" s="22">
        <v>4</v>
      </c>
      <c r="F174" s="22">
        <v>42</v>
      </c>
      <c r="G174" s="22" t="s">
        <v>589</v>
      </c>
      <c r="H174" s="22" t="s">
        <v>110</v>
      </c>
      <c r="I174" s="22" t="s">
        <v>220</v>
      </c>
      <c r="J174" s="22" t="s">
        <v>205</v>
      </c>
      <c r="K174" s="22" t="s">
        <v>65</v>
      </c>
      <c r="L174" s="22" t="s">
        <v>67</v>
      </c>
      <c r="M174" s="22" t="s">
        <v>68</v>
      </c>
    </row>
    <row r="175" spans="1:13">
      <c r="A175" s="22" t="s">
        <v>598</v>
      </c>
      <c r="B175" s="22" t="s">
        <v>599</v>
      </c>
      <c r="C175" s="22" t="s">
        <v>213</v>
      </c>
      <c r="D175" s="22" t="s">
        <v>205</v>
      </c>
      <c r="E175" s="22">
        <v>7</v>
      </c>
      <c r="F175" s="22">
        <v>46</v>
      </c>
      <c r="G175" s="22" t="s">
        <v>589</v>
      </c>
      <c r="H175" s="22" t="s">
        <v>110</v>
      </c>
      <c r="I175" s="22" t="s">
        <v>223</v>
      </c>
      <c r="J175" s="22" t="s">
        <v>205</v>
      </c>
      <c r="K175" s="22" t="s">
        <v>65</v>
      </c>
      <c r="L175" s="22" t="s">
        <v>67</v>
      </c>
      <c r="M175" s="22" t="s">
        <v>68</v>
      </c>
    </row>
    <row r="176" spans="1:13">
      <c r="A176" s="22" t="s">
        <v>600</v>
      </c>
      <c r="B176" s="22" t="s">
        <v>601</v>
      </c>
      <c r="C176" s="22" t="s">
        <v>213</v>
      </c>
      <c r="D176" s="22" t="s">
        <v>205</v>
      </c>
      <c r="E176" s="22">
        <v>8</v>
      </c>
      <c r="F176" s="22">
        <v>10</v>
      </c>
      <c r="G176" s="22" t="s">
        <v>589</v>
      </c>
      <c r="H176" s="22" t="s">
        <v>110</v>
      </c>
      <c r="I176" s="22" t="s">
        <v>226</v>
      </c>
      <c r="J176" s="22" t="s">
        <v>205</v>
      </c>
      <c r="K176" s="22" t="s">
        <v>65</v>
      </c>
      <c r="L176" s="22" t="s">
        <v>67</v>
      </c>
      <c r="M176" s="22" t="s">
        <v>68</v>
      </c>
    </row>
    <row r="177" spans="1:13">
      <c r="A177" s="22" t="s">
        <v>602</v>
      </c>
      <c r="B177" s="22" t="s">
        <v>603</v>
      </c>
      <c r="C177" s="22" t="s">
        <v>213</v>
      </c>
      <c r="D177" s="22" t="s">
        <v>205</v>
      </c>
      <c r="E177" s="22">
        <v>4</v>
      </c>
      <c r="F177" s="22">
        <v>47</v>
      </c>
      <c r="G177" s="22" t="s">
        <v>589</v>
      </c>
      <c r="H177" s="22" t="s">
        <v>110</v>
      </c>
      <c r="I177" s="22" t="s">
        <v>229</v>
      </c>
      <c r="J177" s="22" t="s">
        <v>205</v>
      </c>
      <c r="K177" s="22" t="s">
        <v>65</v>
      </c>
      <c r="L177" s="22" t="s">
        <v>67</v>
      </c>
      <c r="M177" s="22" t="s">
        <v>68</v>
      </c>
    </row>
    <row r="178" spans="1:13">
      <c r="A178" s="22" t="s">
        <v>604</v>
      </c>
      <c r="B178" s="22" t="s">
        <v>605</v>
      </c>
      <c r="C178" s="22" t="s">
        <v>213</v>
      </c>
      <c r="D178" s="22" t="s">
        <v>205</v>
      </c>
      <c r="E178" s="22">
        <v>5</v>
      </c>
      <c r="F178" s="22">
        <v>52</v>
      </c>
      <c r="G178" s="22" t="s">
        <v>589</v>
      </c>
      <c r="H178" s="22" t="s">
        <v>110</v>
      </c>
      <c r="I178" s="22" t="s">
        <v>232</v>
      </c>
      <c r="J178" s="22" t="s">
        <v>205</v>
      </c>
      <c r="K178" s="22" t="s">
        <v>65</v>
      </c>
      <c r="L178" s="22" t="s">
        <v>67</v>
      </c>
      <c r="M178" s="22" t="s">
        <v>68</v>
      </c>
    </row>
    <row r="179" spans="1:13">
      <c r="A179" s="22" t="s">
        <v>606</v>
      </c>
      <c r="B179" s="22" t="s">
        <v>607</v>
      </c>
      <c r="C179" s="22" t="s">
        <v>213</v>
      </c>
      <c r="D179" s="22" t="s">
        <v>205</v>
      </c>
      <c r="E179" s="22">
        <v>1</v>
      </c>
      <c r="F179" s="22">
        <v>49</v>
      </c>
      <c r="G179" s="22" t="s">
        <v>589</v>
      </c>
      <c r="H179" s="22" t="s">
        <v>110</v>
      </c>
      <c r="I179" s="22" t="s">
        <v>235</v>
      </c>
      <c r="J179" s="22" t="s">
        <v>205</v>
      </c>
      <c r="K179" s="22" t="s">
        <v>65</v>
      </c>
      <c r="L179" s="22" t="s">
        <v>67</v>
      </c>
      <c r="M179" s="22" t="s">
        <v>68</v>
      </c>
    </row>
    <row r="180" spans="1:13">
      <c r="A180" s="22" t="s">
        <v>608</v>
      </c>
      <c r="B180" s="22" t="s">
        <v>609</v>
      </c>
      <c r="C180" s="22" t="s">
        <v>213</v>
      </c>
      <c r="D180" s="22" t="s">
        <v>205</v>
      </c>
      <c r="E180" s="22">
        <v>4</v>
      </c>
      <c r="F180" s="22">
        <v>37</v>
      </c>
      <c r="G180" s="22" t="s">
        <v>589</v>
      </c>
      <c r="H180" s="22" t="s">
        <v>110</v>
      </c>
      <c r="I180" s="22" t="s">
        <v>238</v>
      </c>
      <c r="J180" s="22" t="s">
        <v>205</v>
      </c>
      <c r="K180" s="22" t="s">
        <v>65</v>
      </c>
      <c r="L180" s="22" t="s">
        <v>67</v>
      </c>
      <c r="M180" s="22" t="s">
        <v>68</v>
      </c>
    </row>
    <row r="181" spans="1:13">
      <c r="A181" s="22" t="s">
        <v>610</v>
      </c>
      <c r="B181" s="22" t="s">
        <v>611</v>
      </c>
      <c r="C181" s="22" t="s">
        <v>213</v>
      </c>
      <c r="D181" s="22" t="s">
        <v>205</v>
      </c>
      <c r="E181" s="22">
        <v>5</v>
      </c>
      <c r="F181" s="22">
        <v>33</v>
      </c>
      <c r="G181" s="22" t="s">
        <v>589</v>
      </c>
      <c r="H181" s="22" t="s">
        <v>110</v>
      </c>
      <c r="I181" s="22" t="s">
        <v>241</v>
      </c>
      <c r="J181" s="22" t="s">
        <v>205</v>
      </c>
      <c r="K181" s="22" t="s">
        <v>65</v>
      </c>
      <c r="L181" s="22" t="s">
        <v>67</v>
      </c>
      <c r="M181" s="22" t="s">
        <v>68</v>
      </c>
    </row>
    <row r="182" spans="1:13">
      <c r="A182" s="22" t="s">
        <v>612</v>
      </c>
      <c r="B182" s="22" t="s">
        <v>613</v>
      </c>
      <c r="C182" s="22" t="s">
        <v>204</v>
      </c>
      <c r="D182" s="22" t="s">
        <v>205</v>
      </c>
      <c r="E182" s="22">
        <v>8</v>
      </c>
      <c r="F182" s="22">
        <v>21</v>
      </c>
      <c r="G182" s="22" t="s">
        <v>589</v>
      </c>
      <c r="H182" s="22" t="s">
        <v>110</v>
      </c>
      <c r="I182" s="22" t="s">
        <v>244</v>
      </c>
      <c r="J182" s="22" t="s">
        <v>205</v>
      </c>
      <c r="K182" s="22" t="s">
        <v>65</v>
      </c>
      <c r="L182" s="22" t="s">
        <v>67</v>
      </c>
      <c r="M182" s="22" t="s">
        <v>68</v>
      </c>
    </row>
    <row r="183" spans="1:13">
      <c r="A183" s="22" t="s">
        <v>614</v>
      </c>
      <c r="B183" s="22" t="s">
        <v>615</v>
      </c>
      <c r="C183" s="22" t="s">
        <v>213</v>
      </c>
      <c r="D183" s="22" t="s">
        <v>205</v>
      </c>
      <c r="E183" s="22">
        <v>5</v>
      </c>
      <c r="F183" s="22">
        <v>13</v>
      </c>
      <c r="G183" s="22" t="s">
        <v>589</v>
      </c>
      <c r="H183" s="22" t="s">
        <v>110</v>
      </c>
      <c r="I183" s="22" t="s">
        <v>247</v>
      </c>
      <c r="J183" s="22" t="s">
        <v>205</v>
      </c>
      <c r="K183" s="22" t="s">
        <v>65</v>
      </c>
      <c r="L183" s="22" t="s">
        <v>67</v>
      </c>
      <c r="M183" s="22" t="s">
        <v>68</v>
      </c>
    </row>
    <row r="184" spans="1:13">
      <c r="A184" s="22" t="s">
        <v>616</v>
      </c>
      <c r="B184" s="22" t="s">
        <v>617</v>
      </c>
      <c r="C184" s="22" t="s">
        <v>213</v>
      </c>
      <c r="D184" s="22" t="s">
        <v>205</v>
      </c>
      <c r="E184" s="22">
        <v>9</v>
      </c>
      <c r="F184" s="22">
        <v>1</v>
      </c>
      <c r="G184" s="22" t="s">
        <v>589</v>
      </c>
      <c r="H184" s="22" t="s">
        <v>110</v>
      </c>
      <c r="I184" s="22" t="s">
        <v>250</v>
      </c>
      <c r="J184" s="22" t="s">
        <v>205</v>
      </c>
      <c r="K184" s="22" t="s">
        <v>65</v>
      </c>
      <c r="L184" s="22" t="s">
        <v>67</v>
      </c>
      <c r="M184" s="22" t="s">
        <v>68</v>
      </c>
    </row>
    <row r="185" spans="1:13">
      <c r="A185" s="22" t="s">
        <v>618</v>
      </c>
      <c r="B185" s="22" t="s">
        <v>619</v>
      </c>
      <c r="C185" s="22" t="s">
        <v>213</v>
      </c>
      <c r="D185" s="22" t="s">
        <v>205</v>
      </c>
      <c r="E185" s="22">
        <v>5</v>
      </c>
      <c r="F185" s="22">
        <v>22</v>
      </c>
      <c r="G185" s="22" t="s">
        <v>589</v>
      </c>
      <c r="H185" s="22" t="s">
        <v>110</v>
      </c>
      <c r="I185" s="22" t="s">
        <v>253</v>
      </c>
      <c r="J185" s="22" t="s">
        <v>205</v>
      </c>
      <c r="K185" s="22" t="s">
        <v>65</v>
      </c>
      <c r="L185" s="22" t="s">
        <v>67</v>
      </c>
      <c r="M185" s="22" t="s">
        <v>68</v>
      </c>
    </row>
    <row r="186" spans="1:13">
      <c r="A186" s="22" t="s">
        <v>620</v>
      </c>
      <c r="B186" s="22" t="s">
        <v>621</v>
      </c>
      <c r="C186" s="22" t="s">
        <v>213</v>
      </c>
      <c r="D186" s="22" t="s">
        <v>205</v>
      </c>
      <c r="E186" s="22">
        <v>9</v>
      </c>
      <c r="F186" s="22">
        <v>3</v>
      </c>
      <c r="G186" s="22" t="s">
        <v>589</v>
      </c>
      <c r="H186" s="22" t="s">
        <v>110</v>
      </c>
      <c r="I186" s="22" t="s">
        <v>256</v>
      </c>
      <c r="J186" s="22" t="s">
        <v>205</v>
      </c>
      <c r="K186" s="22" t="s">
        <v>65</v>
      </c>
      <c r="L186" s="22" t="s">
        <v>67</v>
      </c>
      <c r="M186" s="22" t="s">
        <v>68</v>
      </c>
    </row>
    <row r="187" spans="1:13">
      <c r="A187" s="22" t="s">
        <v>622</v>
      </c>
      <c r="B187" s="22" t="s">
        <v>623</v>
      </c>
      <c r="C187" s="22" t="s">
        <v>213</v>
      </c>
      <c r="D187" s="22" t="s">
        <v>205</v>
      </c>
      <c r="E187" s="22">
        <v>2</v>
      </c>
      <c r="F187" s="22">
        <v>34</v>
      </c>
      <c r="G187" s="22" t="s">
        <v>589</v>
      </c>
      <c r="H187" s="22" t="s">
        <v>110</v>
      </c>
      <c r="I187" s="22" t="s">
        <v>259</v>
      </c>
      <c r="J187" s="22" t="s">
        <v>205</v>
      </c>
      <c r="K187" s="22" t="s">
        <v>65</v>
      </c>
      <c r="L187" s="22" t="s">
        <v>67</v>
      </c>
      <c r="M187" s="22" t="s">
        <v>68</v>
      </c>
    </row>
    <row r="188" spans="1:13">
      <c r="A188" s="22" t="s">
        <v>624</v>
      </c>
      <c r="B188" s="22" t="s">
        <v>625</v>
      </c>
      <c r="C188" s="22" t="s">
        <v>213</v>
      </c>
      <c r="D188" s="22" t="s">
        <v>205</v>
      </c>
      <c r="E188" s="22">
        <v>3</v>
      </c>
      <c r="F188" s="22">
        <v>47</v>
      </c>
      <c r="G188" s="22" t="s">
        <v>589</v>
      </c>
      <c r="H188" s="22" t="s">
        <v>110</v>
      </c>
      <c r="I188" s="22" t="s">
        <v>262</v>
      </c>
      <c r="J188" s="22" t="s">
        <v>205</v>
      </c>
      <c r="K188" s="22" t="s">
        <v>65</v>
      </c>
      <c r="L188" s="22" t="s">
        <v>67</v>
      </c>
      <c r="M188" s="22" t="s">
        <v>68</v>
      </c>
    </row>
    <row r="189" spans="1:13">
      <c r="A189" s="22" t="s">
        <v>626</v>
      </c>
      <c r="B189" s="22" t="s">
        <v>627</v>
      </c>
      <c r="C189" s="22" t="s">
        <v>213</v>
      </c>
      <c r="D189" s="22" t="s">
        <v>205</v>
      </c>
      <c r="E189" s="22">
        <v>5</v>
      </c>
      <c r="F189" s="22">
        <v>39</v>
      </c>
      <c r="G189" s="22" t="s">
        <v>589</v>
      </c>
      <c r="H189" s="22" t="s">
        <v>110</v>
      </c>
      <c r="I189" s="22" t="s">
        <v>265</v>
      </c>
      <c r="J189" s="22" t="s">
        <v>205</v>
      </c>
      <c r="K189" s="22" t="s">
        <v>65</v>
      </c>
      <c r="L189" s="22" t="s">
        <v>67</v>
      </c>
      <c r="M189" s="22" t="s">
        <v>68</v>
      </c>
    </row>
    <row r="190" spans="1:13">
      <c r="A190" s="22" t="s">
        <v>628</v>
      </c>
      <c r="B190" s="22" t="s">
        <v>629</v>
      </c>
      <c r="C190" s="22" t="s">
        <v>213</v>
      </c>
      <c r="D190" s="22" t="s">
        <v>205</v>
      </c>
      <c r="E190" s="22">
        <v>6</v>
      </c>
      <c r="F190" s="22">
        <v>6</v>
      </c>
      <c r="G190" s="22" t="s">
        <v>589</v>
      </c>
      <c r="H190" s="22" t="s">
        <v>110</v>
      </c>
      <c r="I190" s="22" t="s">
        <v>268</v>
      </c>
      <c r="J190" s="22" t="s">
        <v>205</v>
      </c>
      <c r="K190" s="22" t="s">
        <v>65</v>
      </c>
      <c r="L190" s="22" t="s">
        <v>67</v>
      </c>
      <c r="M190" s="22" t="s">
        <v>68</v>
      </c>
    </row>
    <row r="191" spans="1:13">
      <c r="A191" s="22" t="s">
        <v>630</v>
      </c>
      <c r="B191" s="22" t="s">
        <v>631</v>
      </c>
      <c r="C191" s="22" t="s">
        <v>204</v>
      </c>
      <c r="D191" s="22" t="s">
        <v>205</v>
      </c>
      <c r="E191" s="22">
        <v>8</v>
      </c>
      <c r="F191" s="22">
        <v>11</v>
      </c>
      <c r="G191" s="22" t="s">
        <v>589</v>
      </c>
      <c r="H191" s="22" t="s">
        <v>110</v>
      </c>
      <c r="I191" s="22" t="s">
        <v>271</v>
      </c>
      <c r="J191" s="22" t="s">
        <v>205</v>
      </c>
      <c r="K191" s="22" t="s">
        <v>65</v>
      </c>
      <c r="L191" s="22" t="s">
        <v>67</v>
      </c>
      <c r="M191" s="22" t="s">
        <v>68</v>
      </c>
    </row>
    <row r="192" spans="1:13">
      <c r="A192" s="22" t="s">
        <v>632</v>
      </c>
      <c r="B192" s="22" t="s">
        <v>633</v>
      </c>
      <c r="C192" s="22" t="s">
        <v>204</v>
      </c>
      <c r="D192" s="22" t="s">
        <v>205</v>
      </c>
      <c r="E192" s="22">
        <v>5</v>
      </c>
      <c r="F192" s="22">
        <v>1</v>
      </c>
      <c r="G192" s="22" t="s">
        <v>589</v>
      </c>
      <c r="H192" s="22" t="s">
        <v>110</v>
      </c>
      <c r="I192" s="22" t="s">
        <v>274</v>
      </c>
      <c r="J192" s="22" t="s">
        <v>205</v>
      </c>
      <c r="K192" s="22" t="s">
        <v>65</v>
      </c>
      <c r="L192" s="22" t="s">
        <v>67</v>
      </c>
      <c r="M192" s="22" t="s">
        <v>68</v>
      </c>
    </row>
    <row r="193" spans="1:13">
      <c r="A193" s="22" t="s">
        <v>634</v>
      </c>
      <c r="B193" s="22" t="s">
        <v>635</v>
      </c>
      <c r="C193" s="22" t="s">
        <v>204</v>
      </c>
      <c r="D193" s="22" t="s">
        <v>205</v>
      </c>
      <c r="E193" s="22">
        <v>7</v>
      </c>
      <c r="F193" s="22">
        <v>32</v>
      </c>
      <c r="G193" s="22" t="s">
        <v>589</v>
      </c>
      <c r="H193" s="22" t="s">
        <v>110</v>
      </c>
      <c r="I193" s="22" t="s">
        <v>277</v>
      </c>
      <c r="J193" s="22" t="s">
        <v>205</v>
      </c>
      <c r="K193" s="22" t="s">
        <v>65</v>
      </c>
      <c r="L193" s="22" t="s">
        <v>67</v>
      </c>
      <c r="M193" s="22" t="s">
        <v>68</v>
      </c>
    </row>
    <row r="194" spans="1:13">
      <c r="A194" s="22" t="s">
        <v>636</v>
      </c>
      <c r="B194" s="22" t="s">
        <v>637</v>
      </c>
      <c r="C194" s="22" t="s">
        <v>204</v>
      </c>
      <c r="D194" s="22" t="s">
        <v>205</v>
      </c>
      <c r="E194" s="22">
        <v>9</v>
      </c>
      <c r="F194" s="22">
        <v>46</v>
      </c>
      <c r="G194" s="22" t="s">
        <v>589</v>
      </c>
      <c r="H194" s="22" t="s">
        <v>110</v>
      </c>
      <c r="I194" s="22" t="s">
        <v>280</v>
      </c>
      <c r="J194" s="22" t="s">
        <v>205</v>
      </c>
      <c r="K194" s="22" t="s">
        <v>65</v>
      </c>
      <c r="L194" s="22" t="s">
        <v>67</v>
      </c>
      <c r="M194" s="22" t="s">
        <v>68</v>
      </c>
    </row>
    <row r="195" spans="1:13">
      <c r="A195" s="22" t="s">
        <v>638</v>
      </c>
      <c r="B195" s="22" t="s">
        <v>639</v>
      </c>
      <c r="C195" s="22" t="s">
        <v>204</v>
      </c>
      <c r="D195" s="22" t="s">
        <v>205</v>
      </c>
      <c r="E195" s="22">
        <v>1</v>
      </c>
      <c r="F195" s="22">
        <v>6</v>
      </c>
      <c r="G195" s="22" t="s">
        <v>589</v>
      </c>
      <c r="H195" s="22" t="s">
        <v>110</v>
      </c>
      <c r="I195" s="22" t="s">
        <v>283</v>
      </c>
      <c r="J195" s="22" t="s">
        <v>205</v>
      </c>
      <c r="K195" s="22" t="s">
        <v>65</v>
      </c>
      <c r="L195" s="22" t="s">
        <v>67</v>
      </c>
      <c r="M195" s="22" t="s">
        <v>68</v>
      </c>
    </row>
    <row r="196" spans="1:13">
      <c r="A196" s="22" t="s">
        <v>640</v>
      </c>
      <c r="B196" s="22" t="s">
        <v>641</v>
      </c>
      <c r="C196" s="22" t="s">
        <v>213</v>
      </c>
      <c r="D196" s="22" t="s">
        <v>205</v>
      </c>
      <c r="E196" s="22">
        <v>2</v>
      </c>
      <c r="F196" s="22">
        <v>52</v>
      </c>
      <c r="G196" s="22" t="s">
        <v>589</v>
      </c>
      <c r="H196" s="22" t="s">
        <v>110</v>
      </c>
      <c r="I196" s="22" t="s">
        <v>286</v>
      </c>
      <c r="J196" s="22" t="s">
        <v>205</v>
      </c>
      <c r="K196" s="22" t="s">
        <v>65</v>
      </c>
      <c r="L196" s="22" t="s">
        <v>67</v>
      </c>
      <c r="M196" s="22" t="s">
        <v>68</v>
      </c>
    </row>
    <row r="197" spans="1:13">
      <c r="A197" s="22" t="s">
        <v>642</v>
      </c>
      <c r="B197" s="22" t="s">
        <v>643</v>
      </c>
      <c r="C197" s="22" t="s">
        <v>204</v>
      </c>
      <c r="D197" s="22" t="s">
        <v>205</v>
      </c>
      <c r="E197" s="22">
        <v>9</v>
      </c>
      <c r="F197" s="22">
        <v>6</v>
      </c>
      <c r="G197" s="22" t="s">
        <v>589</v>
      </c>
      <c r="H197" s="22" t="s">
        <v>110</v>
      </c>
      <c r="I197" s="22" t="s">
        <v>289</v>
      </c>
      <c r="J197" s="22" t="s">
        <v>205</v>
      </c>
      <c r="K197" s="22" t="s">
        <v>65</v>
      </c>
      <c r="L197" s="22" t="s">
        <v>67</v>
      </c>
      <c r="M197" s="22" t="s">
        <v>68</v>
      </c>
    </row>
    <row r="198" spans="1:13">
      <c r="A198" s="22" t="s">
        <v>644</v>
      </c>
      <c r="B198" s="22" t="s">
        <v>645</v>
      </c>
      <c r="C198" s="22" t="s">
        <v>213</v>
      </c>
      <c r="D198" s="22" t="s">
        <v>205</v>
      </c>
      <c r="E198" s="22">
        <v>9</v>
      </c>
      <c r="F198" s="22">
        <v>29</v>
      </c>
      <c r="G198" s="22" t="s">
        <v>589</v>
      </c>
      <c r="H198" s="22" t="s">
        <v>110</v>
      </c>
      <c r="I198" s="22" t="s">
        <v>292</v>
      </c>
      <c r="J198" s="22" t="s">
        <v>205</v>
      </c>
      <c r="K198" s="22" t="s">
        <v>65</v>
      </c>
      <c r="L198" s="22" t="s">
        <v>67</v>
      </c>
      <c r="M198" s="22" t="s">
        <v>68</v>
      </c>
    </row>
    <row r="199" spans="1:13">
      <c r="A199" s="22" t="s">
        <v>646</v>
      </c>
      <c r="B199" s="22" t="s">
        <v>647</v>
      </c>
      <c r="C199" s="22" t="s">
        <v>213</v>
      </c>
      <c r="D199" s="22" t="s">
        <v>205</v>
      </c>
      <c r="E199" s="22">
        <v>4</v>
      </c>
      <c r="F199" s="22">
        <v>12</v>
      </c>
      <c r="G199" s="22" t="s">
        <v>589</v>
      </c>
      <c r="H199" s="22" t="s">
        <v>110</v>
      </c>
      <c r="I199" s="22" t="s">
        <v>295</v>
      </c>
      <c r="J199" s="22" t="s">
        <v>205</v>
      </c>
      <c r="K199" s="22" t="s">
        <v>65</v>
      </c>
      <c r="L199" s="22" t="s">
        <v>67</v>
      </c>
      <c r="M199" s="22" t="s">
        <v>68</v>
      </c>
    </row>
    <row r="200" spans="1:13">
      <c r="A200" s="22" t="s">
        <v>648</v>
      </c>
      <c r="B200" s="22" t="s">
        <v>649</v>
      </c>
      <c r="C200" s="22" t="s">
        <v>213</v>
      </c>
      <c r="D200" s="22" t="s">
        <v>205</v>
      </c>
      <c r="E200" s="22">
        <v>7</v>
      </c>
      <c r="F200" s="22">
        <v>9</v>
      </c>
      <c r="G200" s="22" t="s">
        <v>589</v>
      </c>
      <c r="H200" s="22" t="s">
        <v>110</v>
      </c>
      <c r="I200" s="22" t="s">
        <v>298</v>
      </c>
      <c r="J200" s="22" t="s">
        <v>205</v>
      </c>
      <c r="K200" s="22" t="s">
        <v>65</v>
      </c>
      <c r="L200" s="22" t="s">
        <v>67</v>
      </c>
      <c r="M200" s="22" t="s">
        <v>68</v>
      </c>
    </row>
    <row r="201" spans="1:13">
      <c r="A201" s="22" t="s">
        <v>650</v>
      </c>
      <c r="B201" s="22" t="s">
        <v>651</v>
      </c>
      <c r="C201" s="22" t="s">
        <v>204</v>
      </c>
      <c r="D201" s="22" t="s">
        <v>205</v>
      </c>
      <c r="E201" s="22">
        <v>4</v>
      </c>
      <c r="F201" s="22">
        <v>51</v>
      </c>
      <c r="G201" s="22" t="s">
        <v>589</v>
      </c>
      <c r="H201" s="22" t="s">
        <v>110</v>
      </c>
      <c r="I201" s="22" t="s">
        <v>301</v>
      </c>
      <c r="J201" s="22" t="s">
        <v>205</v>
      </c>
      <c r="K201" s="22" t="s">
        <v>65</v>
      </c>
      <c r="L201" s="22" t="s">
        <v>67</v>
      </c>
      <c r="M201" s="22" t="s">
        <v>68</v>
      </c>
    </row>
    <row r="202" spans="1:13">
      <c r="A202" s="22" t="s">
        <v>652</v>
      </c>
      <c r="B202" s="22" t="s">
        <v>653</v>
      </c>
      <c r="C202" s="22" t="s">
        <v>204</v>
      </c>
      <c r="D202" s="22" t="s">
        <v>205</v>
      </c>
      <c r="E202" s="22">
        <v>6</v>
      </c>
      <c r="F202" s="22">
        <v>49</v>
      </c>
      <c r="G202" s="22" t="s">
        <v>589</v>
      </c>
      <c r="H202" s="22" t="s">
        <v>110</v>
      </c>
      <c r="I202" s="22" t="s">
        <v>304</v>
      </c>
      <c r="J202" s="22" t="s">
        <v>205</v>
      </c>
      <c r="K202" s="22" t="s">
        <v>65</v>
      </c>
      <c r="L202" s="22" t="s">
        <v>67</v>
      </c>
      <c r="M202" s="22" t="s">
        <v>68</v>
      </c>
    </row>
    <row r="203" spans="1:13">
      <c r="A203" s="22" t="s">
        <v>654</v>
      </c>
      <c r="B203" s="22" t="s">
        <v>655</v>
      </c>
      <c r="C203" s="22" t="s">
        <v>213</v>
      </c>
      <c r="D203" s="22" t="s">
        <v>205</v>
      </c>
      <c r="E203" s="22">
        <v>3</v>
      </c>
      <c r="F203" s="22">
        <v>7</v>
      </c>
      <c r="G203" s="22" t="s">
        <v>589</v>
      </c>
      <c r="H203" s="22" t="s">
        <v>110</v>
      </c>
      <c r="I203" s="22" t="s">
        <v>307</v>
      </c>
      <c r="J203" s="22" t="s">
        <v>205</v>
      </c>
      <c r="K203" s="22" t="s">
        <v>65</v>
      </c>
      <c r="L203" s="22" t="s">
        <v>67</v>
      </c>
      <c r="M203" s="22" t="s">
        <v>68</v>
      </c>
    </row>
    <row r="204" spans="1:13">
      <c r="A204" s="22" t="s">
        <v>656</v>
      </c>
      <c r="B204" s="22" t="s">
        <v>657</v>
      </c>
      <c r="C204" s="22" t="s">
        <v>213</v>
      </c>
      <c r="D204" s="22" t="s">
        <v>205</v>
      </c>
      <c r="E204" s="22">
        <v>2</v>
      </c>
      <c r="F204" s="22">
        <v>19</v>
      </c>
      <c r="G204" s="22" t="s">
        <v>589</v>
      </c>
      <c r="H204" s="22" t="s">
        <v>110</v>
      </c>
      <c r="I204" s="22" t="s">
        <v>310</v>
      </c>
      <c r="J204" s="22" t="s">
        <v>205</v>
      </c>
      <c r="K204" s="22" t="s">
        <v>65</v>
      </c>
      <c r="L204" s="22" t="s">
        <v>67</v>
      </c>
      <c r="M204" s="22" t="s">
        <v>68</v>
      </c>
    </row>
    <row r="205" spans="1:13">
      <c r="A205" s="22" t="s">
        <v>658</v>
      </c>
      <c r="B205" s="22" t="s">
        <v>659</v>
      </c>
      <c r="C205" s="22" t="s">
        <v>213</v>
      </c>
      <c r="D205" s="22" t="s">
        <v>205</v>
      </c>
      <c r="E205" s="22">
        <v>7</v>
      </c>
      <c r="F205" s="22">
        <v>43</v>
      </c>
      <c r="G205" s="22" t="s">
        <v>589</v>
      </c>
      <c r="H205" s="22" t="s">
        <v>110</v>
      </c>
      <c r="I205" s="22" t="s">
        <v>313</v>
      </c>
      <c r="J205" s="22" t="s">
        <v>205</v>
      </c>
      <c r="K205" s="22" t="s">
        <v>65</v>
      </c>
      <c r="L205" s="22" t="s">
        <v>67</v>
      </c>
      <c r="M205" s="22" t="s">
        <v>68</v>
      </c>
    </row>
    <row r="206" spans="1:13">
      <c r="A206" s="22" t="s">
        <v>660</v>
      </c>
      <c r="B206" s="22" t="s">
        <v>661</v>
      </c>
      <c r="C206" s="22" t="s">
        <v>213</v>
      </c>
      <c r="D206" s="22" t="s">
        <v>205</v>
      </c>
      <c r="E206" s="22">
        <v>4</v>
      </c>
      <c r="F206" s="22">
        <v>21</v>
      </c>
      <c r="G206" s="22" t="s">
        <v>589</v>
      </c>
      <c r="H206" s="22" t="s">
        <v>110</v>
      </c>
      <c r="I206" s="22" t="s">
        <v>316</v>
      </c>
      <c r="J206" s="22" t="s">
        <v>205</v>
      </c>
      <c r="K206" s="22" t="s">
        <v>65</v>
      </c>
      <c r="L206" s="22" t="s">
        <v>67</v>
      </c>
      <c r="M206" s="22" t="s">
        <v>68</v>
      </c>
    </row>
    <row r="207" spans="1:13">
      <c r="A207" s="22" t="s">
        <v>662</v>
      </c>
      <c r="B207" s="22" t="s">
        <v>663</v>
      </c>
      <c r="C207" s="22" t="s">
        <v>213</v>
      </c>
      <c r="D207" s="22" t="s">
        <v>205</v>
      </c>
      <c r="E207" s="22">
        <v>2</v>
      </c>
      <c r="F207" s="22">
        <v>49</v>
      </c>
      <c r="G207" s="22" t="s">
        <v>589</v>
      </c>
      <c r="H207" s="22" t="s">
        <v>110</v>
      </c>
      <c r="I207" s="22" t="s">
        <v>319</v>
      </c>
      <c r="J207" s="22" t="s">
        <v>205</v>
      </c>
      <c r="K207" s="22" t="s">
        <v>65</v>
      </c>
      <c r="L207" s="22" t="s">
        <v>67</v>
      </c>
      <c r="M207" s="22" t="s">
        <v>68</v>
      </c>
    </row>
    <row r="208" spans="1:13">
      <c r="A208" s="22" t="s">
        <v>664</v>
      </c>
      <c r="B208" s="22" t="s">
        <v>665</v>
      </c>
      <c r="C208" s="22" t="s">
        <v>213</v>
      </c>
      <c r="D208" s="22" t="s">
        <v>205</v>
      </c>
      <c r="E208" s="22">
        <v>9</v>
      </c>
      <c r="F208" s="22">
        <v>15</v>
      </c>
      <c r="G208" s="22" t="s">
        <v>589</v>
      </c>
      <c r="H208" s="22" t="s">
        <v>110</v>
      </c>
      <c r="I208" s="22" t="s">
        <v>322</v>
      </c>
      <c r="J208" s="22" t="s">
        <v>205</v>
      </c>
      <c r="K208" s="22" t="s">
        <v>65</v>
      </c>
      <c r="L208" s="22" t="s">
        <v>67</v>
      </c>
      <c r="M208" s="22" t="s">
        <v>68</v>
      </c>
    </row>
    <row r="209" spans="1:13">
      <c r="A209" s="22" t="s">
        <v>666</v>
      </c>
      <c r="B209" s="22" t="s">
        <v>667</v>
      </c>
      <c r="C209" s="22" t="s">
        <v>204</v>
      </c>
      <c r="D209" s="22" t="s">
        <v>205</v>
      </c>
      <c r="E209" s="22">
        <v>5</v>
      </c>
      <c r="F209" s="22">
        <v>36</v>
      </c>
      <c r="G209" s="22" t="s">
        <v>589</v>
      </c>
      <c r="H209" s="22" t="s">
        <v>110</v>
      </c>
      <c r="I209" s="22" t="s">
        <v>325</v>
      </c>
      <c r="J209" s="22" t="s">
        <v>205</v>
      </c>
      <c r="K209" s="22" t="s">
        <v>65</v>
      </c>
      <c r="L209" s="22" t="s">
        <v>67</v>
      </c>
      <c r="M209" s="22" t="s">
        <v>68</v>
      </c>
    </row>
    <row r="210" spans="1:13">
      <c r="A210" s="22" t="s">
        <v>668</v>
      </c>
      <c r="B210" s="22" t="s">
        <v>669</v>
      </c>
      <c r="C210" s="22" t="s">
        <v>213</v>
      </c>
      <c r="D210" s="22" t="s">
        <v>205</v>
      </c>
      <c r="E210" s="22">
        <v>4</v>
      </c>
      <c r="F210" s="22">
        <v>35</v>
      </c>
      <c r="G210" s="22" t="s">
        <v>589</v>
      </c>
      <c r="H210" s="22" t="s">
        <v>110</v>
      </c>
      <c r="I210" s="22" t="s">
        <v>328</v>
      </c>
      <c r="J210" s="22" t="s">
        <v>205</v>
      </c>
      <c r="K210" s="22" t="s">
        <v>65</v>
      </c>
      <c r="L210" s="22" t="s">
        <v>67</v>
      </c>
      <c r="M210" s="22" t="s">
        <v>68</v>
      </c>
    </row>
    <row r="211" spans="1:13">
      <c r="A211" s="22" t="s">
        <v>670</v>
      </c>
      <c r="B211" s="22" t="s">
        <v>671</v>
      </c>
      <c r="C211" s="22" t="s">
        <v>213</v>
      </c>
      <c r="D211" s="22" t="s">
        <v>205</v>
      </c>
      <c r="E211" s="22">
        <v>6</v>
      </c>
      <c r="F211" s="22">
        <v>34</v>
      </c>
      <c r="G211" s="22" t="s">
        <v>589</v>
      </c>
      <c r="H211" s="22" t="s">
        <v>110</v>
      </c>
      <c r="I211" s="22" t="s">
        <v>331</v>
      </c>
      <c r="J211" s="22" t="s">
        <v>205</v>
      </c>
      <c r="K211" s="22" t="s">
        <v>65</v>
      </c>
      <c r="L211" s="22" t="s">
        <v>67</v>
      </c>
      <c r="M211" s="22" t="s">
        <v>68</v>
      </c>
    </row>
    <row r="212" spans="1:13">
      <c r="A212" s="22" t="s">
        <v>672</v>
      </c>
      <c r="B212" s="22" t="s">
        <v>673</v>
      </c>
      <c r="C212" s="22" t="s">
        <v>213</v>
      </c>
      <c r="D212" s="22" t="s">
        <v>205</v>
      </c>
      <c r="E212" s="22">
        <v>2</v>
      </c>
      <c r="F212" s="22">
        <v>32</v>
      </c>
      <c r="G212" s="22" t="s">
        <v>674</v>
      </c>
      <c r="H212" s="22" t="s">
        <v>118</v>
      </c>
      <c r="I212" s="22" t="s">
        <v>207</v>
      </c>
      <c r="J212" s="22" t="s">
        <v>205</v>
      </c>
      <c r="K212" s="22" t="s">
        <v>65</v>
      </c>
      <c r="L212" s="22" t="s">
        <v>67</v>
      </c>
      <c r="M212" s="22" t="s">
        <v>68</v>
      </c>
    </row>
    <row r="213" spans="1:13">
      <c r="A213" s="22" t="s">
        <v>675</v>
      </c>
      <c r="B213" s="22" t="s">
        <v>676</v>
      </c>
      <c r="C213" s="22" t="s">
        <v>213</v>
      </c>
      <c r="D213" s="22" t="s">
        <v>205</v>
      </c>
      <c r="E213" s="22">
        <v>4</v>
      </c>
      <c r="F213" s="22">
        <v>18</v>
      </c>
      <c r="G213" s="22" t="s">
        <v>674</v>
      </c>
      <c r="H213" s="22" t="s">
        <v>118</v>
      </c>
      <c r="I213" s="22" t="s">
        <v>210</v>
      </c>
      <c r="J213" s="22" t="s">
        <v>205</v>
      </c>
      <c r="K213" s="22" t="s">
        <v>65</v>
      </c>
      <c r="L213" s="22" t="s">
        <v>67</v>
      </c>
      <c r="M213" s="22" t="s">
        <v>68</v>
      </c>
    </row>
    <row r="214" spans="1:13">
      <c r="A214" s="22" t="s">
        <v>677</v>
      </c>
      <c r="B214" s="22" t="s">
        <v>678</v>
      </c>
      <c r="C214" s="22" t="s">
        <v>213</v>
      </c>
      <c r="D214" s="22" t="s">
        <v>205</v>
      </c>
      <c r="E214" s="22">
        <v>7</v>
      </c>
      <c r="F214" s="22">
        <v>2</v>
      </c>
      <c r="G214" s="22" t="s">
        <v>674</v>
      </c>
      <c r="H214" s="22" t="s">
        <v>118</v>
      </c>
      <c r="I214" s="22" t="s">
        <v>214</v>
      </c>
      <c r="J214" s="22" t="s">
        <v>205</v>
      </c>
      <c r="K214" s="22" t="s">
        <v>65</v>
      </c>
      <c r="L214" s="22" t="s">
        <v>67</v>
      </c>
      <c r="M214" s="22" t="s">
        <v>68</v>
      </c>
    </row>
    <row r="215" spans="1:13">
      <c r="A215" s="22" t="s">
        <v>679</v>
      </c>
      <c r="B215" s="22" t="s">
        <v>680</v>
      </c>
      <c r="C215" s="22" t="s">
        <v>213</v>
      </c>
      <c r="D215" s="22" t="s">
        <v>205</v>
      </c>
      <c r="E215" s="22">
        <v>6</v>
      </c>
      <c r="F215" s="22">
        <v>22</v>
      </c>
      <c r="G215" s="22" t="s">
        <v>674</v>
      </c>
      <c r="H215" s="22" t="s">
        <v>118</v>
      </c>
      <c r="I215" s="22" t="s">
        <v>217</v>
      </c>
      <c r="J215" s="22" t="s">
        <v>205</v>
      </c>
      <c r="K215" s="22" t="s">
        <v>65</v>
      </c>
      <c r="L215" s="22" t="s">
        <v>67</v>
      </c>
      <c r="M215" s="22" t="s">
        <v>68</v>
      </c>
    </row>
    <row r="216" spans="1:13">
      <c r="A216" s="22" t="s">
        <v>681</v>
      </c>
      <c r="B216" s="22" t="s">
        <v>682</v>
      </c>
      <c r="C216" s="22" t="s">
        <v>204</v>
      </c>
      <c r="D216" s="22" t="s">
        <v>205</v>
      </c>
      <c r="E216" s="22">
        <v>9</v>
      </c>
      <c r="F216" s="22">
        <v>20</v>
      </c>
      <c r="G216" s="22" t="s">
        <v>674</v>
      </c>
      <c r="H216" s="22" t="s">
        <v>118</v>
      </c>
      <c r="I216" s="22" t="s">
        <v>220</v>
      </c>
      <c r="J216" s="22" t="s">
        <v>205</v>
      </c>
      <c r="K216" s="22" t="s">
        <v>65</v>
      </c>
      <c r="L216" s="22" t="s">
        <v>67</v>
      </c>
      <c r="M216" s="22" t="s">
        <v>68</v>
      </c>
    </row>
    <row r="217" spans="1:13">
      <c r="A217" s="22" t="s">
        <v>683</v>
      </c>
      <c r="B217" s="22" t="s">
        <v>684</v>
      </c>
      <c r="C217" s="22" t="s">
        <v>204</v>
      </c>
      <c r="D217" s="22" t="s">
        <v>205</v>
      </c>
      <c r="E217" s="22">
        <v>6</v>
      </c>
      <c r="F217" s="22">
        <v>13</v>
      </c>
      <c r="G217" s="22" t="s">
        <v>674</v>
      </c>
      <c r="H217" s="22" t="s">
        <v>118</v>
      </c>
      <c r="I217" s="22" t="s">
        <v>223</v>
      </c>
      <c r="J217" s="22" t="s">
        <v>205</v>
      </c>
      <c r="K217" s="22" t="s">
        <v>65</v>
      </c>
      <c r="L217" s="22" t="s">
        <v>67</v>
      </c>
      <c r="M217" s="22" t="s">
        <v>68</v>
      </c>
    </row>
    <row r="218" spans="1:13">
      <c r="A218" s="22" t="s">
        <v>685</v>
      </c>
      <c r="B218" s="22" t="s">
        <v>686</v>
      </c>
      <c r="C218" s="22" t="s">
        <v>213</v>
      </c>
      <c r="D218" s="22" t="s">
        <v>205</v>
      </c>
      <c r="E218" s="22">
        <v>6</v>
      </c>
      <c r="F218" s="22">
        <v>41</v>
      </c>
      <c r="G218" s="22" t="s">
        <v>674</v>
      </c>
      <c r="H218" s="22" t="s">
        <v>118</v>
      </c>
      <c r="I218" s="22" t="s">
        <v>226</v>
      </c>
      <c r="J218" s="22" t="s">
        <v>205</v>
      </c>
      <c r="K218" s="22" t="s">
        <v>65</v>
      </c>
      <c r="L218" s="22" t="s">
        <v>67</v>
      </c>
      <c r="M218" s="22" t="s">
        <v>68</v>
      </c>
    </row>
    <row r="219" spans="1:13">
      <c r="A219" s="22" t="s">
        <v>687</v>
      </c>
      <c r="B219" s="22" t="s">
        <v>688</v>
      </c>
      <c r="C219" s="22" t="s">
        <v>204</v>
      </c>
      <c r="D219" s="22" t="s">
        <v>205</v>
      </c>
      <c r="E219" s="22">
        <v>5</v>
      </c>
      <c r="F219" s="22">
        <v>41</v>
      </c>
      <c r="G219" s="22" t="s">
        <v>674</v>
      </c>
      <c r="H219" s="22" t="s">
        <v>118</v>
      </c>
      <c r="I219" s="22" t="s">
        <v>229</v>
      </c>
      <c r="J219" s="22" t="s">
        <v>205</v>
      </c>
      <c r="K219" s="22" t="s">
        <v>65</v>
      </c>
      <c r="L219" s="22" t="s">
        <v>67</v>
      </c>
      <c r="M219" s="22" t="s">
        <v>68</v>
      </c>
    </row>
    <row r="220" spans="1:13">
      <c r="A220" s="22" t="s">
        <v>689</v>
      </c>
      <c r="B220" s="22" t="s">
        <v>690</v>
      </c>
      <c r="C220" s="22" t="s">
        <v>213</v>
      </c>
      <c r="D220" s="22" t="s">
        <v>205</v>
      </c>
      <c r="E220" s="22">
        <v>3</v>
      </c>
      <c r="F220" s="22">
        <v>42</v>
      </c>
      <c r="G220" s="22" t="s">
        <v>674</v>
      </c>
      <c r="H220" s="22" t="s">
        <v>118</v>
      </c>
      <c r="I220" s="22" t="s">
        <v>232</v>
      </c>
      <c r="J220" s="22" t="s">
        <v>205</v>
      </c>
      <c r="K220" s="22" t="s">
        <v>65</v>
      </c>
      <c r="L220" s="22" t="s">
        <v>67</v>
      </c>
      <c r="M220" s="22" t="s">
        <v>68</v>
      </c>
    </row>
    <row r="221" spans="1:13">
      <c r="A221" s="22" t="s">
        <v>691</v>
      </c>
      <c r="B221" s="22" t="s">
        <v>692</v>
      </c>
      <c r="C221" s="22" t="s">
        <v>204</v>
      </c>
      <c r="D221" s="22" t="s">
        <v>205</v>
      </c>
      <c r="E221" s="22">
        <v>1</v>
      </c>
      <c r="F221" s="22">
        <v>22</v>
      </c>
      <c r="G221" s="22" t="s">
        <v>674</v>
      </c>
      <c r="H221" s="22" t="s">
        <v>118</v>
      </c>
      <c r="I221" s="22" t="s">
        <v>235</v>
      </c>
      <c r="J221" s="22" t="s">
        <v>205</v>
      </c>
      <c r="K221" s="22" t="s">
        <v>65</v>
      </c>
      <c r="L221" s="22" t="s">
        <v>67</v>
      </c>
      <c r="M221" s="22" t="s">
        <v>68</v>
      </c>
    </row>
    <row r="222" spans="1:13">
      <c r="A222" s="22" t="s">
        <v>693</v>
      </c>
      <c r="B222" s="22" t="s">
        <v>694</v>
      </c>
      <c r="C222" s="22" t="s">
        <v>204</v>
      </c>
      <c r="D222" s="22" t="s">
        <v>205</v>
      </c>
      <c r="E222" s="22">
        <v>3</v>
      </c>
      <c r="F222" s="22">
        <v>12</v>
      </c>
      <c r="G222" s="22" t="s">
        <v>674</v>
      </c>
      <c r="H222" s="22" t="s">
        <v>118</v>
      </c>
      <c r="I222" s="22" t="s">
        <v>238</v>
      </c>
      <c r="J222" s="22" t="s">
        <v>205</v>
      </c>
      <c r="K222" s="22" t="s">
        <v>65</v>
      </c>
      <c r="L222" s="22" t="s">
        <v>67</v>
      </c>
      <c r="M222" s="22" t="s">
        <v>68</v>
      </c>
    </row>
    <row r="223" spans="1:13">
      <c r="A223" s="22" t="s">
        <v>695</v>
      </c>
      <c r="B223" s="22" t="s">
        <v>696</v>
      </c>
      <c r="C223" s="22" t="s">
        <v>213</v>
      </c>
      <c r="D223" s="22" t="s">
        <v>205</v>
      </c>
      <c r="E223" s="22">
        <v>3</v>
      </c>
      <c r="F223" s="22">
        <v>40</v>
      </c>
      <c r="G223" s="22" t="s">
        <v>674</v>
      </c>
      <c r="H223" s="22" t="s">
        <v>118</v>
      </c>
      <c r="I223" s="22" t="s">
        <v>241</v>
      </c>
      <c r="J223" s="22" t="s">
        <v>205</v>
      </c>
      <c r="K223" s="22" t="s">
        <v>65</v>
      </c>
      <c r="L223" s="22" t="s">
        <v>67</v>
      </c>
      <c r="M223" s="22" t="s">
        <v>68</v>
      </c>
    </row>
    <row r="224" spans="1:13">
      <c r="A224" s="22" t="s">
        <v>697</v>
      </c>
      <c r="B224" s="22" t="s">
        <v>698</v>
      </c>
      <c r="C224" s="22" t="s">
        <v>213</v>
      </c>
      <c r="D224" s="22" t="s">
        <v>205</v>
      </c>
      <c r="E224" s="22">
        <v>6</v>
      </c>
      <c r="F224" s="22">
        <v>15</v>
      </c>
      <c r="G224" s="22" t="s">
        <v>674</v>
      </c>
      <c r="H224" s="22" t="s">
        <v>118</v>
      </c>
      <c r="I224" s="22" t="s">
        <v>244</v>
      </c>
      <c r="J224" s="22" t="s">
        <v>205</v>
      </c>
      <c r="K224" s="22" t="s">
        <v>65</v>
      </c>
      <c r="L224" s="22" t="s">
        <v>67</v>
      </c>
      <c r="M224" s="22" t="s">
        <v>68</v>
      </c>
    </row>
    <row r="225" spans="1:13">
      <c r="A225" s="22" t="s">
        <v>699</v>
      </c>
      <c r="B225" s="22" t="s">
        <v>700</v>
      </c>
      <c r="C225" s="22" t="s">
        <v>213</v>
      </c>
      <c r="D225" s="22" t="s">
        <v>205</v>
      </c>
      <c r="E225" s="22">
        <v>5</v>
      </c>
      <c r="F225" s="22">
        <v>49</v>
      </c>
      <c r="G225" s="22" t="s">
        <v>674</v>
      </c>
      <c r="H225" s="22" t="s">
        <v>118</v>
      </c>
      <c r="I225" s="22" t="s">
        <v>247</v>
      </c>
      <c r="J225" s="22" t="s">
        <v>205</v>
      </c>
      <c r="K225" s="22" t="s">
        <v>65</v>
      </c>
      <c r="L225" s="22" t="s">
        <v>67</v>
      </c>
      <c r="M225" s="22" t="s">
        <v>68</v>
      </c>
    </row>
    <row r="226" spans="1:13">
      <c r="A226" s="22" t="s">
        <v>701</v>
      </c>
      <c r="B226" s="22" t="s">
        <v>702</v>
      </c>
      <c r="C226" s="22" t="s">
        <v>204</v>
      </c>
      <c r="D226" s="22" t="s">
        <v>205</v>
      </c>
      <c r="E226" s="22">
        <v>9</v>
      </c>
      <c r="F226" s="22">
        <v>22</v>
      </c>
      <c r="G226" s="22" t="s">
        <v>674</v>
      </c>
      <c r="H226" s="22" t="s">
        <v>118</v>
      </c>
      <c r="I226" s="22" t="s">
        <v>250</v>
      </c>
      <c r="J226" s="22" t="s">
        <v>205</v>
      </c>
      <c r="K226" s="22" t="s">
        <v>65</v>
      </c>
      <c r="L226" s="22" t="s">
        <v>67</v>
      </c>
      <c r="M226" s="22" t="s">
        <v>68</v>
      </c>
    </row>
    <row r="227" spans="1:13">
      <c r="A227" s="22" t="s">
        <v>703</v>
      </c>
      <c r="B227" s="22" t="s">
        <v>704</v>
      </c>
      <c r="C227" s="22" t="s">
        <v>213</v>
      </c>
      <c r="D227" s="22" t="s">
        <v>205</v>
      </c>
      <c r="E227" s="22">
        <v>8</v>
      </c>
      <c r="F227" s="22">
        <v>5</v>
      </c>
      <c r="G227" s="22" t="s">
        <v>674</v>
      </c>
      <c r="H227" s="22" t="s">
        <v>118</v>
      </c>
      <c r="I227" s="22" t="s">
        <v>253</v>
      </c>
      <c r="J227" s="22" t="s">
        <v>205</v>
      </c>
      <c r="K227" s="22" t="s">
        <v>65</v>
      </c>
      <c r="L227" s="22" t="s">
        <v>67</v>
      </c>
      <c r="M227" s="22" t="s">
        <v>68</v>
      </c>
    </row>
    <row r="228" spans="1:13">
      <c r="A228" s="22" t="s">
        <v>705</v>
      </c>
      <c r="B228" s="22" t="s">
        <v>706</v>
      </c>
      <c r="C228" s="22" t="s">
        <v>213</v>
      </c>
      <c r="D228" s="22" t="s">
        <v>205</v>
      </c>
      <c r="E228" s="22">
        <v>8</v>
      </c>
      <c r="F228" s="22">
        <v>23</v>
      </c>
      <c r="G228" s="22" t="s">
        <v>674</v>
      </c>
      <c r="H228" s="22" t="s">
        <v>118</v>
      </c>
      <c r="I228" s="22" t="s">
        <v>256</v>
      </c>
      <c r="J228" s="22" t="s">
        <v>205</v>
      </c>
      <c r="K228" s="22" t="s">
        <v>65</v>
      </c>
      <c r="L228" s="22" t="s">
        <v>67</v>
      </c>
      <c r="M228" s="22" t="s">
        <v>68</v>
      </c>
    </row>
    <row r="229" spans="1:13">
      <c r="A229" s="22" t="s">
        <v>707</v>
      </c>
      <c r="B229" s="22" t="s">
        <v>708</v>
      </c>
      <c r="C229" s="22" t="s">
        <v>204</v>
      </c>
      <c r="D229" s="22" t="s">
        <v>205</v>
      </c>
      <c r="E229" s="22">
        <v>2</v>
      </c>
      <c r="F229" s="22">
        <v>39</v>
      </c>
      <c r="G229" s="22" t="s">
        <v>674</v>
      </c>
      <c r="H229" s="22" t="s">
        <v>118</v>
      </c>
      <c r="I229" s="22" t="s">
        <v>259</v>
      </c>
      <c r="J229" s="22" t="s">
        <v>205</v>
      </c>
      <c r="K229" s="22" t="s">
        <v>65</v>
      </c>
      <c r="L229" s="22" t="s">
        <v>67</v>
      </c>
      <c r="M229" s="22" t="s">
        <v>68</v>
      </c>
    </row>
    <row r="230" spans="1:13">
      <c r="A230" s="22" t="s">
        <v>709</v>
      </c>
      <c r="B230" s="22" t="s">
        <v>710</v>
      </c>
      <c r="C230" s="22" t="s">
        <v>204</v>
      </c>
      <c r="D230" s="22" t="s">
        <v>205</v>
      </c>
      <c r="E230" s="22">
        <v>7</v>
      </c>
      <c r="F230" s="22">
        <v>15</v>
      </c>
      <c r="G230" s="22" t="s">
        <v>674</v>
      </c>
      <c r="H230" s="22" t="s">
        <v>118</v>
      </c>
      <c r="I230" s="22" t="s">
        <v>262</v>
      </c>
      <c r="J230" s="22" t="s">
        <v>205</v>
      </c>
      <c r="K230" s="22" t="s">
        <v>65</v>
      </c>
      <c r="L230" s="22" t="s">
        <v>67</v>
      </c>
      <c r="M230" s="22" t="s">
        <v>68</v>
      </c>
    </row>
    <row r="231" spans="1:13">
      <c r="A231" s="22" t="s">
        <v>711</v>
      </c>
      <c r="B231" s="22" t="s">
        <v>712</v>
      </c>
      <c r="C231" s="22" t="s">
        <v>213</v>
      </c>
      <c r="D231" s="22" t="s">
        <v>205</v>
      </c>
      <c r="E231" s="22">
        <v>9</v>
      </c>
      <c r="F231" s="22">
        <v>12</v>
      </c>
      <c r="G231" s="22" t="s">
        <v>674</v>
      </c>
      <c r="H231" s="22" t="s">
        <v>118</v>
      </c>
      <c r="I231" s="22" t="s">
        <v>265</v>
      </c>
      <c r="J231" s="22" t="s">
        <v>205</v>
      </c>
      <c r="K231" s="22" t="s">
        <v>65</v>
      </c>
      <c r="L231" s="22" t="s">
        <v>67</v>
      </c>
      <c r="M231" s="22" t="s">
        <v>68</v>
      </c>
    </row>
    <row r="232" spans="1:13">
      <c r="A232" s="22" t="s">
        <v>713</v>
      </c>
      <c r="B232" s="22" t="s">
        <v>714</v>
      </c>
      <c r="C232" s="22" t="s">
        <v>213</v>
      </c>
      <c r="D232" s="22" t="s">
        <v>205</v>
      </c>
      <c r="E232" s="22">
        <v>8</v>
      </c>
      <c r="F232" s="22">
        <v>2</v>
      </c>
      <c r="G232" s="22" t="s">
        <v>674</v>
      </c>
      <c r="H232" s="22" t="s">
        <v>118</v>
      </c>
      <c r="I232" s="22" t="s">
        <v>268</v>
      </c>
      <c r="J232" s="22" t="s">
        <v>205</v>
      </c>
      <c r="K232" s="22" t="s">
        <v>65</v>
      </c>
      <c r="L232" s="22" t="s">
        <v>67</v>
      </c>
      <c r="M232" s="22" t="s">
        <v>68</v>
      </c>
    </row>
    <row r="233" spans="1:13">
      <c r="A233" s="22" t="s">
        <v>715</v>
      </c>
      <c r="B233" s="22" t="s">
        <v>716</v>
      </c>
      <c r="C233" s="22" t="s">
        <v>204</v>
      </c>
      <c r="D233" s="22" t="s">
        <v>205</v>
      </c>
      <c r="E233" s="22">
        <v>8</v>
      </c>
      <c r="F233" s="22">
        <v>3</v>
      </c>
      <c r="G233" s="22" t="s">
        <v>674</v>
      </c>
      <c r="H233" s="22" t="s">
        <v>118</v>
      </c>
      <c r="I233" s="22" t="s">
        <v>271</v>
      </c>
      <c r="J233" s="22" t="s">
        <v>205</v>
      </c>
      <c r="K233" s="22" t="s">
        <v>65</v>
      </c>
      <c r="L233" s="22" t="s">
        <v>67</v>
      </c>
      <c r="M233" s="22" t="s">
        <v>68</v>
      </c>
    </row>
    <row r="234" spans="1:13">
      <c r="A234" s="22" t="s">
        <v>717</v>
      </c>
      <c r="B234" s="22" t="s">
        <v>718</v>
      </c>
      <c r="C234" s="22" t="s">
        <v>213</v>
      </c>
      <c r="D234" s="22" t="s">
        <v>205</v>
      </c>
      <c r="E234" s="22">
        <v>1</v>
      </c>
      <c r="F234" s="22">
        <v>19</v>
      </c>
      <c r="G234" s="22" t="s">
        <v>674</v>
      </c>
      <c r="H234" s="22" t="s">
        <v>118</v>
      </c>
      <c r="I234" s="22" t="s">
        <v>274</v>
      </c>
      <c r="J234" s="22" t="s">
        <v>205</v>
      </c>
      <c r="K234" s="22" t="s">
        <v>65</v>
      </c>
      <c r="L234" s="22" t="s">
        <v>67</v>
      </c>
      <c r="M234" s="22" t="s">
        <v>68</v>
      </c>
    </row>
    <row r="235" spans="1:13">
      <c r="A235" s="22" t="s">
        <v>719</v>
      </c>
      <c r="B235" s="22" t="s">
        <v>720</v>
      </c>
      <c r="C235" s="22" t="s">
        <v>204</v>
      </c>
      <c r="D235" s="22" t="s">
        <v>205</v>
      </c>
      <c r="E235" s="22">
        <v>8</v>
      </c>
      <c r="F235" s="22">
        <v>9</v>
      </c>
      <c r="G235" s="22" t="s">
        <v>674</v>
      </c>
      <c r="H235" s="22" t="s">
        <v>118</v>
      </c>
      <c r="I235" s="22" t="s">
        <v>277</v>
      </c>
      <c r="J235" s="22" t="s">
        <v>205</v>
      </c>
      <c r="K235" s="22" t="s">
        <v>65</v>
      </c>
      <c r="L235" s="22" t="s">
        <v>67</v>
      </c>
      <c r="M235" s="22" t="s">
        <v>68</v>
      </c>
    </row>
    <row r="236" spans="1:13">
      <c r="A236" s="22" t="s">
        <v>721</v>
      </c>
      <c r="B236" s="22" t="s">
        <v>722</v>
      </c>
      <c r="C236" s="22" t="s">
        <v>204</v>
      </c>
      <c r="D236" s="22" t="s">
        <v>205</v>
      </c>
      <c r="E236" s="22">
        <v>7</v>
      </c>
      <c r="F236" s="22">
        <v>7</v>
      </c>
      <c r="G236" s="22" t="s">
        <v>674</v>
      </c>
      <c r="H236" s="22" t="s">
        <v>118</v>
      </c>
      <c r="I236" s="22" t="s">
        <v>280</v>
      </c>
      <c r="J236" s="22" t="s">
        <v>205</v>
      </c>
      <c r="K236" s="22" t="s">
        <v>65</v>
      </c>
      <c r="L236" s="22" t="s">
        <v>67</v>
      </c>
      <c r="M236" s="22" t="s">
        <v>68</v>
      </c>
    </row>
    <row r="237" spans="1:13">
      <c r="A237" s="22" t="s">
        <v>723</v>
      </c>
      <c r="B237" s="22" t="s">
        <v>724</v>
      </c>
      <c r="C237" s="22" t="s">
        <v>213</v>
      </c>
      <c r="D237" s="22" t="s">
        <v>205</v>
      </c>
      <c r="E237" s="22">
        <v>4</v>
      </c>
      <c r="F237" s="22">
        <v>44</v>
      </c>
      <c r="G237" s="22" t="s">
        <v>674</v>
      </c>
      <c r="H237" s="22" t="s">
        <v>118</v>
      </c>
      <c r="I237" s="22" t="s">
        <v>283</v>
      </c>
      <c r="J237" s="22" t="s">
        <v>205</v>
      </c>
      <c r="K237" s="22" t="s">
        <v>65</v>
      </c>
      <c r="L237" s="22" t="s">
        <v>67</v>
      </c>
      <c r="M237" s="22" t="s">
        <v>68</v>
      </c>
    </row>
    <row r="238" spans="1:13">
      <c r="A238" s="22" t="s">
        <v>725</v>
      </c>
      <c r="B238" s="22" t="s">
        <v>726</v>
      </c>
      <c r="C238" s="22" t="s">
        <v>213</v>
      </c>
      <c r="D238" s="22" t="s">
        <v>205</v>
      </c>
      <c r="E238" s="22">
        <v>6</v>
      </c>
      <c r="F238" s="22">
        <v>31</v>
      </c>
      <c r="G238" s="22" t="s">
        <v>674</v>
      </c>
      <c r="H238" s="22" t="s">
        <v>118</v>
      </c>
      <c r="I238" s="22" t="s">
        <v>286</v>
      </c>
      <c r="J238" s="22" t="s">
        <v>205</v>
      </c>
      <c r="K238" s="22" t="s">
        <v>65</v>
      </c>
      <c r="L238" s="22" t="s">
        <v>67</v>
      </c>
      <c r="M238" s="22" t="s">
        <v>68</v>
      </c>
    </row>
    <row r="239" spans="1:13">
      <c r="A239" s="22" t="s">
        <v>727</v>
      </c>
      <c r="B239" s="22" t="s">
        <v>728</v>
      </c>
      <c r="C239" s="22" t="s">
        <v>213</v>
      </c>
      <c r="D239" s="22" t="s">
        <v>205</v>
      </c>
      <c r="E239" s="22">
        <v>1</v>
      </c>
      <c r="F239" s="22">
        <v>4</v>
      </c>
      <c r="G239" s="22" t="s">
        <v>674</v>
      </c>
      <c r="H239" s="22" t="s">
        <v>118</v>
      </c>
      <c r="I239" s="22" t="s">
        <v>289</v>
      </c>
      <c r="J239" s="22" t="s">
        <v>205</v>
      </c>
      <c r="K239" s="22" t="s">
        <v>65</v>
      </c>
      <c r="L239" s="22" t="s">
        <v>67</v>
      </c>
      <c r="M239" s="22" t="s">
        <v>68</v>
      </c>
    </row>
    <row r="240" spans="1:13">
      <c r="A240" s="22" t="s">
        <v>729</v>
      </c>
      <c r="B240" s="22" t="s">
        <v>730</v>
      </c>
      <c r="C240" s="22" t="s">
        <v>213</v>
      </c>
      <c r="D240" s="22" t="s">
        <v>205</v>
      </c>
      <c r="E240" s="22">
        <v>1</v>
      </c>
      <c r="F240" s="22">
        <v>29</v>
      </c>
      <c r="G240" s="22" t="s">
        <v>674</v>
      </c>
      <c r="H240" s="22" t="s">
        <v>118</v>
      </c>
      <c r="I240" s="22" t="s">
        <v>292</v>
      </c>
      <c r="J240" s="22" t="s">
        <v>205</v>
      </c>
      <c r="K240" s="22" t="s">
        <v>65</v>
      </c>
      <c r="L240" s="22" t="s">
        <v>67</v>
      </c>
      <c r="M240" s="22" t="s">
        <v>68</v>
      </c>
    </row>
    <row r="241" spans="1:13">
      <c r="A241" s="22" t="s">
        <v>731</v>
      </c>
      <c r="B241" s="22" t="s">
        <v>732</v>
      </c>
      <c r="C241" s="22" t="s">
        <v>213</v>
      </c>
      <c r="D241" s="22" t="s">
        <v>205</v>
      </c>
      <c r="E241" s="22">
        <v>2</v>
      </c>
      <c r="F241" s="22">
        <v>40</v>
      </c>
      <c r="G241" s="22" t="s">
        <v>674</v>
      </c>
      <c r="H241" s="22" t="s">
        <v>118</v>
      </c>
      <c r="I241" s="22" t="s">
        <v>295</v>
      </c>
      <c r="J241" s="22" t="s">
        <v>205</v>
      </c>
      <c r="K241" s="22" t="s">
        <v>65</v>
      </c>
      <c r="L241" s="22" t="s">
        <v>67</v>
      </c>
      <c r="M241" s="22" t="s">
        <v>68</v>
      </c>
    </row>
    <row r="242" spans="1:13">
      <c r="A242" s="22" t="s">
        <v>733</v>
      </c>
      <c r="B242" s="22" t="s">
        <v>734</v>
      </c>
      <c r="C242" s="22" t="s">
        <v>204</v>
      </c>
      <c r="D242" s="22" t="s">
        <v>205</v>
      </c>
      <c r="E242" s="22">
        <v>6</v>
      </c>
      <c r="F242" s="22">
        <v>25</v>
      </c>
      <c r="G242" s="22" t="s">
        <v>674</v>
      </c>
      <c r="H242" s="22" t="s">
        <v>118</v>
      </c>
      <c r="I242" s="22" t="s">
        <v>298</v>
      </c>
      <c r="J242" s="22" t="s">
        <v>205</v>
      </c>
      <c r="K242" s="22" t="s">
        <v>65</v>
      </c>
      <c r="L242" s="22" t="s">
        <v>67</v>
      </c>
      <c r="M242" s="22" t="s">
        <v>68</v>
      </c>
    </row>
    <row r="243" spans="1:13">
      <c r="A243" s="22" t="s">
        <v>735</v>
      </c>
      <c r="B243" s="22" t="s">
        <v>736</v>
      </c>
      <c r="C243" s="22" t="s">
        <v>213</v>
      </c>
      <c r="D243" s="22" t="s">
        <v>205</v>
      </c>
      <c r="E243" s="22">
        <v>8</v>
      </c>
      <c r="F243" s="22">
        <v>40</v>
      </c>
      <c r="G243" s="22" t="s">
        <v>674</v>
      </c>
      <c r="H243" s="22" t="s">
        <v>118</v>
      </c>
      <c r="I243" s="22" t="s">
        <v>301</v>
      </c>
      <c r="J243" s="22" t="s">
        <v>205</v>
      </c>
      <c r="K243" s="22" t="s">
        <v>65</v>
      </c>
      <c r="L243" s="22" t="s">
        <v>67</v>
      </c>
      <c r="M243" s="22" t="s">
        <v>68</v>
      </c>
    </row>
    <row r="244" spans="1:13">
      <c r="A244" s="22" t="s">
        <v>737</v>
      </c>
      <c r="B244" s="22" t="s">
        <v>738</v>
      </c>
      <c r="C244" s="22" t="s">
        <v>204</v>
      </c>
      <c r="D244" s="22" t="s">
        <v>205</v>
      </c>
      <c r="E244" s="22">
        <v>9</v>
      </c>
      <c r="F244" s="22">
        <v>31</v>
      </c>
      <c r="G244" s="22" t="s">
        <v>674</v>
      </c>
      <c r="H244" s="22" t="s">
        <v>118</v>
      </c>
      <c r="I244" s="22" t="s">
        <v>304</v>
      </c>
      <c r="J244" s="22" t="s">
        <v>205</v>
      </c>
      <c r="K244" s="22" t="s">
        <v>65</v>
      </c>
      <c r="L244" s="22" t="s">
        <v>67</v>
      </c>
      <c r="M244" s="22" t="s">
        <v>68</v>
      </c>
    </row>
    <row r="245" spans="1:13">
      <c r="A245" s="22" t="s">
        <v>739</v>
      </c>
      <c r="B245" s="22" t="s">
        <v>740</v>
      </c>
      <c r="C245" s="22" t="s">
        <v>213</v>
      </c>
      <c r="D245" s="22" t="s">
        <v>205</v>
      </c>
      <c r="E245" s="22">
        <v>5</v>
      </c>
      <c r="F245" s="22">
        <v>8</v>
      </c>
      <c r="G245" s="22" t="s">
        <v>674</v>
      </c>
      <c r="H245" s="22" t="s">
        <v>118</v>
      </c>
      <c r="I245" s="22" t="s">
        <v>307</v>
      </c>
      <c r="J245" s="22" t="s">
        <v>205</v>
      </c>
      <c r="K245" s="22" t="s">
        <v>65</v>
      </c>
      <c r="L245" s="22" t="s">
        <v>67</v>
      </c>
      <c r="M245" s="22" t="s">
        <v>68</v>
      </c>
    </row>
    <row r="246" spans="1:13">
      <c r="A246" s="22" t="s">
        <v>741</v>
      </c>
      <c r="B246" s="22" t="s">
        <v>742</v>
      </c>
      <c r="C246" s="22" t="s">
        <v>213</v>
      </c>
      <c r="D246" s="22" t="s">
        <v>205</v>
      </c>
      <c r="E246" s="22">
        <v>6</v>
      </c>
      <c r="F246" s="22">
        <v>30</v>
      </c>
      <c r="G246" s="22" t="s">
        <v>674</v>
      </c>
      <c r="H246" s="22" t="s">
        <v>118</v>
      </c>
      <c r="I246" s="22" t="s">
        <v>310</v>
      </c>
      <c r="J246" s="22" t="s">
        <v>205</v>
      </c>
      <c r="K246" s="22" t="s">
        <v>65</v>
      </c>
      <c r="L246" s="22" t="s">
        <v>67</v>
      </c>
      <c r="M246" s="22" t="s">
        <v>68</v>
      </c>
    </row>
    <row r="247" spans="1:13">
      <c r="A247" s="22" t="s">
        <v>743</v>
      </c>
      <c r="B247" s="22" t="s">
        <v>744</v>
      </c>
      <c r="C247" s="22" t="s">
        <v>213</v>
      </c>
      <c r="D247" s="22" t="s">
        <v>205</v>
      </c>
      <c r="E247" s="22">
        <v>8</v>
      </c>
      <c r="F247" s="22">
        <v>15</v>
      </c>
      <c r="G247" s="22" t="s">
        <v>674</v>
      </c>
      <c r="H247" s="22" t="s">
        <v>118</v>
      </c>
      <c r="I247" s="22" t="s">
        <v>313</v>
      </c>
      <c r="J247" s="22" t="s">
        <v>205</v>
      </c>
      <c r="K247" s="22" t="s">
        <v>65</v>
      </c>
      <c r="L247" s="22" t="s">
        <v>67</v>
      </c>
      <c r="M247" s="22" t="s">
        <v>68</v>
      </c>
    </row>
    <row r="248" spans="1:13">
      <c r="A248" s="22" t="s">
        <v>745</v>
      </c>
      <c r="B248" s="22" t="s">
        <v>228</v>
      </c>
      <c r="C248" s="22" t="s">
        <v>213</v>
      </c>
      <c r="D248" s="22" t="s">
        <v>205</v>
      </c>
      <c r="E248" s="22">
        <v>3</v>
      </c>
      <c r="F248" s="22">
        <v>23</v>
      </c>
      <c r="G248" s="22" t="s">
        <v>674</v>
      </c>
      <c r="H248" s="22" t="s">
        <v>118</v>
      </c>
      <c r="I248" s="22" t="s">
        <v>316</v>
      </c>
      <c r="J248" s="22" t="s">
        <v>205</v>
      </c>
      <c r="K248" s="22" t="s">
        <v>65</v>
      </c>
      <c r="L248" s="22" t="s">
        <v>67</v>
      </c>
      <c r="M248" s="22" t="s">
        <v>68</v>
      </c>
    </row>
    <row r="249" spans="1:13">
      <c r="A249" s="22" t="s">
        <v>746</v>
      </c>
      <c r="B249" s="22" t="s">
        <v>747</v>
      </c>
      <c r="C249" s="22" t="s">
        <v>213</v>
      </c>
      <c r="D249" s="22" t="s">
        <v>205</v>
      </c>
      <c r="E249" s="22">
        <v>2</v>
      </c>
      <c r="F249" s="22">
        <v>2</v>
      </c>
      <c r="G249" s="22" t="s">
        <v>674</v>
      </c>
      <c r="H249" s="22" t="s">
        <v>118</v>
      </c>
      <c r="I249" s="22" t="s">
        <v>319</v>
      </c>
      <c r="J249" s="22" t="s">
        <v>205</v>
      </c>
      <c r="K249" s="22" t="s">
        <v>65</v>
      </c>
      <c r="L249" s="22" t="s">
        <v>67</v>
      </c>
      <c r="M249" s="22" t="s">
        <v>68</v>
      </c>
    </row>
    <row r="250" spans="1:13">
      <c r="A250" s="22" t="s">
        <v>748</v>
      </c>
      <c r="B250" s="22" t="s">
        <v>749</v>
      </c>
      <c r="C250" s="22" t="s">
        <v>213</v>
      </c>
      <c r="D250" s="22" t="s">
        <v>205</v>
      </c>
      <c r="E250" s="22">
        <v>1</v>
      </c>
      <c r="F250" s="22">
        <v>50</v>
      </c>
      <c r="G250" s="22" t="s">
        <v>674</v>
      </c>
      <c r="H250" s="22" t="s">
        <v>118</v>
      </c>
      <c r="I250" s="22" t="s">
        <v>322</v>
      </c>
      <c r="J250" s="22" t="s">
        <v>205</v>
      </c>
      <c r="K250" s="22" t="s">
        <v>65</v>
      </c>
      <c r="L250" s="22" t="s">
        <v>67</v>
      </c>
      <c r="M250" s="22" t="s">
        <v>68</v>
      </c>
    </row>
    <row r="251" spans="1:13">
      <c r="A251" s="22" t="s">
        <v>750</v>
      </c>
      <c r="B251" s="22" t="s">
        <v>751</v>
      </c>
      <c r="C251" s="22" t="s">
        <v>213</v>
      </c>
      <c r="D251" s="22" t="s">
        <v>205</v>
      </c>
      <c r="E251" s="22">
        <v>1</v>
      </c>
      <c r="F251" s="22">
        <v>16</v>
      </c>
      <c r="G251" s="22" t="s">
        <v>674</v>
      </c>
      <c r="H251" s="22" t="s">
        <v>118</v>
      </c>
      <c r="I251" s="22" t="s">
        <v>325</v>
      </c>
      <c r="J251" s="22" t="s">
        <v>205</v>
      </c>
      <c r="K251" s="22" t="s">
        <v>65</v>
      </c>
      <c r="L251" s="22" t="s">
        <v>67</v>
      </c>
      <c r="M251" s="22" t="s">
        <v>68</v>
      </c>
    </row>
    <row r="252" spans="1:13">
      <c r="A252" s="22" t="s">
        <v>752</v>
      </c>
      <c r="B252" s="22" t="s">
        <v>753</v>
      </c>
      <c r="C252" s="22" t="s">
        <v>204</v>
      </c>
      <c r="D252" s="22" t="s">
        <v>205</v>
      </c>
      <c r="E252" s="22">
        <v>4</v>
      </c>
      <c r="F252" s="22">
        <v>24</v>
      </c>
      <c r="G252" s="22" t="s">
        <v>674</v>
      </c>
      <c r="H252" s="22" t="s">
        <v>118</v>
      </c>
      <c r="I252" s="22" t="s">
        <v>328</v>
      </c>
      <c r="J252" s="22" t="s">
        <v>205</v>
      </c>
      <c r="K252" s="22" t="s">
        <v>65</v>
      </c>
      <c r="L252" s="22" t="s">
        <v>67</v>
      </c>
      <c r="M252" s="22" t="s">
        <v>68</v>
      </c>
    </row>
    <row r="253" spans="1:13">
      <c r="A253" s="22" t="s">
        <v>754</v>
      </c>
      <c r="B253" s="22" t="s">
        <v>755</v>
      </c>
      <c r="C253" s="22" t="s">
        <v>213</v>
      </c>
      <c r="D253" s="22" t="s">
        <v>205</v>
      </c>
      <c r="E253" s="22">
        <v>8</v>
      </c>
      <c r="F253" s="22">
        <v>33</v>
      </c>
      <c r="G253" s="22" t="s">
        <v>674</v>
      </c>
      <c r="H253" s="22" t="s">
        <v>118</v>
      </c>
      <c r="I253" s="22" t="s">
        <v>331</v>
      </c>
      <c r="J253" s="22" t="s">
        <v>205</v>
      </c>
      <c r="K253" s="22" t="s">
        <v>65</v>
      </c>
      <c r="L253" s="22" t="s">
        <v>67</v>
      </c>
      <c r="M253" s="22" t="s">
        <v>68</v>
      </c>
    </row>
    <row r="254" spans="1:13">
      <c r="A254" s="22" t="s">
        <v>756</v>
      </c>
      <c r="B254" s="22" t="s">
        <v>757</v>
      </c>
      <c r="C254" s="22" t="s">
        <v>213</v>
      </c>
      <c r="D254" s="22" t="s">
        <v>205</v>
      </c>
      <c r="E254" s="22">
        <v>7</v>
      </c>
      <c r="F254" s="22">
        <v>4</v>
      </c>
      <c r="G254" s="22" t="s">
        <v>758</v>
      </c>
      <c r="H254" s="22" t="s">
        <v>123</v>
      </c>
      <c r="I254" s="22" t="s">
        <v>207</v>
      </c>
      <c r="J254" s="22" t="s">
        <v>205</v>
      </c>
      <c r="K254" s="22" t="s">
        <v>65</v>
      </c>
      <c r="L254" s="22" t="s">
        <v>67</v>
      </c>
      <c r="M254" s="22" t="s">
        <v>68</v>
      </c>
    </row>
    <row r="255" spans="1:13">
      <c r="A255" s="22" t="s">
        <v>759</v>
      </c>
      <c r="B255" s="22" t="s">
        <v>760</v>
      </c>
      <c r="C255" s="22" t="s">
        <v>213</v>
      </c>
      <c r="D255" s="22" t="s">
        <v>205</v>
      </c>
      <c r="E255" s="22">
        <v>3</v>
      </c>
      <c r="F255" s="22">
        <v>53</v>
      </c>
      <c r="G255" s="22" t="s">
        <v>758</v>
      </c>
      <c r="H255" s="22" t="s">
        <v>123</v>
      </c>
      <c r="I255" s="22" t="s">
        <v>210</v>
      </c>
      <c r="J255" s="22" t="s">
        <v>205</v>
      </c>
      <c r="K255" s="22" t="s">
        <v>65</v>
      </c>
      <c r="L255" s="22" t="s">
        <v>67</v>
      </c>
      <c r="M255" s="22" t="s">
        <v>68</v>
      </c>
    </row>
    <row r="256" spans="1:13">
      <c r="A256" s="22" t="s">
        <v>761</v>
      </c>
      <c r="B256" s="22" t="s">
        <v>762</v>
      </c>
      <c r="C256" s="22" t="s">
        <v>204</v>
      </c>
      <c r="D256" s="22" t="s">
        <v>205</v>
      </c>
      <c r="E256" s="22">
        <v>3</v>
      </c>
      <c r="F256" s="22">
        <v>1</v>
      </c>
      <c r="G256" s="22" t="s">
        <v>758</v>
      </c>
      <c r="H256" s="22" t="s">
        <v>123</v>
      </c>
      <c r="I256" s="22" t="s">
        <v>214</v>
      </c>
      <c r="J256" s="22" t="s">
        <v>205</v>
      </c>
      <c r="K256" s="22" t="s">
        <v>65</v>
      </c>
      <c r="L256" s="22" t="s">
        <v>67</v>
      </c>
      <c r="M256" s="22" t="s">
        <v>68</v>
      </c>
    </row>
    <row r="257" spans="1:13">
      <c r="A257" s="22" t="s">
        <v>763</v>
      </c>
      <c r="B257" s="22" t="s">
        <v>764</v>
      </c>
      <c r="C257" s="22" t="s">
        <v>204</v>
      </c>
      <c r="D257" s="22" t="s">
        <v>205</v>
      </c>
      <c r="E257" s="22">
        <v>2</v>
      </c>
      <c r="F257" s="22">
        <v>15</v>
      </c>
      <c r="G257" s="22" t="s">
        <v>758</v>
      </c>
      <c r="H257" s="22" t="s">
        <v>123</v>
      </c>
      <c r="I257" s="22" t="s">
        <v>217</v>
      </c>
      <c r="J257" s="22" t="s">
        <v>205</v>
      </c>
      <c r="K257" s="22" t="s">
        <v>65</v>
      </c>
      <c r="L257" s="22" t="s">
        <v>67</v>
      </c>
      <c r="M257" s="22" t="s">
        <v>68</v>
      </c>
    </row>
    <row r="258" spans="1:13">
      <c r="A258" s="22" t="s">
        <v>765</v>
      </c>
      <c r="B258" s="22" t="s">
        <v>766</v>
      </c>
      <c r="C258" s="22" t="s">
        <v>213</v>
      </c>
      <c r="D258" s="22" t="s">
        <v>205</v>
      </c>
      <c r="E258" s="22">
        <v>1</v>
      </c>
      <c r="F258" s="22">
        <v>26</v>
      </c>
      <c r="G258" s="22" t="s">
        <v>758</v>
      </c>
      <c r="H258" s="22" t="s">
        <v>123</v>
      </c>
      <c r="I258" s="22" t="s">
        <v>220</v>
      </c>
      <c r="J258" s="22" t="s">
        <v>205</v>
      </c>
      <c r="K258" s="22" t="s">
        <v>65</v>
      </c>
      <c r="L258" s="22" t="s">
        <v>67</v>
      </c>
      <c r="M258" s="22" t="s">
        <v>68</v>
      </c>
    </row>
    <row r="259" spans="1:13">
      <c r="A259" s="22" t="s">
        <v>767</v>
      </c>
      <c r="B259" s="22" t="s">
        <v>768</v>
      </c>
      <c r="C259" s="22" t="s">
        <v>213</v>
      </c>
      <c r="D259" s="22" t="s">
        <v>205</v>
      </c>
      <c r="E259" s="22">
        <v>2</v>
      </c>
      <c r="F259" s="22">
        <v>36</v>
      </c>
      <c r="G259" s="22" t="s">
        <v>758</v>
      </c>
      <c r="H259" s="22" t="s">
        <v>123</v>
      </c>
      <c r="I259" s="22" t="s">
        <v>223</v>
      </c>
      <c r="J259" s="22" t="s">
        <v>205</v>
      </c>
      <c r="K259" s="22" t="s">
        <v>65</v>
      </c>
      <c r="L259" s="22" t="s">
        <v>67</v>
      </c>
      <c r="M259" s="22" t="s">
        <v>68</v>
      </c>
    </row>
    <row r="260" spans="1:13">
      <c r="A260" s="22" t="s">
        <v>769</v>
      </c>
      <c r="B260" s="22" t="s">
        <v>770</v>
      </c>
      <c r="C260" s="22" t="s">
        <v>204</v>
      </c>
      <c r="D260" s="22" t="s">
        <v>205</v>
      </c>
      <c r="E260" s="22">
        <v>9</v>
      </c>
      <c r="F260" s="22">
        <v>52</v>
      </c>
      <c r="G260" s="22" t="s">
        <v>758</v>
      </c>
      <c r="H260" s="22" t="s">
        <v>123</v>
      </c>
      <c r="I260" s="22" t="s">
        <v>226</v>
      </c>
      <c r="J260" s="22" t="s">
        <v>205</v>
      </c>
      <c r="K260" s="22" t="s">
        <v>65</v>
      </c>
      <c r="L260" s="22" t="s">
        <v>67</v>
      </c>
      <c r="M260" s="22" t="s">
        <v>68</v>
      </c>
    </row>
    <row r="261" spans="1:13">
      <c r="A261" s="22" t="s">
        <v>771</v>
      </c>
      <c r="B261" s="22" t="s">
        <v>772</v>
      </c>
      <c r="C261" s="22" t="s">
        <v>213</v>
      </c>
      <c r="D261" s="22" t="s">
        <v>205</v>
      </c>
      <c r="E261" s="22">
        <v>5</v>
      </c>
      <c r="F261" s="22">
        <v>9</v>
      </c>
      <c r="G261" s="22" t="s">
        <v>758</v>
      </c>
      <c r="H261" s="22" t="s">
        <v>123</v>
      </c>
      <c r="I261" s="22" t="s">
        <v>229</v>
      </c>
      <c r="J261" s="22" t="s">
        <v>205</v>
      </c>
      <c r="K261" s="22" t="s">
        <v>65</v>
      </c>
      <c r="L261" s="22" t="s">
        <v>67</v>
      </c>
      <c r="M261" s="22" t="s">
        <v>68</v>
      </c>
    </row>
    <row r="262" spans="1:13">
      <c r="A262" s="22" t="s">
        <v>773</v>
      </c>
      <c r="B262" s="22" t="s">
        <v>774</v>
      </c>
      <c r="C262" s="22" t="s">
        <v>213</v>
      </c>
      <c r="D262" s="22" t="s">
        <v>205</v>
      </c>
      <c r="E262" s="22">
        <v>2</v>
      </c>
      <c r="F262" s="22">
        <v>26</v>
      </c>
      <c r="G262" s="22" t="s">
        <v>758</v>
      </c>
      <c r="H262" s="22" t="s">
        <v>123</v>
      </c>
      <c r="I262" s="22" t="s">
        <v>232</v>
      </c>
      <c r="J262" s="22" t="s">
        <v>205</v>
      </c>
      <c r="K262" s="22" t="s">
        <v>65</v>
      </c>
      <c r="L262" s="22" t="s">
        <v>67</v>
      </c>
      <c r="M262" s="22" t="s">
        <v>68</v>
      </c>
    </row>
    <row r="263" spans="1:13">
      <c r="A263" s="22" t="s">
        <v>775</v>
      </c>
      <c r="B263" s="22" t="s">
        <v>776</v>
      </c>
      <c r="C263" s="22" t="s">
        <v>204</v>
      </c>
      <c r="D263" s="22" t="s">
        <v>205</v>
      </c>
      <c r="E263" s="22">
        <v>3</v>
      </c>
      <c r="F263" s="22">
        <v>4</v>
      </c>
      <c r="G263" s="22" t="s">
        <v>758</v>
      </c>
      <c r="H263" s="22" t="s">
        <v>123</v>
      </c>
      <c r="I263" s="22" t="s">
        <v>235</v>
      </c>
      <c r="J263" s="22" t="s">
        <v>205</v>
      </c>
      <c r="K263" s="22" t="s">
        <v>65</v>
      </c>
      <c r="L263" s="22" t="s">
        <v>67</v>
      </c>
      <c r="M263" s="22" t="s">
        <v>68</v>
      </c>
    </row>
    <row r="264" spans="1:13">
      <c r="A264" s="22" t="s">
        <v>777</v>
      </c>
      <c r="B264" s="22" t="s">
        <v>778</v>
      </c>
      <c r="C264" s="22" t="s">
        <v>204</v>
      </c>
      <c r="D264" s="22" t="s">
        <v>205</v>
      </c>
      <c r="E264" s="22">
        <v>8</v>
      </c>
      <c r="F264" s="22">
        <v>47</v>
      </c>
      <c r="G264" s="22" t="s">
        <v>758</v>
      </c>
      <c r="H264" s="22" t="s">
        <v>123</v>
      </c>
      <c r="I264" s="22" t="s">
        <v>238</v>
      </c>
      <c r="J264" s="22" t="s">
        <v>205</v>
      </c>
      <c r="K264" s="22" t="s">
        <v>65</v>
      </c>
      <c r="L264" s="22" t="s">
        <v>67</v>
      </c>
      <c r="M264" s="22" t="s">
        <v>68</v>
      </c>
    </row>
    <row r="265" spans="1:13">
      <c r="A265" s="22" t="s">
        <v>779</v>
      </c>
      <c r="B265" s="22" t="s">
        <v>780</v>
      </c>
      <c r="C265" s="22" t="s">
        <v>213</v>
      </c>
      <c r="D265" s="22" t="s">
        <v>205</v>
      </c>
      <c r="E265" s="22">
        <v>8</v>
      </c>
      <c r="F265" s="22">
        <v>8</v>
      </c>
      <c r="G265" s="22" t="s">
        <v>758</v>
      </c>
      <c r="H265" s="22" t="s">
        <v>123</v>
      </c>
      <c r="I265" s="22" t="s">
        <v>241</v>
      </c>
      <c r="J265" s="22" t="s">
        <v>205</v>
      </c>
      <c r="K265" s="22" t="s">
        <v>65</v>
      </c>
      <c r="L265" s="22" t="s">
        <v>67</v>
      </c>
      <c r="M265" s="22" t="s">
        <v>68</v>
      </c>
    </row>
    <row r="266" spans="1:13">
      <c r="A266" s="22" t="s">
        <v>781</v>
      </c>
      <c r="B266" s="22" t="s">
        <v>782</v>
      </c>
      <c r="C266" s="22" t="s">
        <v>204</v>
      </c>
      <c r="D266" s="22" t="s">
        <v>205</v>
      </c>
      <c r="E266" s="22">
        <v>7</v>
      </c>
      <c r="F266" s="22">
        <v>52</v>
      </c>
      <c r="G266" s="22" t="s">
        <v>758</v>
      </c>
      <c r="H266" s="22" t="s">
        <v>123</v>
      </c>
      <c r="I266" s="22" t="s">
        <v>244</v>
      </c>
      <c r="J266" s="22" t="s">
        <v>205</v>
      </c>
      <c r="K266" s="22" t="s">
        <v>65</v>
      </c>
      <c r="L266" s="22" t="s">
        <v>67</v>
      </c>
      <c r="M266" s="22" t="s">
        <v>68</v>
      </c>
    </row>
    <row r="267" spans="1:13">
      <c r="A267" s="22" t="s">
        <v>783</v>
      </c>
      <c r="B267" s="22" t="s">
        <v>784</v>
      </c>
      <c r="C267" s="22" t="s">
        <v>204</v>
      </c>
      <c r="D267" s="22" t="s">
        <v>205</v>
      </c>
      <c r="E267" s="22">
        <v>4</v>
      </c>
      <c r="F267" s="22">
        <v>16</v>
      </c>
      <c r="G267" s="22" t="s">
        <v>758</v>
      </c>
      <c r="H267" s="22" t="s">
        <v>123</v>
      </c>
      <c r="I267" s="22" t="s">
        <v>247</v>
      </c>
      <c r="J267" s="22" t="s">
        <v>205</v>
      </c>
      <c r="K267" s="22" t="s">
        <v>65</v>
      </c>
      <c r="L267" s="22" t="s">
        <v>67</v>
      </c>
      <c r="M267" s="22" t="s">
        <v>68</v>
      </c>
    </row>
    <row r="268" spans="1:13">
      <c r="A268" s="22" t="s">
        <v>785</v>
      </c>
      <c r="B268" s="22" t="s">
        <v>786</v>
      </c>
      <c r="C268" s="22" t="s">
        <v>213</v>
      </c>
      <c r="D268" s="22" t="s">
        <v>205</v>
      </c>
      <c r="E268" s="22">
        <v>7</v>
      </c>
      <c r="F268" s="22">
        <v>16</v>
      </c>
      <c r="G268" s="22" t="s">
        <v>758</v>
      </c>
      <c r="H268" s="22" t="s">
        <v>123</v>
      </c>
      <c r="I268" s="22" t="s">
        <v>250</v>
      </c>
      <c r="J268" s="22" t="s">
        <v>205</v>
      </c>
      <c r="K268" s="22" t="s">
        <v>65</v>
      </c>
      <c r="L268" s="22" t="s">
        <v>67</v>
      </c>
      <c r="M268" s="22" t="s">
        <v>68</v>
      </c>
    </row>
    <row r="269" spans="1:13">
      <c r="A269" s="22" t="s">
        <v>787</v>
      </c>
      <c r="B269" s="22" t="s">
        <v>788</v>
      </c>
      <c r="C269" s="22" t="s">
        <v>213</v>
      </c>
      <c r="D269" s="22" t="s">
        <v>205</v>
      </c>
      <c r="E269" s="22">
        <v>5</v>
      </c>
      <c r="F269" s="22">
        <v>38</v>
      </c>
      <c r="G269" s="22" t="s">
        <v>758</v>
      </c>
      <c r="H269" s="22" t="s">
        <v>123</v>
      </c>
      <c r="I269" s="22" t="s">
        <v>253</v>
      </c>
      <c r="J269" s="22" t="s">
        <v>205</v>
      </c>
      <c r="K269" s="22" t="s">
        <v>65</v>
      </c>
      <c r="L269" s="22" t="s">
        <v>67</v>
      </c>
      <c r="M269" s="22" t="s">
        <v>68</v>
      </c>
    </row>
    <row r="270" spans="1:13">
      <c r="A270" s="22" t="s">
        <v>789</v>
      </c>
      <c r="B270" s="22" t="s">
        <v>790</v>
      </c>
      <c r="C270" s="22" t="s">
        <v>213</v>
      </c>
      <c r="D270" s="22" t="s">
        <v>205</v>
      </c>
      <c r="E270" s="22">
        <v>8</v>
      </c>
      <c r="F270" s="22">
        <v>13</v>
      </c>
      <c r="G270" s="22" t="s">
        <v>758</v>
      </c>
      <c r="H270" s="22" t="s">
        <v>123</v>
      </c>
      <c r="I270" s="22" t="s">
        <v>256</v>
      </c>
      <c r="J270" s="22" t="s">
        <v>205</v>
      </c>
      <c r="K270" s="22" t="s">
        <v>65</v>
      </c>
      <c r="L270" s="22" t="s">
        <v>67</v>
      </c>
      <c r="M270" s="22" t="s">
        <v>68</v>
      </c>
    </row>
    <row r="271" spans="1:13">
      <c r="A271" s="22" t="s">
        <v>791</v>
      </c>
      <c r="B271" s="22" t="s">
        <v>792</v>
      </c>
      <c r="C271" s="22" t="s">
        <v>213</v>
      </c>
      <c r="D271" s="22" t="s">
        <v>205</v>
      </c>
      <c r="E271" s="22">
        <v>7</v>
      </c>
      <c r="F271" s="22">
        <v>13</v>
      </c>
      <c r="G271" s="22" t="s">
        <v>758</v>
      </c>
      <c r="H271" s="22" t="s">
        <v>123</v>
      </c>
      <c r="I271" s="22" t="s">
        <v>259</v>
      </c>
      <c r="J271" s="22" t="s">
        <v>205</v>
      </c>
      <c r="K271" s="22" t="s">
        <v>65</v>
      </c>
      <c r="L271" s="22" t="s">
        <v>67</v>
      </c>
      <c r="M271" s="22" t="s">
        <v>68</v>
      </c>
    </row>
    <row r="272" spans="1:13">
      <c r="A272" s="22" t="s">
        <v>793</v>
      </c>
      <c r="B272" s="22" t="s">
        <v>794</v>
      </c>
      <c r="C272" s="22" t="s">
        <v>204</v>
      </c>
      <c r="D272" s="22" t="s">
        <v>205</v>
      </c>
      <c r="E272" s="22">
        <v>6</v>
      </c>
      <c r="F272" s="22">
        <v>36</v>
      </c>
      <c r="G272" s="22" t="s">
        <v>758</v>
      </c>
      <c r="H272" s="22" t="s">
        <v>123</v>
      </c>
      <c r="I272" s="22" t="s">
        <v>262</v>
      </c>
      <c r="J272" s="22" t="s">
        <v>205</v>
      </c>
      <c r="K272" s="22" t="s">
        <v>65</v>
      </c>
      <c r="L272" s="22" t="s">
        <v>67</v>
      </c>
      <c r="M272" s="22" t="s">
        <v>68</v>
      </c>
    </row>
    <row r="273" spans="1:13">
      <c r="A273" s="22" t="s">
        <v>795</v>
      </c>
      <c r="B273" s="22" t="s">
        <v>796</v>
      </c>
      <c r="C273" s="22" t="s">
        <v>204</v>
      </c>
      <c r="D273" s="22" t="s">
        <v>205</v>
      </c>
      <c r="E273" s="22">
        <v>2</v>
      </c>
      <c r="F273" s="22">
        <v>5</v>
      </c>
      <c r="G273" s="22" t="s">
        <v>758</v>
      </c>
      <c r="H273" s="22" t="s">
        <v>123</v>
      </c>
      <c r="I273" s="22" t="s">
        <v>265</v>
      </c>
      <c r="J273" s="22" t="s">
        <v>205</v>
      </c>
      <c r="K273" s="22" t="s">
        <v>65</v>
      </c>
      <c r="L273" s="22" t="s">
        <v>67</v>
      </c>
      <c r="M273" s="22" t="s">
        <v>68</v>
      </c>
    </row>
    <row r="274" spans="1:13">
      <c r="A274" s="22" t="s">
        <v>797</v>
      </c>
      <c r="B274" s="22" t="s">
        <v>798</v>
      </c>
      <c r="C274" s="22" t="s">
        <v>204</v>
      </c>
      <c r="D274" s="22" t="s">
        <v>205</v>
      </c>
      <c r="E274" s="22">
        <v>4</v>
      </c>
      <c r="F274" s="22">
        <v>31</v>
      </c>
      <c r="G274" s="22" t="s">
        <v>758</v>
      </c>
      <c r="H274" s="22" t="s">
        <v>123</v>
      </c>
      <c r="I274" s="22" t="s">
        <v>268</v>
      </c>
      <c r="J274" s="22" t="s">
        <v>205</v>
      </c>
      <c r="K274" s="22" t="s">
        <v>65</v>
      </c>
      <c r="L274" s="22" t="s">
        <v>67</v>
      </c>
      <c r="M274" s="22" t="s">
        <v>68</v>
      </c>
    </row>
    <row r="275" spans="1:13">
      <c r="A275" s="22" t="s">
        <v>799</v>
      </c>
      <c r="B275" s="22" t="s">
        <v>800</v>
      </c>
      <c r="C275" s="22" t="s">
        <v>204</v>
      </c>
      <c r="D275" s="22" t="s">
        <v>205</v>
      </c>
      <c r="E275" s="22">
        <v>7</v>
      </c>
      <c r="F275" s="22">
        <v>26</v>
      </c>
      <c r="G275" s="22" t="s">
        <v>758</v>
      </c>
      <c r="H275" s="22" t="s">
        <v>123</v>
      </c>
      <c r="I275" s="22" t="s">
        <v>271</v>
      </c>
      <c r="J275" s="22" t="s">
        <v>205</v>
      </c>
      <c r="K275" s="22" t="s">
        <v>65</v>
      </c>
      <c r="L275" s="22" t="s">
        <v>67</v>
      </c>
      <c r="M275" s="22" t="s">
        <v>68</v>
      </c>
    </row>
    <row r="276" spans="1:13">
      <c r="A276" s="22" t="s">
        <v>801</v>
      </c>
      <c r="B276" s="22" t="s">
        <v>802</v>
      </c>
      <c r="C276" s="22" t="s">
        <v>213</v>
      </c>
      <c r="D276" s="22" t="s">
        <v>205</v>
      </c>
      <c r="E276" s="22">
        <v>6</v>
      </c>
      <c r="F276" s="22">
        <v>38</v>
      </c>
      <c r="G276" s="22" t="s">
        <v>758</v>
      </c>
      <c r="H276" s="22" t="s">
        <v>123</v>
      </c>
      <c r="I276" s="22" t="s">
        <v>274</v>
      </c>
      <c r="J276" s="22" t="s">
        <v>205</v>
      </c>
      <c r="K276" s="22" t="s">
        <v>65</v>
      </c>
      <c r="L276" s="22" t="s">
        <v>67</v>
      </c>
      <c r="M276" s="22" t="s">
        <v>68</v>
      </c>
    </row>
    <row r="277" spans="1:13">
      <c r="A277" s="22" t="s">
        <v>803</v>
      </c>
      <c r="B277" s="22" t="s">
        <v>804</v>
      </c>
      <c r="C277" s="22" t="s">
        <v>204</v>
      </c>
      <c r="D277" s="22" t="s">
        <v>205</v>
      </c>
      <c r="E277" s="22">
        <v>6</v>
      </c>
      <c r="F277" s="22">
        <v>14</v>
      </c>
      <c r="G277" s="22" t="s">
        <v>758</v>
      </c>
      <c r="H277" s="22" t="s">
        <v>123</v>
      </c>
      <c r="I277" s="22" t="s">
        <v>277</v>
      </c>
      <c r="J277" s="22" t="s">
        <v>205</v>
      </c>
      <c r="K277" s="22" t="s">
        <v>65</v>
      </c>
      <c r="L277" s="22" t="s">
        <v>67</v>
      </c>
      <c r="M277" s="22" t="s">
        <v>68</v>
      </c>
    </row>
    <row r="278" spans="1:13">
      <c r="A278" s="22" t="s">
        <v>805</v>
      </c>
      <c r="B278" s="22" t="s">
        <v>806</v>
      </c>
      <c r="C278" s="22" t="s">
        <v>213</v>
      </c>
      <c r="D278" s="22" t="s">
        <v>205</v>
      </c>
      <c r="E278" s="22">
        <v>2</v>
      </c>
      <c r="F278" s="22">
        <v>8</v>
      </c>
      <c r="G278" s="22" t="s">
        <v>758</v>
      </c>
      <c r="H278" s="22" t="s">
        <v>123</v>
      </c>
      <c r="I278" s="22" t="s">
        <v>280</v>
      </c>
      <c r="J278" s="22" t="s">
        <v>205</v>
      </c>
      <c r="K278" s="22" t="s">
        <v>65</v>
      </c>
      <c r="L278" s="22" t="s">
        <v>67</v>
      </c>
      <c r="M278" s="22" t="s">
        <v>68</v>
      </c>
    </row>
    <row r="279" spans="1:13">
      <c r="A279" s="22" t="s">
        <v>807</v>
      </c>
      <c r="B279" s="22" t="s">
        <v>808</v>
      </c>
      <c r="C279" s="22" t="s">
        <v>213</v>
      </c>
      <c r="D279" s="22" t="s">
        <v>205</v>
      </c>
      <c r="E279" s="22">
        <v>3</v>
      </c>
      <c r="F279" s="22">
        <v>14</v>
      </c>
      <c r="G279" s="22" t="s">
        <v>758</v>
      </c>
      <c r="H279" s="22" t="s">
        <v>123</v>
      </c>
      <c r="I279" s="22" t="s">
        <v>283</v>
      </c>
      <c r="J279" s="22" t="s">
        <v>205</v>
      </c>
      <c r="K279" s="22" t="s">
        <v>65</v>
      </c>
      <c r="L279" s="22" t="s">
        <v>67</v>
      </c>
      <c r="M279" s="22" t="s">
        <v>68</v>
      </c>
    </row>
    <row r="280" spans="1:13">
      <c r="A280" s="22" t="s">
        <v>809</v>
      </c>
      <c r="B280" s="22" t="s">
        <v>810</v>
      </c>
      <c r="C280" s="22" t="s">
        <v>213</v>
      </c>
      <c r="D280" s="22" t="s">
        <v>205</v>
      </c>
      <c r="E280" s="22">
        <v>9</v>
      </c>
      <c r="F280" s="22">
        <v>37</v>
      </c>
      <c r="G280" s="22" t="s">
        <v>758</v>
      </c>
      <c r="H280" s="22" t="s">
        <v>123</v>
      </c>
      <c r="I280" s="22" t="s">
        <v>286</v>
      </c>
      <c r="J280" s="22" t="s">
        <v>205</v>
      </c>
      <c r="K280" s="22" t="s">
        <v>65</v>
      </c>
      <c r="L280" s="22" t="s">
        <v>67</v>
      </c>
      <c r="M280" s="22" t="s">
        <v>68</v>
      </c>
    </row>
    <row r="281" spans="1:13">
      <c r="A281" s="22" t="s">
        <v>811</v>
      </c>
      <c r="B281" s="22" t="s">
        <v>812</v>
      </c>
      <c r="C281" s="22" t="s">
        <v>213</v>
      </c>
      <c r="D281" s="22" t="s">
        <v>205</v>
      </c>
      <c r="E281" s="22">
        <v>9</v>
      </c>
      <c r="F281" s="22">
        <v>21</v>
      </c>
      <c r="G281" s="22" t="s">
        <v>758</v>
      </c>
      <c r="H281" s="22" t="s">
        <v>123</v>
      </c>
      <c r="I281" s="22" t="s">
        <v>289</v>
      </c>
      <c r="J281" s="22" t="s">
        <v>205</v>
      </c>
      <c r="K281" s="22" t="s">
        <v>65</v>
      </c>
      <c r="L281" s="22" t="s">
        <v>67</v>
      </c>
      <c r="M281" s="22" t="s">
        <v>68</v>
      </c>
    </row>
    <row r="282" spans="1:13">
      <c r="A282" s="22" t="s">
        <v>813</v>
      </c>
      <c r="B282" s="22" t="s">
        <v>814</v>
      </c>
      <c r="C282" s="22" t="s">
        <v>213</v>
      </c>
      <c r="D282" s="22" t="s">
        <v>205</v>
      </c>
      <c r="E282" s="22">
        <v>3</v>
      </c>
      <c r="F282" s="22">
        <v>15</v>
      </c>
      <c r="G282" s="22" t="s">
        <v>758</v>
      </c>
      <c r="H282" s="22" t="s">
        <v>123</v>
      </c>
      <c r="I282" s="22" t="s">
        <v>292</v>
      </c>
      <c r="J282" s="22" t="s">
        <v>205</v>
      </c>
      <c r="K282" s="22" t="s">
        <v>65</v>
      </c>
      <c r="L282" s="22" t="s">
        <v>67</v>
      </c>
      <c r="M282" s="22" t="s">
        <v>68</v>
      </c>
    </row>
    <row r="283" spans="1:13">
      <c r="A283" s="22" t="s">
        <v>815</v>
      </c>
      <c r="B283" s="22" t="s">
        <v>816</v>
      </c>
      <c r="C283" s="22" t="s">
        <v>213</v>
      </c>
      <c r="D283" s="22" t="s">
        <v>205</v>
      </c>
      <c r="E283" s="22">
        <v>4</v>
      </c>
      <c r="F283" s="22">
        <v>32</v>
      </c>
      <c r="G283" s="22" t="s">
        <v>758</v>
      </c>
      <c r="H283" s="22" t="s">
        <v>123</v>
      </c>
      <c r="I283" s="22" t="s">
        <v>295</v>
      </c>
      <c r="J283" s="22" t="s">
        <v>205</v>
      </c>
      <c r="K283" s="22" t="s">
        <v>65</v>
      </c>
      <c r="L283" s="22" t="s">
        <v>67</v>
      </c>
      <c r="M283" s="22" t="s">
        <v>68</v>
      </c>
    </row>
    <row r="284" spans="1:13">
      <c r="A284" s="22" t="s">
        <v>817</v>
      </c>
      <c r="B284" s="22" t="s">
        <v>818</v>
      </c>
      <c r="C284" s="22" t="s">
        <v>213</v>
      </c>
      <c r="D284" s="22" t="s">
        <v>205</v>
      </c>
      <c r="E284" s="22">
        <v>9</v>
      </c>
      <c r="F284" s="22">
        <v>11</v>
      </c>
      <c r="G284" s="22" t="s">
        <v>758</v>
      </c>
      <c r="H284" s="22" t="s">
        <v>123</v>
      </c>
      <c r="I284" s="22" t="s">
        <v>298</v>
      </c>
      <c r="J284" s="22" t="s">
        <v>205</v>
      </c>
      <c r="K284" s="22" t="s">
        <v>65</v>
      </c>
      <c r="L284" s="22" t="s">
        <v>67</v>
      </c>
      <c r="M284" s="22" t="s">
        <v>68</v>
      </c>
    </row>
    <row r="285" spans="1:13">
      <c r="A285" s="22" t="s">
        <v>819</v>
      </c>
      <c r="B285" s="22" t="s">
        <v>820</v>
      </c>
      <c r="C285" s="22" t="s">
        <v>213</v>
      </c>
      <c r="D285" s="22" t="s">
        <v>205</v>
      </c>
      <c r="E285" s="22">
        <v>3</v>
      </c>
      <c r="F285" s="22">
        <v>48</v>
      </c>
      <c r="G285" s="22" t="s">
        <v>758</v>
      </c>
      <c r="H285" s="22" t="s">
        <v>123</v>
      </c>
      <c r="I285" s="22" t="s">
        <v>301</v>
      </c>
      <c r="J285" s="22" t="s">
        <v>205</v>
      </c>
      <c r="K285" s="22" t="s">
        <v>65</v>
      </c>
      <c r="L285" s="22" t="s">
        <v>67</v>
      </c>
      <c r="M285" s="22" t="s">
        <v>68</v>
      </c>
    </row>
    <row r="286" spans="1:13">
      <c r="A286" s="22" t="s">
        <v>821</v>
      </c>
      <c r="B286" s="22" t="s">
        <v>822</v>
      </c>
      <c r="C286" s="22" t="s">
        <v>213</v>
      </c>
      <c r="D286" s="22" t="s">
        <v>205</v>
      </c>
      <c r="E286" s="22">
        <v>1</v>
      </c>
      <c r="F286" s="22">
        <v>13</v>
      </c>
      <c r="G286" s="22" t="s">
        <v>758</v>
      </c>
      <c r="H286" s="22" t="s">
        <v>123</v>
      </c>
      <c r="I286" s="22" t="s">
        <v>304</v>
      </c>
      <c r="J286" s="22" t="s">
        <v>205</v>
      </c>
      <c r="K286" s="22" t="s">
        <v>65</v>
      </c>
      <c r="L286" s="22" t="s">
        <v>67</v>
      </c>
      <c r="M286" s="22" t="s">
        <v>68</v>
      </c>
    </row>
    <row r="287" spans="1:13">
      <c r="A287" s="22" t="s">
        <v>823</v>
      </c>
      <c r="B287" s="22" t="s">
        <v>824</v>
      </c>
      <c r="C287" s="22" t="s">
        <v>213</v>
      </c>
      <c r="D287" s="22" t="s">
        <v>205</v>
      </c>
      <c r="E287" s="22">
        <v>7</v>
      </c>
      <c r="F287" s="22">
        <v>39</v>
      </c>
      <c r="G287" s="22" t="s">
        <v>758</v>
      </c>
      <c r="H287" s="22" t="s">
        <v>123</v>
      </c>
      <c r="I287" s="22" t="s">
        <v>307</v>
      </c>
      <c r="J287" s="22" t="s">
        <v>205</v>
      </c>
      <c r="K287" s="22" t="s">
        <v>65</v>
      </c>
      <c r="L287" s="22" t="s">
        <v>67</v>
      </c>
      <c r="M287" s="22" t="s">
        <v>68</v>
      </c>
    </row>
    <row r="288" spans="1:13">
      <c r="A288" s="22" t="s">
        <v>825</v>
      </c>
      <c r="B288" s="22" t="s">
        <v>826</v>
      </c>
      <c r="C288" s="22" t="s">
        <v>204</v>
      </c>
      <c r="D288" s="22" t="s">
        <v>205</v>
      </c>
      <c r="E288" s="22">
        <v>7</v>
      </c>
      <c r="F288" s="22">
        <v>21</v>
      </c>
      <c r="G288" s="22" t="s">
        <v>758</v>
      </c>
      <c r="H288" s="22" t="s">
        <v>123</v>
      </c>
      <c r="I288" s="22" t="s">
        <v>310</v>
      </c>
      <c r="J288" s="22" t="s">
        <v>205</v>
      </c>
      <c r="K288" s="22" t="s">
        <v>65</v>
      </c>
      <c r="L288" s="22" t="s">
        <v>67</v>
      </c>
      <c r="M288" s="22" t="s">
        <v>68</v>
      </c>
    </row>
    <row r="289" spans="1:13">
      <c r="A289" s="22" t="s">
        <v>827</v>
      </c>
      <c r="B289" s="22" t="s">
        <v>828</v>
      </c>
      <c r="C289" s="22" t="s">
        <v>204</v>
      </c>
      <c r="D289" s="22" t="s">
        <v>205</v>
      </c>
      <c r="E289" s="22">
        <v>9</v>
      </c>
      <c r="F289" s="22">
        <v>51</v>
      </c>
      <c r="G289" s="22" t="s">
        <v>758</v>
      </c>
      <c r="H289" s="22" t="s">
        <v>123</v>
      </c>
      <c r="I289" s="22" t="s">
        <v>313</v>
      </c>
      <c r="J289" s="22" t="s">
        <v>205</v>
      </c>
      <c r="K289" s="22" t="s">
        <v>65</v>
      </c>
      <c r="L289" s="22" t="s">
        <v>67</v>
      </c>
      <c r="M289" s="22" t="s">
        <v>68</v>
      </c>
    </row>
    <row r="290" spans="1:13">
      <c r="A290" s="22" t="s">
        <v>829</v>
      </c>
      <c r="B290" s="22" t="s">
        <v>830</v>
      </c>
      <c r="C290" s="22" t="s">
        <v>213</v>
      </c>
      <c r="D290" s="22" t="s">
        <v>205</v>
      </c>
      <c r="E290" s="22">
        <v>9</v>
      </c>
      <c r="F290" s="22">
        <v>13</v>
      </c>
      <c r="G290" s="22" t="s">
        <v>758</v>
      </c>
      <c r="H290" s="22" t="s">
        <v>123</v>
      </c>
      <c r="I290" s="22" t="s">
        <v>316</v>
      </c>
      <c r="J290" s="22" t="s">
        <v>205</v>
      </c>
      <c r="K290" s="22" t="s">
        <v>65</v>
      </c>
      <c r="L290" s="22" t="s">
        <v>67</v>
      </c>
      <c r="M290" s="22" t="s">
        <v>68</v>
      </c>
    </row>
    <row r="291" spans="1:13">
      <c r="A291" s="22" t="s">
        <v>831</v>
      </c>
      <c r="B291" s="22" t="s">
        <v>832</v>
      </c>
      <c r="C291" s="22" t="s">
        <v>213</v>
      </c>
      <c r="D291" s="22" t="s">
        <v>205</v>
      </c>
      <c r="E291" s="22">
        <v>1</v>
      </c>
      <c r="F291" s="22">
        <v>17</v>
      </c>
      <c r="G291" s="22" t="s">
        <v>758</v>
      </c>
      <c r="H291" s="22" t="s">
        <v>123</v>
      </c>
      <c r="I291" s="22" t="s">
        <v>319</v>
      </c>
      <c r="J291" s="22" t="s">
        <v>205</v>
      </c>
      <c r="K291" s="22" t="s">
        <v>65</v>
      </c>
      <c r="L291" s="22" t="s">
        <v>67</v>
      </c>
      <c r="M291" s="22" t="s">
        <v>68</v>
      </c>
    </row>
    <row r="292" spans="1:13">
      <c r="A292" s="22" t="s">
        <v>833</v>
      </c>
      <c r="B292" s="22" t="s">
        <v>834</v>
      </c>
      <c r="C292" s="22" t="s">
        <v>213</v>
      </c>
      <c r="D292" s="22" t="s">
        <v>205</v>
      </c>
      <c r="E292" s="22">
        <v>8</v>
      </c>
      <c r="F292" s="22">
        <v>32</v>
      </c>
      <c r="G292" s="22" t="s">
        <v>758</v>
      </c>
      <c r="H292" s="22" t="s">
        <v>123</v>
      </c>
      <c r="I292" s="22" t="s">
        <v>322</v>
      </c>
      <c r="J292" s="22" t="s">
        <v>205</v>
      </c>
      <c r="K292" s="22" t="s">
        <v>65</v>
      </c>
      <c r="L292" s="22" t="s">
        <v>67</v>
      </c>
      <c r="M292" s="22" t="s">
        <v>68</v>
      </c>
    </row>
    <row r="293" spans="1:13">
      <c r="A293" s="22" t="s">
        <v>835</v>
      </c>
      <c r="B293" s="22" t="s">
        <v>836</v>
      </c>
      <c r="C293" s="22" t="s">
        <v>213</v>
      </c>
      <c r="D293" s="22" t="s">
        <v>205</v>
      </c>
      <c r="E293" s="22">
        <v>2</v>
      </c>
      <c r="F293" s="22">
        <v>21</v>
      </c>
      <c r="G293" s="22" t="s">
        <v>758</v>
      </c>
      <c r="H293" s="22" t="s">
        <v>123</v>
      </c>
      <c r="I293" s="22" t="s">
        <v>325</v>
      </c>
      <c r="J293" s="22" t="s">
        <v>205</v>
      </c>
      <c r="K293" s="22" t="s">
        <v>65</v>
      </c>
      <c r="L293" s="22" t="s">
        <v>67</v>
      </c>
      <c r="M293" s="22" t="s">
        <v>68</v>
      </c>
    </row>
    <row r="294" spans="1:13">
      <c r="A294" s="22" t="s">
        <v>837</v>
      </c>
      <c r="B294" s="22" t="s">
        <v>838</v>
      </c>
      <c r="C294" s="22" t="s">
        <v>204</v>
      </c>
      <c r="D294" s="22" t="s">
        <v>205</v>
      </c>
      <c r="E294" s="22">
        <v>1</v>
      </c>
      <c r="F294" s="22">
        <v>21</v>
      </c>
      <c r="G294" s="22" t="s">
        <v>758</v>
      </c>
      <c r="H294" s="22" t="s">
        <v>123</v>
      </c>
      <c r="I294" s="22" t="s">
        <v>328</v>
      </c>
      <c r="J294" s="22" t="s">
        <v>205</v>
      </c>
      <c r="K294" s="22" t="s">
        <v>65</v>
      </c>
      <c r="L294" s="22" t="s">
        <v>67</v>
      </c>
      <c r="M294" s="22" t="s">
        <v>68</v>
      </c>
    </row>
    <row r="295" spans="1:13">
      <c r="A295" s="22" t="s">
        <v>839</v>
      </c>
      <c r="B295" s="22" t="s">
        <v>840</v>
      </c>
      <c r="C295" s="22" t="s">
        <v>213</v>
      </c>
      <c r="D295" s="22" t="s">
        <v>205</v>
      </c>
      <c r="E295" s="22">
        <v>9</v>
      </c>
      <c r="F295" s="22">
        <v>2</v>
      </c>
      <c r="G295" s="22" t="s">
        <v>758</v>
      </c>
      <c r="H295" s="22" t="s">
        <v>123</v>
      </c>
      <c r="I295" s="22" t="s">
        <v>331</v>
      </c>
      <c r="J295" s="22" t="s">
        <v>205</v>
      </c>
      <c r="K295" s="22" t="s">
        <v>65</v>
      </c>
      <c r="L295" s="22" t="s">
        <v>67</v>
      </c>
      <c r="M295" s="22" t="s">
        <v>68</v>
      </c>
    </row>
    <row r="296" spans="1:13">
      <c r="A296" s="22" t="s">
        <v>841</v>
      </c>
      <c r="B296" s="22" t="s">
        <v>842</v>
      </c>
      <c r="C296" s="22" t="s">
        <v>213</v>
      </c>
      <c r="D296" s="22" t="s">
        <v>205</v>
      </c>
      <c r="E296" s="22">
        <v>5</v>
      </c>
      <c r="F296" s="22">
        <v>35</v>
      </c>
      <c r="G296" s="22" t="s">
        <v>843</v>
      </c>
      <c r="H296" s="22" t="s">
        <v>132</v>
      </c>
      <c r="I296" s="22" t="s">
        <v>207</v>
      </c>
      <c r="J296" s="22" t="s">
        <v>205</v>
      </c>
      <c r="K296" s="22" t="s">
        <v>65</v>
      </c>
      <c r="L296" s="22" t="s">
        <v>67</v>
      </c>
      <c r="M296" s="22" t="s">
        <v>68</v>
      </c>
    </row>
    <row r="297" spans="1:13">
      <c r="A297" s="22" t="s">
        <v>844</v>
      </c>
      <c r="B297" s="22" t="s">
        <v>845</v>
      </c>
      <c r="C297" s="22" t="s">
        <v>213</v>
      </c>
      <c r="D297" s="22" t="s">
        <v>205</v>
      </c>
      <c r="E297" s="22">
        <v>2</v>
      </c>
      <c r="F297" s="22">
        <v>22</v>
      </c>
      <c r="G297" s="22" t="s">
        <v>843</v>
      </c>
      <c r="H297" s="22" t="s">
        <v>132</v>
      </c>
      <c r="I297" s="22" t="s">
        <v>210</v>
      </c>
      <c r="J297" s="22" t="s">
        <v>205</v>
      </c>
      <c r="K297" s="22" t="s">
        <v>65</v>
      </c>
      <c r="L297" s="22" t="s">
        <v>67</v>
      </c>
      <c r="M297" s="22" t="s">
        <v>68</v>
      </c>
    </row>
    <row r="298" spans="1:13">
      <c r="A298" s="22" t="s">
        <v>846</v>
      </c>
      <c r="B298" s="22" t="s">
        <v>847</v>
      </c>
      <c r="C298" s="22" t="s">
        <v>204</v>
      </c>
      <c r="D298" s="22" t="s">
        <v>205</v>
      </c>
      <c r="E298" s="22">
        <v>1</v>
      </c>
      <c r="F298" s="22">
        <v>34</v>
      </c>
      <c r="G298" s="22" t="s">
        <v>843</v>
      </c>
      <c r="H298" s="22" t="s">
        <v>132</v>
      </c>
      <c r="I298" s="22" t="s">
        <v>214</v>
      </c>
      <c r="J298" s="22" t="s">
        <v>205</v>
      </c>
      <c r="K298" s="22" t="s">
        <v>65</v>
      </c>
      <c r="L298" s="22" t="s">
        <v>67</v>
      </c>
      <c r="M298" s="22" t="s">
        <v>68</v>
      </c>
    </row>
    <row r="299" spans="1:13">
      <c r="A299" s="22" t="s">
        <v>848</v>
      </c>
      <c r="B299" s="22" t="s">
        <v>849</v>
      </c>
      <c r="C299" s="22" t="s">
        <v>213</v>
      </c>
      <c r="D299" s="22" t="s">
        <v>205</v>
      </c>
      <c r="E299" s="22">
        <v>9</v>
      </c>
      <c r="F299" s="22">
        <v>43</v>
      </c>
      <c r="G299" s="22" t="s">
        <v>843</v>
      </c>
      <c r="H299" s="22" t="s">
        <v>132</v>
      </c>
      <c r="I299" s="22" t="s">
        <v>217</v>
      </c>
      <c r="J299" s="22" t="s">
        <v>205</v>
      </c>
      <c r="K299" s="22" t="s">
        <v>65</v>
      </c>
      <c r="L299" s="22" t="s">
        <v>67</v>
      </c>
      <c r="M299" s="22" t="s">
        <v>68</v>
      </c>
    </row>
    <row r="300" spans="1:13">
      <c r="A300" s="22" t="s">
        <v>850</v>
      </c>
      <c r="B300" s="22" t="s">
        <v>851</v>
      </c>
      <c r="C300" s="22" t="s">
        <v>213</v>
      </c>
      <c r="D300" s="22" t="s">
        <v>205</v>
      </c>
      <c r="E300" s="22">
        <v>7</v>
      </c>
      <c r="F300" s="22">
        <v>47</v>
      </c>
      <c r="G300" s="22" t="s">
        <v>843</v>
      </c>
      <c r="H300" s="22" t="s">
        <v>132</v>
      </c>
      <c r="I300" s="22" t="s">
        <v>220</v>
      </c>
      <c r="J300" s="22" t="s">
        <v>205</v>
      </c>
      <c r="K300" s="22" t="s">
        <v>65</v>
      </c>
      <c r="L300" s="22" t="s">
        <v>67</v>
      </c>
      <c r="M300" s="22" t="s">
        <v>68</v>
      </c>
    </row>
    <row r="301" spans="1:13">
      <c r="A301" s="22" t="s">
        <v>852</v>
      </c>
      <c r="B301" s="22" t="s">
        <v>853</v>
      </c>
      <c r="C301" s="22" t="s">
        <v>213</v>
      </c>
      <c r="D301" s="22" t="s">
        <v>205</v>
      </c>
      <c r="E301" s="22">
        <v>4</v>
      </c>
      <c r="F301" s="22">
        <v>50</v>
      </c>
      <c r="G301" s="22" t="s">
        <v>843</v>
      </c>
      <c r="H301" s="22" t="s">
        <v>132</v>
      </c>
      <c r="I301" s="22" t="s">
        <v>223</v>
      </c>
      <c r="J301" s="22" t="s">
        <v>205</v>
      </c>
      <c r="K301" s="22" t="s">
        <v>65</v>
      </c>
      <c r="L301" s="22" t="s">
        <v>67</v>
      </c>
      <c r="M301" s="22" t="s">
        <v>68</v>
      </c>
    </row>
    <row r="302" spans="1:13">
      <c r="A302" s="22" t="s">
        <v>854</v>
      </c>
      <c r="B302" s="22" t="s">
        <v>855</v>
      </c>
      <c r="C302" s="22" t="s">
        <v>204</v>
      </c>
      <c r="D302" s="22" t="s">
        <v>205</v>
      </c>
      <c r="E302" s="22">
        <v>9</v>
      </c>
      <c r="F302" s="22">
        <v>8</v>
      </c>
      <c r="G302" s="22" t="s">
        <v>843</v>
      </c>
      <c r="H302" s="22" t="s">
        <v>132</v>
      </c>
      <c r="I302" s="22" t="s">
        <v>226</v>
      </c>
      <c r="J302" s="22" t="s">
        <v>205</v>
      </c>
      <c r="K302" s="22" t="s">
        <v>65</v>
      </c>
      <c r="L302" s="22" t="s">
        <v>67</v>
      </c>
      <c r="M302" s="22" t="s">
        <v>68</v>
      </c>
    </row>
    <row r="303" spans="1:13">
      <c r="A303" s="22" t="s">
        <v>856</v>
      </c>
      <c r="B303" s="22" t="s">
        <v>857</v>
      </c>
      <c r="C303" s="22" t="s">
        <v>204</v>
      </c>
      <c r="D303" s="22" t="s">
        <v>205</v>
      </c>
      <c r="E303" s="22">
        <v>3</v>
      </c>
      <c r="F303" s="22">
        <v>16</v>
      </c>
      <c r="G303" s="22" t="s">
        <v>843</v>
      </c>
      <c r="H303" s="22" t="s">
        <v>132</v>
      </c>
      <c r="I303" s="22" t="s">
        <v>229</v>
      </c>
      <c r="J303" s="22" t="s">
        <v>205</v>
      </c>
      <c r="K303" s="22" t="s">
        <v>65</v>
      </c>
      <c r="L303" s="22" t="s">
        <v>67</v>
      </c>
      <c r="M303" s="22" t="s">
        <v>68</v>
      </c>
    </row>
    <row r="304" spans="1:13">
      <c r="A304" s="22" t="s">
        <v>858</v>
      </c>
      <c r="B304" s="22" t="s">
        <v>859</v>
      </c>
      <c r="C304" s="22" t="s">
        <v>213</v>
      </c>
      <c r="D304" s="22" t="s">
        <v>205</v>
      </c>
      <c r="E304" s="22">
        <v>2</v>
      </c>
      <c r="F304" s="22">
        <v>47</v>
      </c>
      <c r="G304" s="22" t="s">
        <v>843</v>
      </c>
      <c r="H304" s="22" t="s">
        <v>132</v>
      </c>
      <c r="I304" s="22" t="s">
        <v>232</v>
      </c>
      <c r="J304" s="22" t="s">
        <v>205</v>
      </c>
      <c r="K304" s="22" t="s">
        <v>65</v>
      </c>
      <c r="L304" s="22" t="s">
        <v>67</v>
      </c>
      <c r="M304" s="22" t="s">
        <v>68</v>
      </c>
    </row>
    <row r="305" spans="1:13">
      <c r="A305" s="22" t="s">
        <v>860</v>
      </c>
      <c r="B305" s="22" t="s">
        <v>861</v>
      </c>
      <c r="C305" s="22" t="s">
        <v>213</v>
      </c>
      <c r="D305" s="22" t="s">
        <v>205</v>
      </c>
      <c r="E305" s="22">
        <v>7</v>
      </c>
      <c r="F305" s="22">
        <v>10</v>
      </c>
      <c r="G305" s="22" t="s">
        <v>843</v>
      </c>
      <c r="H305" s="22" t="s">
        <v>132</v>
      </c>
      <c r="I305" s="22" t="s">
        <v>235</v>
      </c>
      <c r="J305" s="22" t="s">
        <v>205</v>
      </c>
      <c r="K305" s="22" t="s">
        <v>65</v>
      </c>
      <c r="L305" s="22" t="s">
        <v>67</v>
      </c>
      <c r="M305" s="22" t="s">
        <v>68</v>
      </c>
    </row>
    <row r="306" spans="1:13">
      <c r="A306" s="22" t="s">
        <v>862</v>
      </c>
      <c r="B306" s="22" t="s">
        <v>863</v>
      </c>
      <c r="C306" s="22" t="s">
        <v>204</v>
      </c>
      <c r="D306" s="22" t="s">
        <v>205</v>
      </c>
      <c r="E306" s="22">
        <v>3</v>
      </c>
      <c r="F306" s="22">
        <v>35</v>
      </c>
      <c r="G306" s="22" t="s">
        <v>843</v>
      </c>
      <c r="H306" s="22" t="s">
        <v>132</v>
      </c>
      <c r="I306" s="22" t="s">
        <v>238</v>
      </c>
      <c r="J306" s="22" t="s">
        <v>205</v>
      </c>
      <c r="K306" s="22" t="s">
        <v>65</v>
      </c>
      <c r="L306" s="22" t="s">
        <v>67</v>
      </c>
      <c r="M306" s="22" t="s">
        <v>68</v>
      </c>
    </row>
    <row r="307" spans="1:13">
      <c r="A307" s="22" t="s">
        <v>864</v>
      </c>
      <c r="B307" s="22" t="s">
        <v>865</v>
      </c>
      <c r="C307" s="22" t="s">
        <v>213</v>
      </c>
      <c r="D307" s="22" t="s">
        <v>205</v>
      </c>
      <c r="E307" s="22">
        <v>7</v>
      </c>
      <c r="F307" s="22">
        <v>14</v>
      </c>
      <c r="G307" s="22" t="s">
        <v>843</v>
      </c>
      <c r="H307" s="22" t="s">
        <v>132</v>
      </c>
      <c r="I307" s="22" t="s">
        <v>241</v>
      </c>
      <c r="J307" s="22" t="s">
        <v>205</v>
      </c>
      <c r="K307" s="22" t="s">
        <v>65</v>
      </c>
      <c r="L307" s="22" t="s">
        <v>67</v>
      </c>
      <c r="M307" s="22" t="s">
        <v>68</v>
      </c>
    </row>
    <row r="308" spans="1:13">
      <c r="A308" s="22" t="s">
        <v>866</v>
      </c>
      <c r="B308" s="22" t="s">
        <v>867</v>
      </c>
      <c r="C308" s="22" t="s">
        <v>213</v>
      </c>
      <c r="D308" s="22" t="s">
        <v>205</v>
      </c>
      <c r="E308" s="22">
        <v>1</v>
      </c>
      <c r="F308" s="22">
        <v>2</v>
      </c>
      <c r="G308" s="22" t="s">
        <v>843</v>
      </c>
      <c r="H308" s="22" t="s">
        <v>132</v>
      </c>
      <c r="I308" s="22" t="s">
        <v>244</v>
      </c>
      <c r="J308" s="22" t="s">
        <v>205</v>
      </c>
      <c r="K308" s="22" t="s">
        <v>65</v>
      </c>
      <c r="L308" s="22" t="s">
        <v>67</v>
      </c>
      <c r="M308" s="22" t="s">
        <v>68</v>
      </c>
    </row>
    <row r="309" spans="1:13">
      <c r="A309" s="22" t="s">
        <v>868</v>
      </c>
      <c r="B309" s="22" t="s">
        <v>869</v>
      </c>
      <c r="C309" s="22" t="s">
        <v>204</v>
      </c>
      <c r="D309" s="22" t="s">
        <v>205</v>
      </c>
      <c r="E309" s="22">
        <v>7</v>
      </c>
      <c r="F309" s="22">
        <v>49</v>
      </c>
      <c r="G309" s="22" t="s">
        <v>843</v>
      </c>
      <c r="H309" s="22" t="s">
        <v>132</v>
      </c>
      <c r="I309" s="22" t="s">
        <v>247</v>
      </c>
      <c r="J309" s="22" t="s">
        <v>205</v>
      </c>
      <c r="K309" s="22" t="s">
        <v>65</v>
      </c>
      <c r="L309" s="22" t="s">
        <v>67</v>
      </c>
      <c r="M309" s="22" t="s">
        <v>68</v>
      </c>
    </row>
    <row r="310" spans="1:13">
      <c r="A310" s="22" t="s">
        <v>870</v>
      </c>
      <c r="B310" s="22" t="s">
        <v>871</v>
      </c>
      <c r="C310" s="22" t="s">
        <v>213</v>
      </c>
      <c r="D310" s="22" t="s">
        <v>205</v>
      </c>
      <c r="E310" s="22">
        <v>6</v>
      </c>
      <c r="F310" s="22">
        <v>50</v>
      </c>
      <c r="G310" s="22" t="s">
        <v>843</v>
      </c>
      <c r="H310" s="22" t="s">
        <v>132</v>
      </c>
      <c r="I310" s="22" t="s">
        <v>250</v>
      </c>
      <c r="J310" s="22" t="s">
        <v>205</v>
      </c>
      <c r="K310" s="22" t="s">
        <v>65</v>
      </c>
      <c r="L310" s="22" t="s">
        <v>67</v>
      </c>
      <c r="M310" s="22" t="s">
        <v>68</v>
      </c>
    </row>
    <row r="311" spans="1:13">
      <c r="A311" s="22" t="s">
        <v>872</v>
      </c>
      <c r="B311" s="22" t="s">
        <v>873</v>
      </c>
      <c r="C311" s="22" t="s">
        <v>213</v>
      </c>
      <c r="D311" s="22" t="s">
        <v>205</v>
      </c>
      <c r="E311" s="22">
        <v>5</v>
      </c>
      <c r="F311" s="22">
        <v>34</v>
      </c>
      <c r="G311" s="22" t="s">
        <v>843</v>
      </c>
      <c r="H311" s="22" t="s">
        <v>132</v>
      </c>
      <c r="I311" s="22" t="s">
        <v>253</v>
      </c>
      <c r="J311" s="22" t="s">
        <v>205</v>
      </c>
      <c r="K311" s="22" t="s">
        <v>65</v>
      </c>
      <c r="L311" s="22" t="s">
        <v>67</v>
      </c>
      <c r="M311" s="22" t="s">
        <v>68</v>
      </c>
    </row>
    <row r="312" spans="1:13">
      <c r="A312" s="22" t="s">
        <v>874</v>
      </c>
      <c r="B312" s="22" t="s">
        <v>875</v>
      </c>
      <c r="C312" s="22" t="s">
        <v>204</v>
      </c>
      <c r="D312" s="22" t="s">
        <v>205</v>
      </c>
      <c r="E312" s="22">
        <v>5</v>
      </c>
      <c r="F312" s="22">
        <v>11</v>
      </c>
      <c r="G312" s="22" t="s">
        <v>843</v>
      </c>
      <c r="H312" s="22" t="s">
        <v>132</v>
      </c>
      <c r="I312" s="22" t="s">
        <v>256</v>
      </c>
      <c r="J312" s="22" t="s">
        <v>205</v>
      </c>
      <c r="K312" s="22" t="s">
        <v>65</v>
      </c>
      <c r="L312" s="22" t="s">
        <v>67</v>
      </c>
      <c r="M312" s="22" t="s">
        <v>68</v>
      </c>
    </row>
    <row r="313" spans="1:13">
      <c r="A313" s="22" t="s">
        <v>876</v>
      </c>
      <c r="B313" s="22" t="s">
        <v>877</v>
      </c>
      <c r="C313" s="22" t="s">
        <v>213</v>
      </c>
      <c r="D313" s="22" t="s">
        <v>205</v>
      </c>
      <c r="E313" s="22">
        <v>6</v>
      </c>
      <c r="F313" s="22">
        <v>4</v>
      </c>
      <c r="G313" s="22" t="s">
        <v>843</v>
      </c>
      <c r="H313" s="22" t="s">
        <v>132</v>
      </c>
      <c r="I313" s="22" t="s">
        <v>259</v>
      </c>
      <c r="J313" s="22" t="s">
        <v>205</v>
      </c>
      <c r="K313" s="22" t="s">
        <v>65</v>
      </c>
      <c r="L313" s="22" t="s">
        <v>67</v>
      </c>
      <c r="M313" s="22" t="s">
        <v>68</v>
      </c>
    </row>
    <row r="314" spans="1:13">
      <c r="A314" s="22" t="s">
        <v>878</v>
      </c>
      <c r="B314" s="22" t="s">
        <v>879</v>
      </c>
      <c r="C314" s="22" t="s">
        <v>213</v>
      </c>
      <c r="D314" s="22" t="s">
        <v>205</v>
      </c>
      <c r="E314" s="22">
        <v>6</v>
      </c>
      <c r="F314" s="22">
        <v>39</v>
      </c>
      <c r="G314" s="22" t="s">
        <v>843</v>
      </c>
      <c r="H314" s="22" t="s">
        <v>132</v>
      </c>
      <c r="I314" s="22" t="s">
        <v>262</v>
      </c>
      <c r="J314" s="22" t="s">
        <v>205</v>
      </c>
      <c r="K314" s="22" t="s">
        <v>65</v>
      </c>
      <c r="L314" s="22" t="s">
        <v>67</v>
      </c>
      <c r="M314" s="22" t="s">
        <v>68</v>
      </c>
    </row>
    <row r="315" spans="1:13">
      <c r="A315" s="22" t="s">
        <v>880</v>
      </c>
      <c r="B315" s="22" t="s">
        <v>881</v>
      </c>
      <c r="C315" s="22" t="s">
        <v>213</v>
      </c>
      <c r="D315" s="22" t="s">
        <v>205</v>
      </c>
      <c r="E315" s="22">
        <v>1</v>
      </c>
      <c r="F315" s="22">
        <v>9</v>
      </c>
      <c r="G315" s="22" t="s">
        <v>843</v>
      </c>
      <c r="H315" s="22" t="s">
        <v>132</v>
      </c>
      <c r="I315" s="22" t="s">
        <v>265</v>
      </c>
      <c r="J315" s="22" t="s">
        <v>205</v>
      </c>
      <c r="K315" s="22" t="s">
        <v>65</v>
      </c>
      <c r="L315" s="22" t="s">
        <v>67</v>
      </c>
      <c r="M315" s="22" t="s">
        <v>68</v>
      </c>
    </row>
    <row r="316" spans="1:13">
      <c r="A316" s="22" t="s">
        <v>882</v>
      </c>
      <c r="B316" s="22" t="s">
        <v>883</v>
      </c>
      <c r="C316" s="22" t="s">
        <v>213</v>
      </c>
      <c r="D316" s="22" t="s">
        <v>205</v>
      </c>
      <c r="E316" s="22">
        <v>1</v>
      </c>
      <c r="F316" s="22">
        <v>28</v>
      </c>
      <c r="G316" s="22" t="s">
        <v>843</v>
      </c>
      <c r="H316" s="22" t="s">
        <v>132</v>
      </c>
      <c r="I316" s="22" t="s">
        <v>268</v>
      </c>
      <c r="J316" s="22" t="s">
        <v>205</v>
      </c>
      <c r="K316" s="22" t="s">
        <v>65</v>
      </c>
      <c r="L316" s="22" t="s">
        <v>67</v>
      </c>
      <c r="M316" s="22" t="s">
        <v>68</v>
      </c>
    </row>
    <row r="317" spans="1:13">
      <c r="A317" s="22" t="s">
        <v>884</v>
      </c>
      <c r="B317" s="22" t="s">
        <v>885</v>
      </c>
      <c r="C317" s="22" t="s">
        <v>204</v>
      </c>
      <c r="D317" s="22" t="s">
        <v>205</v>
      </c>
      <c r="E317" s="22">
        <v>3</v>
      </c>
      <c r="F317" s="22">
        <v>41</v>
      </c>
      <c r="G317" s="22" t="s">
        <v>843</v>
      </c>
      <c r="H317" s="22" t="s">
        <v>132</v>
      </c>
      <c r="I317" s="22" t="s">
        <v>271</v>
      </c>
      <c r="J317" s="22" t="s">
        <v>205</v>
      </c>
      <c r="K317" s="22" t="s">
        <v>65</v>
      </c>
      <c r="L317" s="22" t="s">
        <v>67</v>
      </c>
      <c r="M317" s="22" t="s">
        <v>68</v>
      </c>
    </row>
    <row r="318" spans="1:13">
      <c r="A318" s="22" t="s">
        <v>886</v>
      </c>
      <c r="B318" s="22" t="s">
        <v>887</v>
      </c>
      <c r="C318" s="22" t="s">
        <v>204</v>
      </c>
      <c r="D318" s="22" t="s">
        <v>205</v>
      </c>
      <c r="E318" s="22">
        <v>6</v>
      </c>
      <c r="F318" s="22">
        <v>47</v>
      </c>
      <c r="G318" s="22" t="s">
        <v>843</v>
      </c>
      <c r="H318" s="22" t="s">
        <v>132</v>
      </c>
      <c r="I318" s="22" t="s">
        <v>274</v>
      </c>
      <c r="J318" s="22" t="s">
        <v>205</v>
      </c>
      <c r="K318" s="22" t="s">
        <v>65</v>
      </c>
      <c r="L318" s="22" t="s">
        <v>67</v>
      </c>
      <c r="M318" s="22" t="s">
        <v>68</v>
      </c>
    </row>
    <row r="319" spans="1:13">
      <c r="A319" s="22" t="s">
        <v>888</v>
      </c>
      <c r="B319" s="22" t="s">
        <v>889</v>
      </c>
      <c r="C319" s="22" t="s">
        <v>213</v>
      </c>
      <c r="D319" s="22" t="s">
        <v>205</v>
      </c>
      <c r="E319" s="22">
        <v>4</v>
      </c>
      <c r="F319" s="22">
        <v>23</v>
      </c>
      <c r="G319" s="22" t="s">
        <v>843</v>
      </c>
      <c r="H319" s="22" t="s">
        <v>132</v>
      </c>
      <c r="I319" s="22" t="s">
        <v>277</v>
      </c>
      <c r="J319" s="22" t="s">
        <v>205</v>
      </c>
      <c r="K319" s="22" t="s">
        <v>65</v>
      </c>
      <c r="L319" s="22" t="s">
        <v>67</v>
      </c>
      <c r="M319" s="22" t="s">
        <v>68</v>
      </c>
    </row>
    <row r="320" spans="1:13">
      <c r="A320" s="22" t="s">
        <v>890</v>
      </c>
      <c r="B320" s="22" t="s">
        <v>891</v>
      </c>
      <c r="C320" s="22" t="s">
        <v>213</v>
      </c>
      <c r="D320" s="22" t="s">
        <v>205</v>
      </c>
      <c r="E320" s="22">
        <v>2</v>
      </c>
      <c r="F320" s="22">
        <v>48</v>
      </c>
      <c r="G320" s="22" t="s">
        <v>843</v>
      </c>
      <c r="H320" s="22" t="s">
        <v>132</v>
      </c>
      <c r="I320" s="22" t="s">
        <v>280</v>
      </c>
      <c r="J320" s="22" t="s">
        <v>205</v>
      </c>
      <c r="K320" s="22" t="s">
        <v>65</v>
      </c>
      <c r="L320" s="22" t="s">
        <v>67</v>
      </c>
      <c r="M320" s="22" t="s">
        <v>68</v>
      </c>
    </row>
    <row r="321" spans="1:13">
      <c r="A321" s="22" t="s">
        <v>892</v>
      </c>
      <c r="B321" s="22" t="s">
        <v>893</v>
      </c>
      <c r="C321" s="22" t="s">
        <v>213</v>
      </c>
      <c r="D321" s="22" t="s">
        <v>205</v>
      </c>
      <c r="E321" s="22">
        <v>6</v>
      </c>
      <c r="F321" s="22">
        <v>7</v>
      </c>
      <c r="G321" s="22" t="s">
        <v>843</v>
      </c>
      <c r="H321" s="22" t="s">
        <v>132</v>
      </c>
      <c r="I321" s="22" t="s">
        <v>283</v>
      </c>
      <c r="J321" s="22" t="s">
        <v>205</v>
      </c>
      <c r="K321" s="22" t="s">
        <v>65</v>
      </c>
      <c r="L321" s="22" t="s">
        <v>67</v>
      </c>
      <c r="M321" s="22" t="s">
        <v>68</v>
      </c>
    </row>
    <row r="322" spans="1:13">
      <c r="A322" s="22" t="s">
        <v>894</v>
      </c>
      <c r="B322" s="22" t="s">
        <v>895</v>
      </c>
      <c r="C322" s="22" t="s">
        <v>213</v>
      </c>
      <c r="D322" s="22" t="s">
        <v>205</v>
      </c>
      <c r="E322" s="22">
        <v>4</v>
      </c>
      <c r="F322" s="22">
        <v>11</v>
      </c>
      <c r="G322" s="22" t="s">
        <v>843</v>
      </c>
      <c r="H322" s="22" t="s">
        <v>132</v>
      </c>
      <c r="I322" s="22" t="s">
        <v>286</v>
      </c>
      <c r="J322" s="22" t="s">
        <v>205</v>
      </c>
      <c r="K322" s="22" t="s">
        <v>65</v>
      </c>
      <c r="L322" s="22" t="s">
        <v>67</v>
      </c>
      <c r="M322" s="22" t="s">
        <v>68</v>
      </c>
    </row>
    <row r="323" spans="1:13">
      <c r="A323" s="22" t="s">
        <v>896</v>
      </c>
      <c r="B323" s="22" t="s">
        <v>897</v>
      </c>
      <c r="C323" s="22" t="s">
        <v>204</v>
      </c>
      <c r="D323" s="22" t="s">
        <v>205</v>
      </c>
      <c r="E323" s="22">
        <v>3</v>
      </c>
      <c r="F323" s="22">
        <v>46</v>
      </c>
      <c r="G323" s="22" t="s">
        <v>843</v>
      </c>
      <c r="H323" s="22" t="s">
        <v>132</v>
      </c>
      <c r="I323" s="22" t="s">
        <v>289</v>
      </c>
      <c r="J323" s="22" t="s">
        <v>205</v>
      </c>
      <c r="K323" s="22" t="s">
        <v>65</v>
      </c>
      <c r="L323" s="22" t="s">
        <v>67</v>
      </c>
      <c r="M323" s="22" t="s">
        <v>68</v>
      </c>
    </row>
    <row r="324" spans="1:13">
      <c r="A324" s="22" t="s">
        <v>898</v>
      </c>
      <c r="B324" s="22" t="s">
        <v>899</v>
      </c>
      <c r="C324" s="22" t="s">
        <v>204</v>
      </c>
      <c r="D324" s="22" t="s">
        <v>205</v>
      </c>
      <c r="E324" s="22">
        <v>1</v>
      </c>
      <c r="F324" s="22">
        <v>1</v>
      </c>
      <c r="G324" s="22" t="s">
        <v>843</v>
      </c>
      <c r="H324" s="22" t="s">
        <v>132</v>
      </c>
      <c r="I324" s="22" t="s">
        <v>292</v>
      </c>
      <c r="J324" s="22" t="s">
        <v>205</v>
      </c>
      <c r="K324" s="22" t="s">
        <v>65</v>
      </c>
      <c r="L324" s="22" t="s">
        <v>67</v>
      </c>
      <c r="M324" s="22" t="s">
        <v>68</v>
      </c>
    </row>
    <row r="325" spans="1:13">
      <c r="A325" s="22" t="s">
        <v>900</v>
      </c>
      <c r="B325" s="22" t="s">
        <v>901</v>
      </c>
      <c r="C325" s="22" t="s">
        <v>213</v>
      </c>
      <c r="D325" s="22" t="s">
        <v>205</v>
      </c>
      <c r="E325" s="22">
        <v>9</v>
      </c>
      <c r="F325" s="22">
        <v>42</v>
      </c>
      <c r="G325" s="22" t="s">
        <v>843</v>
      </c>
      <c r="H325" s="22" t="s">
        <v>132</v>
      </c>
      <c r="I325" s="22" t="s">
        <v>295</v>
      </c>
      <c r="J325" s="22" t="s">
        <v>205</v>
      </c>
      <c r="K325" s="22" t="s">
        <v>65</v>
      </c>
      <c r="L325" s="22" t="s">
        <v>67</v>
      </c>
      <c r="M325" s="22" t="s">
        <v>68</v>
      </c>
    </row>
    <row r="326" spans="1:13">
      <c r="A326" s="22" t="s">
        <v>902</v>
      </c>
      <c r="B326" s="22" t="s">
        <v>903</v>
      </c>
      <c r="C326" s="22" t="s">
        <v>213</v>
      </c>
      <c r="D326" s="22" t="s">
        <v>205</v>
      </c>
      <c r="E326" s="22">
        <v>5</v>
      </c>
      <c r="F326" s="22">
        <v>20</v>
      </c>
      <c r="G326" s="22" t="s">
        <v>843</v>
      </c>
      <c r="H326" s="22" t="s">
        <v>132</v>
      </c>
      <c r="I326" s="22" t="s">
        <v>298</v>
      </c>
      <c r="J326" s="22" t="s">
        <v>205</v>
      </c>
      <c r="K326" s="22" t="s">
        <v>65</v>
      </c>
      <c r="L326" s="22" t="s">
        <v>67</v>
      </c>
      <c r="M326" s="22" t="s">
        <v>68</v>
      </c>
    </row>
    <row r="327" spans="1:13">
      <c r="A327" s="22" t="s">
        <v>904</v>
      </c>
      <c r="B327" s="22" t="s">
        <v>905</v>
      </c>
      <c r="C327" s="22" t="s">
        <v>204</v>
      </c>
      <c r="D327" s="22" t="s">
        <v>205</v>
      </c>
      <c r="E327" s="22">
        <v>5</v>
      </c>
      <c r="F327" s="22">
        <v>3</v>
      </c>
      <c r="G327" s="22" t="s">
        <v>843</v>
      </c>
      <c r="H327" s="22" t="s">
        <v>132</v>
      </c>
      <c r="I327" s="22" t="s">
        <v>301</v>
      </c>
      <c r="J327" s="22" t="s">
        <v>205</v>
      </c>
      <c r="K327" s="22" t="s">
        <v>65</v>
      </c>
      <c r="L327" s="22" t="s">
        <v>67</v>
      </c>
      <c r="M327" s="22" t="s">
        <v>68</v>
      </c>
    </row>
    <row r="328" spans="1:13">
      <c r="A328" s="22" t="s">
        <v>906</v>
      </c>
      <c r="B328" s="22" t="s">
        <v>907</v>
      </c>
      <c r="C328" s="22" t="s">
        <v>204</v>
      </c>
      <c r="D328" s="22" t="s">
        <v>205</v>
      </c>
      <c r="E328" s="22">
        <v>6</v>
      </c>
      <c r="F328" s="22">
        <v>37</v>
      </c>
      <c r="G328" s="22" t="s">
        <v>843</v>
      </c>
      <c r="H328" s="22" t="s">
        <v>132</v>
      </c>
      <c r="I328" s="22" t="s">
        <v>304</v>
      </c>
      <c r="J328" s="22" t="s">
        <v>205</v>
      </c>
      <c r="K328" s="22" t="s">
        <v>65</v>
      </c>
      <c r="L328" s="22" t="s">
        <v>67</v>
      </c>
      <c r="M328" s="22" t="s">
        <v>68</v>
      </c>
    </row>
    <row r="329" spans="1:13">
      <c r="A329" s="22" t="s">
        <v>908</v>
      </c>
      <c r="B329" s="22" t="s">
        <v>909</v>
      </c>
      <c r="C329" s="22" t="s">
        <v>213</v>
      </c>
      <c r="D329" s="22" t="s">
        <v>205</v>
      </c>
      <c r="E329" s="22">
        <v>3</v>
      </c>
      <c r="F329" s="22">
        <v>51</v>
      </c>
      <c r="G329" s="22" t="s">
        <v>843</v>
      </c>
      <c r="H329" s="22" t="s">
        <v>132</v>
      </c>
      <c r="I329" s="22" t="s">
        <v>307</v>
      </c>
      <c r="J329" s="22" t="s">
        <v>205</v>
      </c>
      <c r="K329" s="22" t="s">
        <v>65</v>
      </c>
      <c r="L329" s="22" t="s">
        <v>67</v>
      </c>
      <c r="M329" s="22" t="s">
        <v>68</v>
      </c>
    </row>
    <row r="330" spans="1:13">
      <c r="A330" s="22" t="s">
        <v>910</v>
      </c>
      <c r="B330" s="22" t="s">
        <v>911</v>
      </c>
      <c r="C330" s="22" t="s">
        <v>213</v>
      </c>
      <c r="D330" s="22" t="s">
        <v>205</v>
      </c>
      <c r="E330" s="22">
        <v>2</v>
      </c>
      <c r="F330" s="22">
        <v>51</v>
      </c>
      <c r="G330" s="22" t="s">
        <v>843</v>
      </c>
      <c r="H330" s="22" t="s">
        <v>132</v>
      </c>
      <c r="I330" s="22" t="s">
        <v>310</v>
      </c>
      <c r="J330" s="22" t="s">
        <v>205</v>
      </c>
      <c r="K330" s="22" t="s">
        <v>65</v>
      </c>
      <c r="L330" s="22" t="s">
        <v>67</v>
      </c>
      <c r="M330" s="22" t="s">
        <v>68</v>
      </c>
    </row>
    <row r="331" spans="1:13">
      <c r="A331" s="22" t="s">
        <v>912</v>
      </c>
      <c r="B331" s="22" t="s">
        <v>913</v>
      </c>
      <c r="C331" s="22" t="s">
        <v>213</v>
      </c>
      <c r="D331" s="22" t="s">
        <v>205</v>
      </c>
      <c r="E331" s="22">
        <v>2</v>
      </c>
      <c r="F331" s="22">
        <v>33</v>
      </c>
      <c r="G331" s="22" t="s">
        <v>843</v>
      </c>
      <c r="H331" s="22" t="s">
        <v>132</v>
      </c>
      <c r="I331" s="22" t="s">
        <v>313</v>
      </c>
      <c r="J331" s="22" t="s">
        <v>205</v>
      </c>
      <c r="K331" s="22" t="s">
        <v>65</v>
      </c>
      <c r="L331" s="22" t="s">
        <v>67</v>
      </c>
      <c r="M331" s="22" t="s">
        <v>68</v>
      </c>
    </row>
    <row r="332" spans="1:13">
      <c r="A332" s="22" t="s">
        <v>914</v>
      </c>
      <c r="B332" s="22" t="s">
        <v>915</v>
      </c>
      <c r="C332" s="22" t="s">
        <v>213</v>
      </c>
      <c r="D332" s="22" t="s">
        <v>205</v>
      </c>
      <c r="E332" s="22">
        <v>6</v>
      </c>
      <c r="F332" s="22">
        <v>20</v>
      </c>
      <c r="G332" s="22" t="s">
        <v>843</v>
      </c>
      <c r="H332" s="22" t="s">
        <v>132</v>
      </c>
      <c r="I332" s="22" t="s">
        <v>316</v>
      </c>
      <c r="J332" s="22" t="s">
        <v>205</v>
      </c>
      <c r="K332" s="22" t="s">
        <v>65</v>
      </c>
      <c r="L332" s="22" t="s">
        <v>67</v>
      </c>
      <c r="M332" s="22" t="s">
        <v>68</v>
      </c>
    </row>
    <row r="333" spans="1:13">
      <c r="A333" s="22" t="s">
        <v>916</v>
      </c>
      <c r="B333" s="22" t="s">
        <v>917</v>
      </c>
      <c r="C333" s="22" t="s">
        <v>213</v>
      </c>
      <c r="D333" s="22" t="s">
        <v>205</v>
      </c>
      <c r="E333" s="22">
        <v>7</v>
      </c>
      <c r="F333" s="22">
        <v>19</v>
      </c>
      <c r="G333" s="22" t="s">
        <v>843</v>
      </c>
      <c r="H333" s="22" t="s">
        <v>132</v>
      </c>
      <c r="I333" s="22" t="s">
        <v>319</v>
      </c>
      <c r="J333" s="22" t="s">
        <v>205</v>
      </c>
      <c r="K333" s="22" t="s">
        <v>65</v>
      </c>
      <c r="L333" s="22" t="s">
        <v>67</v>
      </c>
      <c r="M333" s="22" t="s">
        <v>68</v>
      </c>
    </row>
    <row r="334" spans="1:13">
      <c r="A334" s="22" t="s">
        <v>918</v>
      </c>
      <c r="B334" s="22" t="s">
        <v>919</v>
      </c>
      <c r="C334" s="22" t="s">
        <v>204</v>
      </c>
      <c r="D334" s="22" t="s">
        <v>205</v>
      </c>
      <c r="E334" s="22">
        <v>6</v>
      </c>
      <c r="F334" s="22">
        <v>45</v>
      </c>
      <c r="G334" s="22" t="s">
        <v>843</v>
      </c>
      <c r="H334" s="22" t="s">
        <v>132</v>
      </c>
      <c r="I334" s="22" t="s">
        <v>322</v>
      </c>
      <c r="J334" s="22" t="s">
        <v>205</v>
      </c>
      <c r="K334" s="22" t="s">
        <v>65</v>
      </c>
      <c r="L334" s="22" t="s">
        <v>67</v>
      </c>
      <c r="M334" s="22" t="s">
        <v>68</v>
      </c>
    </row>
    <row r="335" spans="1:13">
      <c r="A335" s="22" t="s">
        <v>920</v>
      </c>
      <c r="B335" s="22" t="s">
        <v>921</v>
      </c>
      <c r="C335" s="22" t="s">
        <v>204</v>
      </c>
      <c r="D335" s="22" t="s">
        <v>205</v>
      </c>
      <c r="E335" s="22">
        <v>1</v>
      </c>
      <c r="F335" s="22">
        <v>37</v>
      </c>
      <c r="G335" s="22" t="s">
        <v>843</v>
      </c>
      <c r="H335" s="22" t="s">
        <v>132</v>
      </c>
      <c r="I335" s="22" t="s">
        <v>325</v>
      </c>
      <c r="J335" s="22" t="s">
        <v>205</v>
      </c>
      <c r="K335" s="22" t="s">
        <v>65</v>
      </c>
      <c r="L335" s="22" t="s">
        <v>67</v>
      </c>
      <c r="M335" s="22" t="s">
        <v>68</v>
      </c>
    </row>
    <row r="336" spans="1:13">
      <c r="A336" s="22" t="s">
        <v>922</v>
      </c>
      <c r="B336" s="22" t="s">
        <v>923</v>
      </c>
      <c r="C336" s="22" t="s">
        <v>213</v>
      </c>
      <c r="D336" s="22" t="s">
        <v>205</v>
      </c>
      <c r="E336" s="22">
        <v>1</v>
      </c>
      <c r="F336" s="22">
        <v>46</v>
      </c>
      <c r="G336" s="22" t="s">
        <v>843</v>
      </c>
      <c r="H336" s="22" t="s">
        <v>132</v>
      </c>
      <c r="I336" s="22" t="s">
        <v>328</v>
      </c>
      <c r="J336" s="22" t="s">
        <v>205</v>
      </c>
      <c r="K336" s="22" t="s">
        <v>65</v>
      </c>
      <c r="L336" s="22" t="s">
        <v>67</v>
      </c>
      <c r="M336" s="22" t="s">
        <v>68</v>
      </c>
    </row>
    <row r="337" spans="1:13">
      <c r="A337" s="22" t="s">
        <v>924</v>
      </c>
      <c r="B337" s="22" t="s">
        <v>925</v>
      </c>
      <c r="C337" s="22" t="s">
        <v>204</v>
      </c>
      <c r="D337" s="22" t="s">
        <v>205</v>
      </c>
      <c r="E337" s="22">
        <v>9</v>
      </c>
      <c r="F337" s="22">
        <v>48</v>
      </c>
      <c r="G337" s="22" t="s">
        <v>843</v>
      </c>
      <c r="H337" s="22" t="s">
        <v>132</v>
      </c>
      <c r="I337" s="22" t="s">
        <v>331</v>
      </c>
      <c r="J337" s="22" t="s">
        <v>205</v>
      </c>
      <c r="K337" s="22" t="s">
        <v>65</v>
      </c>
      <c r="L337" s="22" t="s">
        <v>67</v>
      </c>
      <c r="M337" s="22" t="s">
        <v>68</v>
      </c>
    </row>
    <row r="338" spans="1:13">
      <c r="A338" s="22" t="s">
        <v>926</v>
      </c>
      <c r="B338" s="22" t="s">
        <v>927</v>
      </c>
      <c r="C338" s="22" t="s">
        <v>213</v>
      </c>
      <c r="D338" s="22" t="s">
        <v>205</v>
      </c>
      <c r="E338" s="22">
        <v>9</v>
      </c>
      <c r="F338" s="22">
        <v>26</v>
      </c>
      <c r="G338" s="22" t="s">
        <v>928</v>
      </c>
      <c r="H338" s="22" t="s">
        <v>137</v>
      </c>
      <c r="I338" s="22" t="s">
        <v>207</v>
      </c>
      <c r="J338" s="22" t="s">
        <v>205</v>
      </c>
      <c r="K338" s="22" t="s">
        <v>65</v>
      </c>
      <c r="L338" s="22" t="s">
        <v>67</v>
      </c>
      <c r="M338" s="22" t="s">
        <v>68</v>
      </c>
    </row>
    <row r="339" spans="1:13">
      <c r="A339" s="22" t="s">
        <v>929</v>
      </c>
      <c r="B339" s="22" t="s">
        <v>930</v>
      </c>
      <c r="C339" s="22" t="s">
        <v>213</v>
      </c>
      <c r="D339" s="22" t="s">
        <v>205</v>
      </c>
      <c r="E339" s="22">
        <v>4</v>
      </c>
      <c r="F339" s="22">
        <v>43</v>
      </c>
      <c r="G339" s="22" t="s">
        <v>928</v>
      </c>
      <c r="H339" s="22" t="s">
        <v>137</v>
      </c>
      <c r="I339" s="22" t="s">
        <v>210</v>
      </c>
      <c r="J339" s="22" t="s">
        <v>205</v>
      </c>
      <c r="K339" s="22" t="s">
        <v>65</v>
      </c>
      <c r="L339" s="22" t="s">
        <v>67</v>
      </c>
      <c r="M339" s="22" t="s">
        <v>68</v>
      </c>
    </row>
    <row r="340" spans="1:13">
      <c r="A340" s="22" t="s">
        <v>931</v>
      </c>
      <c r="B340" s="22" t="s">
        <v>932</v>
      </c>
      <c r="C340" s="22" t="s">
        <v>213</v>
      </c>
      <c r="D340" s="22" t="s">
        <v>205</v>
      </c>
      <c r="E340" s="22">
        <v>2</v>
      </c>
      <c r="F340" s="22">
        <v>41</v>
      </c>
      <c r="G340" s="22" t="s">
        <v>928</v>
      </c>
      <c r="H340" s="22" t="s">
        <v>137</v>
      </c>
      <c r="I340" s="22" t="s">
        <v>214</v>
      </c>
      <c r="J340" s="22" t="s">
        <v>205</v>
      </c>
      <c r="K340" s="22" t="s">
        <v>65</v>
      </c>
      <c r="L340" s="22" t="s">
        <v>67</v>
      </c>
      <c r="M340" s="22" t="s">
        <v>68</v>
      </c>
    </row>
    <row r="341" spans="1:13">
      <c r="A341" s="22" t="s">
        <v>933</v>
      </c>
      <c r="B341" s="22" t="s">
        <v>934</v>
      </c>
      <c r="C341" s="22" t="s">
        <v>204</v>
      </c>
      <c r="D341" s="22" t="s">
        <v>205</v>
      </c>
      <c r="E341" s="22">
        <v>7</v>
      </c>
      <c r="F341" s="22">
        <v>25</v>
      </c>
      <c r="G341" s="22" t="s">
        <v>928</v>
      </c>
      <c r="H341" s="22" t="s">
        <v>137</v>
      </c>
      <c r="I341" s="22" t="s">
        <v>217</v>
      </c>
      <c r="J341" s="22" t="s">
        <v>205</v>
      </c>
      <c r="K341" s="22" t="s">
        <v>65</v>
      </c>
      <c r="L341" s="22" t="s">
        <v>67</v>
      </c>
      <c r="M341" s="22" t="s">
        <v>68</v>
      </c>
    </row>
    <row r="342" spans="1:13">
      <c r="A342" s="22" t="s">
        <v>935</v>
      </c>
      <c r="B342" s="22" t="s">
        <v>936</v>
      </c>
      <c r="C342" s="22" t="s">
        <v>213</v>
      </c>
      <c r="D342" s="22" t="s">
        <v>205</v>
      </c>
      <c r="E342" s="22">
        <v>3</v>
      </c>
      <c r="F342" s="22">
        <v>8</v>
      </c>
      <c r="G342" s="22" t="s">
        <v>928</v>
      </c>
      <c r="H342" s="22" t="s">
        <v>137</v>
      </c>
      <c r="I342" s="22" t="s">
        <v>220</v>
      </c>
      <c r="J342" s="22" t="s">
        <v>205</v>
      </c>
      <c r="K342" s="22" t="s">
        <v>65</v>
      </c>
      <c r="L342" s="22" t="s">
        <v>67</v>
      </c>
      <c r="M342" s="22" t="s">
        <v>68</v>
      </c>
    </row>
    <row r="343" spans="1:13">
      <c r="A343" s="22" t="s">
        <v>937</v>
      </c>
      <c r="B343" s="22" t="s">
        <v>938</v>
      </c>
      <c r="C343" s="22" t="s">
        <v>213</v>
      </c>
      <c r="D343" s="22" t="s">
        <v>205</v>
      </c>
      <c r="E343" s="22">
        <v>9</v>
      </c>
      <c r="F343" s="22">
        <v>38</v>
      </c>
      <c r="G343" s="22" t="s">
        <v>928</v>
      </c>
      <c r="H343" s="22" t="s">
        <v>137</v>
      </c>
      <c r="I343" s="22" t="s">
        <v>223</v>
      </c>
      <c r="J343" s="22" t="s">
        <v>205</v>
      </c>
      <c r="K343" s="22" t="s">
        <v>65</v>
      </c>
      <c r="L343" s="22" t="s">
        <v>67</v>
      </c>
      <c r="M343" s="22" t="s">
        <v>68</v>
      </c>
    </row>
    <row r="344" spans="1:13">
      <c r="A344" s="22" t="s">
        <v>939</v>
      </c>
      <c r="B344" s="22" t="s">
        <v>940</v>
      </c>
      <c r="C344" s="22" t="s">
        <v>204</v>
      </c>
      <c r="D344" s="22" t="s">
        <v>205</v>
      </c>
      <c r="E344" s="22">
        <v>6</v>
      </c>
      <c r="F344" s="22">
        <v>52</v>
      </c>
      <c r="G344" s="22" t="s">
        <v>928</v>
      </c>
      <c r="H344" s="22" t="s">
        <v>137</v>
      </c>
      <c r="I344" s="22" t="s">
        <v>226</v>
      </c>
      <c r="J344" s="22" t="s">
        <v>205</v>
      </c>
      <c r="K344" s="22" t="s">
        <v>65</v>
      </c>
      <c r="L344" s="22" t="s">
        <v>67</v>
      </c>
      <c r="M344" s="22" t="s">
        <v>68</v>
      </c>
    </row>
    <row r="345" spans="1:13">
      <c r="A345" s="22" t="s">
        <v>941</v>
      </c>
      <c r="B345" s="22" t="s">
        <v>942</v>
      </c>
      <c r="C345" s="22" t="s">
        <v>213</v>
      </c>
      <c r="D345" s="22" t="s">
        <v>205</v>
      </c>
      <c r="E345" s="22">
        <v>6</v>
      </c>
      <c r="F345" s="22">
        <v>17</v>
      </c>
      <c r="G345" s="22" t="s">
        <v>928</v>
      </c>
      <c r="H345" s="22" t="s">
        <v>137</v>
      </c>
      <c r="I345" s="22" t="s">
        <v>229</v>
      </c>
      <c r="J345" s="22" t="s">
        <v>205</v>
      </c>
      <c r="K345" s="22" t="s">
        <v>65</v>
      </c>
      <c r="L345" s="22" t="s">
        <v>67</v>
      </c>
      <c r="M345" s="22" t="s">
        <v>68</v>
      </c>
    </row>
    <row r="346" spans="1:13">
      <c r="A346" s="22" t="s">
        <v>943</v>
      </c>
      <c r="B346" s="22" t="s">
        <v>944</v>
      </c>
      <c r="C346" s="22" t="s">
        <v>213</v>
      </c>
      <c r="D346" s="22" t="s">
        <v>205</v>
      </c>
      <c r="E346" s="22">
        <v>3</v>
      </c>
      <c r="F346" s="22">
        <v>27</v>
      </c>
      <c r="G346" s="22" t="s">
        <v>928</v>
      </c>
      <c r="H346" s="22" t="s">
        <v>137</v>
      </c>
      <c r="I346" s="22" t="s">
        <v>232</v>
      </c>
      <c r="J346" s="22" t="s">
        <v>205</v>
      </c>
      <c r="K346" s="22" t="s">
        <v>65</v>
      </c>
      <c r="L346" s="22" t="s">
        <v>67</v>
      </c>
      <c r="M346" s="22" t="s">
        <v>68</v>
      </c>
    </row>
    <row r="347" spans="1:13">
      <c r="A347" s="22" t="s">
        <v>945</v>
      </c>
      <c r="B347" s="22" t="s">
        <v>946</v>
      </c>
      <c r="C347" s="22" t="s">
        <v>213</v>
      </c>
      <c r="D347" s="22" t="s">
        <v>205</v>
      </c>
      <c r="E347" s="22">
        <v>3</v>
      </c>
      <c r="F347" s="22">
        <v>44</v>
      </c>
      <c r="G347" s="22" t="s">
        <v>928</v>
      </c>
      <c r="H347" s="22" t="s">
        <v>137</v>
      </c>
      <c r="I347" s="22" t="s">
        <v>235</v>
      </c>
      <c r="J347" s="22" t="s">
        <v>205</v>
      </c>
      <c r="K347" s="22" t="s">
        <v>65</v>
      </c>
      <c r="L347" s="22" t="s">
        <v>67</v>
      </c>
      <c r="M347" s="22" t="s">
        <v>68</v>
      </c>
    </row>
    <row r="348" spans="1:13">
      <c r="A348" s="22" t="s">
        <v>947</v>
      </c>
      <c r="B348" s="22" t="s">
        <v>948</v>
      </c>
      <c r="C348" s="22" t="s">
        <v>213</v>
      </c>
      <c r="D348" s="22" t="s">
        <v>205</v>
      </c>
      <c r="E348" s="22">
        <v>5</v>
      </c>
      <c r="F348" s="22">
        <v>46</v>
      </c>
      <c r="G348" s="22" t="s">
        <v>928</v>
      </c>
      <c r="H348" s="22" t="s">
        <v>137</v>
      </c>
      <c r="I348" s="22" t="s">
        <v>238</v>
      </c>
      <c r="J348" s="22" t="s">
        <v>205</v>
      </c>
      <c r="K348" s="22" t="s">
        <v>65</v>
      </c>
      <c r="L348" s="22" t="s">
        <v>67</v>
      </c>
      <c r="M348" s="22" t="s">
        <v>68</v>
      </c>
    </row>
    <row r="349" spans="1:13">
      <c r="A349" s="22" t="s">
        <v>949</v>
      </c>
      <c r="B349" s="22" t="s">
        <v>950</v>
      </c>
      <c r="C349" s="22" t="s">
        <v>213</v>
      </c>
      <c r="D349" s="22" t="s">
        <v>205</v>
      </c>
      <c r="E349" s="22">
        <v>1</v>
      </c>
      <c r="F349" s="22">
        <v>44</v>
      </c>
      <c r="G349" s="22" t="s">
        <v>928</v>
      </c>
      <c r="H349" s="22" t="s">
        <v>137</v>
      </c>
      <c r="I349" s="22" t="s">
        <v>241</v>
      </c>
      <c r="J349" s="22" t="s">
        <v>205</v>
      </c>
      <c r="K349" s="22" t="s">
        <v>65</v>
      </c>
      <c r="L349" s="22" t="s">
        <v>67</v>
      </c>
      <c r="M349" s="22" t="s">
        <v>68</v>
      </c>
    </row>
    <row r="350" spans="1:13">
      <c r="A350" s="22" t="s">
        <v>951</v>
      </c>
      <c r="B350" s="22" t="s">
        <v>952</v>
      </c>
      <c r="C350" s="22" t="s">
        <v>213</v>
      </c>
      <c r="D350" s="22" t="s">
        <v>205</v>
      </c>
      <c r="E350" s="22">
        <v>4</v>
      </c>
      <c r="F350" s="22">
        <v>13</v>
      </c>
      <c r="G350" s="22" t="s">
        <v>928</v>
      </c>
      <c r="H350" s="22" t="s">
        <v>137</v>
      </c>
      <c r="I350" s="22" t="s">
        <v>244</v>
      </c>
      <c r="J350" s="22" t="s">
        <v>205</v>
      </c>
      <c r="K350" s="22" t="s">
        <v>65</v>
      </c>
      <c r="L350" s="22" t="s">
        <v>67</v>
      </c>
      <c r="M350" s="22" t="s">
        <v>68</v>
      </c>
    </row>
    <row r="351" spans="1:13">
      <c r="A351" s="22" t="s">
        <v>953</v>
      </c>
      <c r="B351" s="22" t="s">
        <v>954</v>
      </c>
      <c r="C351" s="22" t="s">
        <v>213</v>
      </c>
      <c r="D351" s="22" t="s">
        <v>205</v>
      </c>
      <c r="E351" s="22">
        <v>2</v>
      </c>
      <c r="F351" s="22">
        <v>44</v>
      </c>
      <c r="G351" s="22" t="s">
        <v>928</v>
      </c>
      <c r="H351" s="22" t="s">
        <v>137</v>
      </c>
      <c r="I351" s="22" t="s">
        <v>247</v>
      </c>
      <c r="J351" s="22" t="s">
        <v>205</v>
      </c>
      <c r="K351" s="22" t="s">
        <v>65</v>
      </c>
      <c r="L351" s="22" t="s">
        <v>67</v>
      </c>
      <c r="M351" s="22" t="s">
        <v>68</v>
      </c>
    </row>
    <row r="352" spans="1:13">
      <c r="A352" s="22" t="s">
        <v>955</v>
      </c>
      <c r="B352" s="22" t="s">
        <v>956</v>
      </c>
      <c r="C352" s="22" t="s">
        <v>213</v>
      </c>
      <c r="D352" s="22" t="s">
        <v>205</v>
      </c>
      <c r="E352" s="22">
        <v>1</v>
      </c>
      <c r="F352" s="22">
        <v>47</v>
      </c>
      <c r="G352" s="22" t="s">
        <v>928</v>
      </c>
      <c r="H352" s="22" t="s">
        <v>137</v>
      </c>
      <c r="I352" s="22" t="s">
        <v>250</v>
      </c>
      <c r="J352" s="22" t="s">
        <v>205</v>
      </c>
      <c r="K352" s="22" t="s">
        <v>65</v>
      </c>
      <c r="L352" s="22" t="s">
        <v>67</v>
      </c>
      <c r="M352" s="22" t="s">
        <v>68</v>
      </c>
    </row>
    <row r="353" spans="1:13">
      <c r="A353" s="22" t="s">
        <v>957</v>
      </c>
      <c r="B353" s="22" t="s">
        <v>958</v>
      </c>
      <c r="C353" s="22" t="s">
        <v>213</v>
      </c>
      <c r="D353" s="22" t="s">
        <v>205</v>
      </c>
      <c r="E353" s="22">
        <v>2</v>
      </c>
      <c r="F353" s="22">
        <v>6</v>
      </c>
      <c r="G353" s="22" t="s">
        <v>928</v>
      </c>
      <c r="H353" s="22" t="s">
        <v>137</v>
      </c>
      <c r="I353" s="22" t="s">
        <v>253</v>
      </c>
      <c r="J353" s="22" t="s">
        <v>205</v>
      </c>
      <c r="K353" s="22" t="s">
        <v>65</v>
      </c>
      <c r="L353" s="22" t="s">
        <v>67</v>
      </c>
      <c r="M353" s="22" t="s">
        <v>68</v>
      </c>
    </row>
    <row r="354" spans="1:13">
      <c r="A354" s="22" t="s">
        <v>959</v>
      </c>
      <c r="B354" s="22" t="s">
        <v>960</v>
      </c>
      <c r="C354" s="22" t="s">
        <v>213</v>
      </c>
      <c r="D354" s="22" t="s">
        <v>205</v>
      </c>
      <c r="E354" s="22">
        <v>9</v>
      </c>
      <c r="F354" s="22">
        <v>14</v>
      </c>
      <c r="G354" s="22" t="s">
        <v>928</v>
      </c>
      <c r="H354" s="22" t="s">
        <v>137</v>
      </c>
      <c r="I354" s="22" t="s">
        <v>256</v>
      </c>
      <c r="J354" s="22" t="s">
        <v>205</v>
      </c>
      <c r="K354" s="22" t="s">
        <v>65</v>
      </c>
      <c r="L354" s="22" t="s">
        <v>67</v>
      </c>
      <c r="M354" s="22" t="s">
        <v>68</v>
      </c>
    </row>
    <row r="355" spans="1:13">
      <c r="A355" s="22" t="s">
        <v>961</v>
      </c>
      <c r="B355" s="22" t="s">
        <v>962</v>
      </c>
      <c r="C355" s="22" t="s">
        <v>204</v>
      </c>
      <c r="D355" s="22" t="s">
        <v>205</v>
      </c>
      <c r="E355" s="22">
        <v>9</v>
      </c>
      <c r="F355" s="22">
        <v>39</v>
      </c>
      <c r="G355" s="22" t="s">
        <v>928</v>
      </c>
      <c r="H355" s="22" t="s">
        <v>137</v>
      </c>
      <c r="I355" s="22" t="s">
        <v>259</v>
      </c>
      <c r="J355" s="22" t="s">
        <v>205</v>
      </c>
      <c r="K355" s="22" t="s">
        <v>65</v>
      </c>
      <c r="L355" s="22" t="s">
        <v>67</v>
      </c>
      <c r="M355" s="22" t="s">
        <v>68</v>
      </c>
    </row>
    <row r="356" spans="1:13">
      <c r="A356" s="22" t="s">
        <v>963</v>
      </c>
      <c r="B356" s="22" t="s">
        <v>964</v>
      </c>
      <c r="C356" s="22" t="s">
        <v>204</v>
      </c>
      <c r="D356" s="22" t="s">
        <v>205</v>
      </c>
      <c r="E356" s="22">
        <v>4</v>
      </c>
      <c r="F356" s="22">
        <v>3</v>
      </c>
      <c r="G356" s="22" t="s">
        <v>928</v>
      </c>
      <c r="H356" s="22" t="s">
        <v>137</v>
      </c>
      <c r="I356" s="22" t="s">
        <v>262</v>
      </c>
      <c r="J356" s="22" t="s">
        <v>205</v>
      </c>
      <c r="K356" s="22" t="s">
        <v>65</v>
      </c>
      <c r="L356" s="22" t="s">
        <v>67</v>
      </c>
      <c r="M356" s="22" t="s">
        <v>68</v>
      </c>
    </row>
    <row r="357" spans="1:13">
      <c r="A357" s="22" t="s">
        <v>965</v>
      </c>
      <c r="B357" s="22" t="s">
        <v>966</v>
      </c>
      <c r="C357" s="22" t="s">
        <v>213</v>
      </c>
      <c r="D357" s="22" t="s">
        <v>205</v>
      </c>
      <c r="E357" s="22">
        <v>1</v>
      </c>
      <c r="F357" s="22">
        <v>7</v>
      </c>
      <c r="G357" s="22" t="s">
        <v>928</v>
      </c>
      <c r="H357" s="22" t="s">
        <v>137</v>
      </c>
      <c r="I357" s="22" t="s">
        <v>265</v>
      </c>
      <c r="J357" s="22" t="s">
        <v>205</v>
      </c>
      <c r="K357" s="22" t="s">
        <v>65</v>
      </c>
      <c r="L357" s="22" t="s">
        <v>67</v>
      </c>
      <c r="M357" s="22" t="s">
        <v>68</v>
      </c>
    </row>
    <row r="358" spans="1:13">
      <c r="A358" s="22" t="s">
        <v>967</v>
      </c>
      <c r="B358" s="22" t="s">
        <v>968</v>
      </c>
      <c r="C358" s="22" t="s">
        <v>204</v>
      </c>
      <c r="D358" s="22" t="s">
        <v>205</v>
      </c>
      <c r="E358" s="22">
        <v>2</v>
      </c>
      <c r="F358" s="22">
        <v>38</v>
      </c>
      <c r="G358" s="22" t="s">
        <v>928</v>
      </c>
      <c r="H358" s="22" t="s">
        <v>137</v>
      </c>
      <c r="I358" s="22" t="s">
        <v>268</v>
      </c>
      <c r="J358" s="22" t="s">
        <v>205</v>
      </c>
      <c r="K358" s="22" t="s">
        <v>65</v>
      </c>
      <c r="L358" s="22" t="s">
        <v>67</v>
      </c>
      <c r="M358" s="22" t="s">
        <v>68</v>
      </c>
    </row>
    <row r="359" spans="1:13">
      <c r="A359" s="22" t="s">
        <v>969</v>
      </c>
      <c r="B359" s="22" t="s">
        <v>970</v>
      </c>
      <c r="C359" s="22" t="s">
        <v>213</v>
      </c>
      <c r="D359" s="22" t="s">
        <v>205</v>
      </c>
      <c r="E359" s="22">
        <v>5</v>
      </c>
      <c r="F359" s="22">
        <v>44</v>
      </c>
      <c r="G359" s="22" t="s">
        <v>928</v>
      </c>
      <c r="H359" s="22" t="s">
        <v>137</v>
      </c>
      <c r="I359" s="22" t="s">
        <v>271</v>
      </c>
      <c r="J359" s="22" t="s">
        <v>205</v>
      </c>
      <c r="K359" s="22" t="s">
        <v>65</v>
      </c>
      <c r="L359" s="22" t="s">
        <v>67</v>
      </c>
      <c r="M359" s="22" t="s">
        <v>68</v>
      </c>
    </row>
    <row r="360" spans="1:13">
      <c r="A360" s="22" t="s">
        <v>971</v>
      </c>
      <c r="B360" s="22" t="s">
        <v>972</v>
      </c>
      <c r="C360" s="22" t="s">
        <v>213</v>
      </c>
      <c r="D360" s="22" t="s">
        <v>205</v>
      </c>
      <c r="E360" s="22">
        <v>1</v>
      </c>
      <c r="F360" s="22">
        <v>18</v>
      </c>
      <c r="G360" s="22" t="s">
        <v>928</v>
      </c>
      <c r="H360" s="22" t="s">
        <v>137</v>
      </c>
      <c r="I360" s="22" t="s">
        <v>274</v>
      </c>
      <c r="J360" s="22" t="s">
        <v>205</v>
      </c>
      <c r="K360" s="22" t="s">
        <v>65</v>
      </c>
      <c r="L360" s="22" t="s">
        <v>67</v>
      </c>
      <c r="M360" s="22" t="s">
        <v>68</v>
      </c>
    </row>
    <row r="361" spans="1:13">
      <c r="A361" s="22" t="s">
        <v>973</v>
      </c>
      <c r="B361" s="22" t="s">
        <v>974</v>
      </c>
      <c r="C361" s="22" t="s">
        <v>213</v>
      </c>
      <c r="D361" s="22" t="s">
        <v>205</v>
      </c>
      <c r="E361" s="22">
        <v>1</v>
      </c>
      <c r="F361" s="22">
        <v>5</v>
      </c>
      <c r="G361" s="22" t="s">
        <v>928</v>
      </c>
      <c r="H361" s="22" t="s">
        <v>137</v>
      </c>
      <c r="I361" s="22" t="s">
        <v>277</v>
      </c>
      <c r="J361" s="22" t="s">
        <v>205</v>
      </c>
      <c r="K361" s="22" t="s">
        <v>65</v>
      </c>
      <c r="L361" s="22" t="s">
        <v>67</v>
      </c>
      <c r="M361" s="22" t="s">
        <v>68</v>
      </c>
    </row>
    <row r="362" spans="1:13">
      <c r="A362" s="22" t="s">
        <v>975</v>
      </c>
      <c r="B362" s="22" t="s">
        <v>976</v>
      </c>
      <c r="C362" s="22" t="s">
        <v>213</v>
      </c>
      <c r="D362" s="22" t="s">
        <v>205</v>
      </c>
      <c r="E362" s="22">
        <v>3</v>
      </c>
      <c r="F362" s="22">
        <v>13</v>
      </c>
      <c r="G362" s="22" t="s">
        <v>928</v>
      </c>
      <c r="H362" s="22" t="s">
        <v>137</v>
      </c>
      <c r="I362" s="22" t="s">
        <v>280</v>
      </c>
      <c r="J362" s="22" t="s">
        <v>205</v>
      </c>
      <c r="K362" s="22" t="s">
        <v>65</v>
      </c>
      <c r="L362" s="22" t="s">
        <v>67</v>
      </c>
      <c r="M362" s="22" t="s">
        <v>68</v>
      </c>
    </row>
    <row r="363" spans="1:13">
      <c r="A363" s="22" t="s">
        <v>977</v>
      </c>
      <c r="B363" s="22" t="s">
        <v>978</v>
      </c>
      <c r="C363" s="22" t="s">
        <v>213</v>
      </c>
      <c r="D363" s="22" t="s">
        <v>205</v>
      </c>
      <c r="E363" s="22">
        <v>7</v>
      </c>
      <c r="F363" s="22">
        <v>27</v>
      </c>
      <c r="G363" s="22" t="s">
        <v>928</v>
      </c>
      <c r="H363" s="22" t="s">
        <v>137</v>
      </c>
      <c r="I363" s="22" t="s">
        <v>283</v>
      </c>
      <c r="J363" s="22" t="s">
        <v>205</v>
      </c>
      <c r="K363" s="22" t="s">
        <v>65</v>
      </c>
      <c r="L363" s="22" t="s">
        <v>67</v>
      </c>
      <c r="M363" s="22" t="s">
        <v>68</v>
      </c>
    </row>
    <row r="364" spans="1:13">
      <c r="A364" s="22" t="s">
        <v>979</v>
      </c>
      <c r="B364" s="22" t="s">
        <v>980</v>
      </c>
      <c r="C364" s="22" t="s">
        <v>204</v>
      </c>
      <c r="D364" s="22" t="s">
        <v>205</v>
      </c>
      <c r="E364" s="22">
        <v>2</v>
      </c>
      <c r="F364" s="22">
        <v>16</v>
      </c>
      <c r="G364" s="22" t="s">
        <v>928</v>
      </c>
      <c r="H364" s="22" t="s">
        <v>137</v>
      </c>
      <c r="I364" s="22" t="s">
        <v>286</v>
      </c>
      <c r="J364" s="22" t="s">
        <v>205</v>
      </c>
      <c r="K364" s="22" t="s">
        <v>65</v>
      </c>
      <c r="L364" s="22" t="s">
        <v>67</v>
      </c>
      <c r="M364" s="22" t="s">
        <v>68</v>
      </c>
    </row>
    <row r="365" spans="1:13">
      <c r="A365" s="22" t="s">
        <v>981</v>
      </c>
      <c r="B365" s="22" t="s">
        <v>982</v>
      </c>
      <c r="C365" s="22" t="s">
        <v>204</v>
      </c>
      <c r="D365" s="22" t="s">
        <v>205</v>
      </c>
      <c r="E365" s="22">
        <v>3</v>
      </c>
      <c r="F365" s="22">
        <v>18</v>
      </c>
      <c r="G365" s="22" t="s">
        <v>928</v>
      </c>
      <c r="H365" s="22" t="s">
        <v>137</v>
      </c>
      <c r="I365" s="22" t="s">
        <v>289</v>
      </c>
      <c r="J365" s="22" t="s">
        <v>205</v>
      </c>
      <c r="K365" s="22" t="s">
        <v>65</v>
      </c>
      <c r="L365" s="22" t="s">
        <v>67</v>
      </c>
      <c r="M365" s="22" t="s">
        <v>68</v>
      </c>
    </row>
    <row r="366" spans="1:13">
      <c r="A366" s="22" t="s">
        <v>983</v>
      </c>
      <c r="B366" s="22" t="s">
        <v>984</v>
      </c>
      <c r="C366" s="22" t="s">
        <v>204</v>
      </c>
      <c r="D366" s="22" t="s">
        <v>205</v>
      </c>
      <c r="E366" s="22">
        <v>2</v>
      </c>
      <c r="F366" s="22">
        <v>27</v>
      </c>
      <c r="G366" s="22" t="s">
        <v>928</v>
      </c>
      <c r="H366" s="22" t="s">
        <v>137</v>
      </c>
      <c r="I366" s="22" t="s">
        <v>292</v>
      </c>
      <c r="J366" s="22" t="s">
        <v>205</v>
      </c>
      <c r="K366" s="22" t="s">
        <v>65</v>
      </c>
      <c r="L366" s="22" t="s">
        <v>67</v>
      </c>
      <c r="M366" s="22" t="s">
        <v>68</v>
      </c>
    </row>
    <row r="367" spans="1:13">
      <c r="A367" s="22" t="s">
        <v>985</v>
      </c>
      <c r="B367" s="22" t="s">
        <v>986</v>
      </c>
      <c r="C367" s="22" t="s">
        <v>213</v>
      </c>
      <c r="D367" s="22" t="s">
        <v>205</v>
      </c>
      <c r="E367" s="22">
        <v>9</v>
      </c>
      <c r="F367" s="22">
        <v>18</v>
      </c>
      <c r="G367" s="22" t="s">
        <v>928</v>
      </c>
      <c r="H367" s="22" t="s">
        <v>137</v>
      </c>
      <c r="I367" s="22" t="s">
        <v>295</v>
      </c>
      <c r="J367" s="22" t="s">
        <v>205</v>
      </c>
      <c r="K367" s="22" t="s">
        <v>65</v>
      </c>
      <c r="L367" s="22" t="s">
        <v>67</v>
      </c>
      <c r="M367" s="22" t="s">
        <v>68</v>
      </c>
    </row>
    <row r="368" spans="1:13">
      <c r="A368" s="22" t="s">
        <v>987</v>
      </c>
      <c r="B368" s="22" t="s">
        <v>988</v>
      </c>
      <c r="C368" s="22" t="s">
        <v>204</v>
      </c>
      <c r="D368" s="22" t="s">
        <v>205</v>
      </c>
      <c r="E368" s="22">
        <v>6</v>
      </c>
      <c r="F368" s="22">
        <v>27</v>
      </c>
      <c r="G368" s="22" t="s">
        <v>928</v>
      </c>
      <c r="H368" s="22" t="s">
        <v>137</v>
      </c>
      <c r="I368" s="22" t="s">
        <v>298</v>
      </c>
      <c r="J368" s="22" t="s">
        <v>205</v>
      </c>
      <c r="K368" s="22" t="s">
        <v>65</v>
      </c>
      <c r="L368" s="22" t="s">
        <v>67</v>
      </c>
      <c r="M368" s="22" t="s">
        <v>68</v>
      </c>
    </row>
    <row r="369" spans="1:13">
      <c r="A369" s="22" t="s">
        <v>989</v>
      </c>
      <c r="B369" s="22" t="s">
        <v>990</v>
      </c>
      <c r="C369" s="22" t="s">
        <v>213</v>
      </c>
      <c r="D369" s="22" t="s">
        <v>205</v>
      </c>
      <c r="E369" s="22">
        <v>3</v>
      </c>
      <c r="F369" s="22">
        <v>20</v>
      </c>
      <c r="G369" s="22" t="s">
        <v>928</v>
      </c>
      <c r="H369" s="22" t="s">
        <v>137</v>
      </c>
      <c r="I369" s="22" t="s">
        <v>301</v>
      </c>
      <c r="J369" s="22" t="s">
        <v>205</v>
      </c>
      <c r="K369" s="22" t="s">
        <v>65</v>
      </c>
      <c r="L369" s="22" t="s">
        <v>67</v>
      </c>
      <c r="M369" s="22" t="s">
        <v>68</v>
      </c>
    </row>
    <row r="370" spans="1:13">
      <c r="A370" s="22" t="s">
        <v>991</v>
      </c>
      <c r="B370" s="22" t="s">
        <v>992</v>
      </c>
      <c r="C370" s="22" t="s">
        <v>213</v>
      </c>
      <c r="D370" s="22" t="s">
        <v>205</v>
      </c>
      <c r="E370" s="22">
        <v>1</v>
      </c>
      <c r="F370" s="22">
        <v>41</v>
      </c>
      <c r="G370" s="22" t="s">
        <v>928</v>
      </c>
      <c r="H370" s="22" t="s">
        <v>137</v>
      </c>
      <c r="I370" s="22" t="s">
        <v>304</v>
      </c>
      <c r="J370" s="22" t="s">
        <v>205</v>
      </c>
      <c r="K370" s="22" t="s">
        <v>65</v>
      </c>
      <c r="L370" s="22" t="s">
        <v>67</v>
      </c>
      <c r="M370" s="22" t="s">
        <v>68</v>
      </c>
    </row>
    <row r="371" spans="1:13">
      <c r="A371" s="22" t="s">
        <v>993</v>
      </c>
      <c r="B371" s="22" t="s">
        <v>994</v>
      </c>
      <c r="C371" s="22" t="s">
        <v>204</v>
      </c>
      <c r="D371" s="22" t="s">
        <v>205</v>
      </c>
      <c r="E371" s="22">
        <v>7</v>
      </c>
      <c r="F371" s="22">
        <v>38</v>
      </c>
      <c r="G371" s="22" t="s">
        <v>928</v>
      </c>
      <c r="H371" s="22" t="s">
        <v>137</v>
      </c>
      <c r="I371" s="22" t="s">
        <v>307</v>
      </c>
      <c r="J371" s="22" t="s">
        <v>205</v>
      </c>
      <c r="K371" s="22" t="s">
        <v>65</v>
      </c>
      <c r="L371" s="22" t="s">
        <v>67</v>
      </c>
      <c r="M371" s="22" t="s">
        <v>68</v>
      </c>
    </row>
    <row r="372" spans="1:13">
      <c r="A372" s="22" t="s">
        <v>995</v>
      </c>
      <c r="B372" s="22" t="s">
        <v>996</v>
      </c>
      <c r="C372" s="22" t="s">
        <v>213</v>
      </c>
      <c r="D372" s="22" t="s">
        <v>205</v>
      </c>
      <c r="E372" s="22">
        <v>4</v>
      </c>
      <c r="F372" s="22">
        <v>34</v>
      </c>
      <c r="G372" s="22" t="s">
        <v>928</v>
      </c>
      <c r="H372" s="22" t="s">
        <v>137</v>
      </c>
      <c r="I372" s="22" t="s">
        <v>310</v>
      </c>
      <c r="J372" s="22" t="s">
        <v>205</v>
      </c>
      <c r="K372" s="22" t="s">
        <v>65</v>
      </c>
      <c r="L372" s="22" t="s">
        <v>67</v>
      </c>
      <c r="M372" s="22" t="s">
        <v>68</v>
      </c>
    </row>
    <row r="373" spans="1:13">
      <c r="A373" s="22" t="s">
        <v>997</v>
      </c>
      <c r="B373" s="22" t="s">
        <v>998</v>
      </c>
      <c r="C373" s="22" t="s">
        <v>213</v>
      </c>
      <c r="D373" s="22" t="s">
        <v>205</v>
      </c>
      <c r="E373" s="22">
        <v>4</v>
      </c>
      <c r="F373" s="22">
        <v>7</v>
      </c>
      <c r="G373" s="22" t="s">
        <v>928</v>
      </c>
      <c r="H373" s="22" t="s">
        <v>137</v>
      </c>
      <c r="I373" s="22" t="s">
        <v>313</v>
      </c>
      <c r="J373" s="22" t="s">
        <v>205</v>
      </c>
      <c r="K373" s="22" t="s">
        <v>65</v>
      </c>
      <c r="L373" s="22" t="s">
        <v>67</v>
      </c>
      <c r="M373" s="22" t="s">
        <v>68</v>
      </c>
    </row>
    <row r="374" spans="1:13">
      <c r="A374" s="22" t="s">
        <v>999</v>
      </c>
      <c r="B374" s="22" t="s">
        <v>1000</v>
      </c>
      <c r="C374" s="22" t="s">
        <v>204</v>
      </c>
      <c r="D374" s="22" t="s">
        <v>205</v>
      </c>
      <c r="E374" s="22">
        <v>2</v>
      </c>
      <c r="F374" s="22">
        <v>24</v>
      </c>
      <c r="G374" s="22" t="s">
        <v>928</v>
      </c>
      <c r="H374" s="22" t="s">
        <v>137</v>
      </c>
      <c r="I374" s="22" t="s">
        <v>316</v>
      </c>
      <c r="J374" s="22" t="s">
        <v>205</v>
      </c>
      <c r="K374" s="22" t="s">
        <v>65</v>
      </c>
      <c r="L374" s="22" t="s">
        <v>67</v>
      </c>
      <c r="M374" s="22" t="s">
        <v>68</v>
      </c>
    </row>
    <row r="375" spans="1:13">
      <c r="A375" s="22" t="s">
        <v>1001</v>
      </c>
      <c r="B375" s="22" t="s">
        <v>1002</v>
      </c>
      <c r="C375" s="22" t="s">
        <v>213</v>
      </c>
      <c r="D375" s="22" t="s">
        <v>205</v>
      </c>
      <c r="E375" s="22">
        <v>3</v>
      </c>
      <c r="F375" s="22">
        <v>19</v>
      </c>
      <c r="G375" s="22" t="s">
        <v>928</v>
      </c>
      <c r="H375" s="22" t="s">
        <v>137</v>
      </c>
      <c r="I375" s="22" t="s">
        <v>319</v>
      </c>
      <c r="J375" s="22" t="s">
        <v>205</v>
      </c>
      <c r="K375" s="22" t="s">
        <v>65</v>
      </c>
      <c r="L375" s="22" t="s">
        <v>67</v>
      </c>
      <c r="M375" s="22" t="s">
        <v>68</v>
      </c>
    </row>
    <row r="376" spans="1:13">
      <c r="A376" s="22" t="s">
        <v>1003</v>
      </c>
      <c r="B376" s="22" t="s">
        <v>1004</v>
      </c>
      <c r="C376" s="22" t="s">
        <v>213</v>
      </c>
      <c r="D376" s="22" t="s">
        <v>205</v>
      </c>
      <c r="E376" s="22">
        <v>1</v>
      </c>
      <c r="F376" s="22">
        <v>43</v>
      </c>
      <c r="G376" s="22" t="s">
        <v>928</v>
      </c>
      <c r="H376" s="22" t="s">
        <v>137</v>
      </c>
      <c r="I376" s="22" t="s">
        <v>322</v>
      </c>
      <c r="J376" s="22" t="s">
        <v>205</v>
      </c>
      <c r="K376" s="22" t="s">
        <v>65</v>
      </c>
      <c r="L376" s="22" t="s">
        <v>67</v>
      </c>
      <c r="M376" s="22" t="s">
        <v>68</v>
      </c>
    </row>
    <row r="377" spans="1:13">
      <c r="A377" s="22" t="s">
        <v>1005</v>
      </c>
      <c r="B377" s="22" t="s">
        <v>1006</v>
      </c>
      <c r="C377" s="22" t="s">
        <v>204</v>
      </c>
      <c r="D377" s="22" t="s">
        <v>205</v>
      </c>
      <c r="E377" s="22">
        <v>8</v>
      </c>
      <c r="F377" s="22">
        <v>20</v>
      </c>
      <c r="G377" s="22" t="s">
        <v>928</v>
      </c>
      <c r="H377" s="22" t="s">
        <v>137</v>
      </c>
      <c r="I377" s="22" t="s">
        <v>325</v>
      </c>
      <c r="J377" s="22" t="s">
        <v>205</v>
      </c>
      <c r="K377" s="22" t="s">
        <v>65</v>
      </c>
      <c r="L377" s="22" t="s">
        <v>67</v>
      </c>
      <c r="M377" s="22" t="s">
        <v>68</v>
      </c>
    </row>
    <row r="378" spans="1:13">
      <c r="A378" s="22" t="s">
        <v>1007</v>
      </c>
      <c r="B378" s="22" t="s">
        <v>1008</v>
      </c>
      <c r="C378" s="22" t="s">
        <v>213</v>
      </c>
      <c r="D378" s="22" t="s">
        <v>205</v>
      </c>
      <c r="E378" s="22">
        <v>5</v>
      </c>
      <c r="F378" s="22">
        <v>37</v>
      </c>
      <c r="G378" s="22" t="s">
        <v>928</v>
      </c>
      <c r="H378" s="22" t="s">
        <v>137</v>
      </c>
      <c r="I378" s="22" t="s">
        <v>328</v>
      </c>
      <c r="J378" s="22" t="s">
        <v>205</v>
      </c>
      <c r="K378" s="22" t="s">
        <v>65</v>
      </c>
      <c r="L378" s="22" t="s">
        <v>67</v>
      </c>
      <c r="M378" s="22" t="s">
        <v>68</v>
      </c>
    </row>
    <row r="379" spans="1:13">
      <c r="A379" s="22" t="s">
        <v>1009</v>
      </c>
      <c r="B379" s="22" t="s">
        <v>1010</v>
      </c>
      <c r="C379" s="22" t="s">
        <v>213</v>
      </c>
      <c r="D379" s="22" t="s">
        <v>205</v>
      </c>
      <c r="E379" s="22">
        <v>6</v>
      </c>
      <c r="F379" s="22">
        <v>21</v>
      </c>
      <c r="G379" s="22" t="s">
        <v>928</v>
      </c>
      <c r="H379" s="22" t="s">
        <v>137</v>
      </c>
      <c r="I379" s="22" t="s">
        <v>331</v>
      </c>
      <c r="J379" s="22" t="s">
        <v>205</v>
      </c>
      <c r="K379" s="22" t="s">
        <v>65</v>
      </c>
      <c r="L379" s="22" t="s">
        <v>67</v>
      </c>
      <c r="M379" s="22" t="s">
        <v>68</v>
      </c>
    </row>
    <row r="380" spans="1:13">
      <c r="A380" s="22" t="s">
        <v>1011</v>
      </c>
      <c r="B380" s="22" t="s">
        <v>1012</v>
      </c>
      <c r="C380" s="22" t="s">
        <v>204</v>
      </c>
      <c r="D380" s="22" t="s">
        <v>205</v>
      </c>
      <c r="E380" s="22">
        <v>4</v>
      </c>
      <c r="F380" s="22">
        <v>26</v>
      </c>
      <c r="G380" s="22" t="s">
        <v>1013</v>
      </c>
      <c r="H380" s="22" t="s">
        <v>141</v>
      </c>
      <c r="I380" s="22" t="s">
        <v>207</v>
      </c>
      <c r="J380" s="22" t="s">
        <v>205</v>
      </c>
      <c r="K380" s="22" t="s">
        <v>65</v>
      </c>
      <c r="L380" s="22" t="s">
        <v>67</v>
      </c>
      <c r="M380" s="22" t="s">
        <v>68</v>
      </c>
    </row>
    <row r="381" spans="1:13">
      <c r="A381" s="22" t="s">
        <v>1014</v>
      </c>
      <c r="B381" s="22" t="s">
        <v>1015</v>
      </c>
      <c r="C381" s="22" t="s">
        <v>204</v>
      </c>
      <c r="D381" s="22" t="s">
        <v>205</v>
      </c>
      <c r="E381" s="22">
        <v>2</v>
      </c>
      <c r="F381" s="22">
        <v>46</v>
      </c>
      <c r="G381" s="22" t="s">
        <v>1013</v>
      </c>
      <c r="H381" s="22" t="s">
        <v>141</v>
      </c>
      <c r="I381" s="22" t="s">
        <v>210</v>
      </c>
      <c r="J381" s="22" t="s">
        <v>205</v>
      </c>
      <c r="K381" s="22" t="s">
        <v>65</v>
      </c>
      <c r="L381" s="22" t="s">
        <v>67</v>
      </c>
      <c r="M381" s="22" t="s">
        <v>68</v>
      </c>
    </row>
    <row r="382" spans="1:13">
      <c r="A382" s="22" t="s">
        <v>1016</v>
      </c>
      <c r="B382" s="22" t="s">
        <v>1017</v>
      </c>
      <c r="C382" s="22" t="s">
        <v>213</v>
      </c>
      <c r="D382" s="22" t="s">
        <v>205</v>
      </c>
      <c r="E382" s="22">
        <v>8</v>
      </c>
      <c r="F382" s="22">
        <v>22</v>
      </c>
      <c r="G382" s="22" t="s">
        <v>1013</v>
      </c>
      <c r="H382" s="22" t="s">
        <v>141</v>
      </c>
      <c r="I382" s="22" t="s">
        <v>214</v>
      </c>
      <c r="J382" s="22" t="s">
        <v>205</v>
      </c>
      <c r="K382" s="22" t="s">
        <v>65</v>
      </c>
      <c r="L382" s="22" t="s">
        <v>67</v>
      </c>
      <c r="M382" s="22" t="s">
        <v>68</v>
      </c>
    </row>
    <row r="383" spans="1:13">
      <c r="A383" s="22" t="s">
        <v>1018</v>
      </c>
      <c r="B383" s="22" t="s">
        <v>1019</v>
      </c>
      <c r="C383" s="22" t="s">
        <v>213</v>
      </c>
      <c r="D383" s="22" t="s">
        <v>205</v>
      </c>
      <c r="E383" s="22">
        <v>4</v>
      </c>
      <c r="F383" s="22">
        <v>52</v>
      </c>
      <c r="G383" s="22" t="s">
        <v>1013</v>
      </c>
      <c r="H383" s="22" t="s">
        <v>141</v>
      </c>
      <c r="I383" s="22" t="s">
        <v>217</v>
      </c>
      <c r="J383" s="22" t="s">
        <v>205</v>
      </c>
      <c r="K383" s="22" t="s">
        <v>65</v>
      </c>
      <c r="L383" s="22" t="s">
        <v>67</v>
      </c>
      <c r="M383" s="22" t="s">
        <v>68</v>
      </c>
    </row>
    <row r="384" spans="1:13">
      <c r="A384" s="22" t="s">
        <v>1020</v>
      </c>
      <c r="B384" s="22" t="s">
        <v>1021</v>
      </c>
      <c r="C384" s="22" t="s">
        <v>213</v>
      </c>
      <c r="D384" s="22" t="s">
        <v>205</v>
      </c>
      <c r="E384" s="22">
        <v>2</v>
      </c>
      <c r="F384" s="22">
        <v>14</v>
      </c>
      <c r="G384" s="22" t="s">
        <v>1013</v>
      </c>
      <c r="H384" s="22" t="s">
        <v>141</v>
      </c>
      <c r="I384" s="22" t="s">
        <v>220</v>
      </c>
      <c r="J384" s="22" t="s">
        <v>205</v>
      </c>
      <c r="K384" s="22" t="s">
        <v>65</v>
      </c>
      <c r="L384" s="22" t="s">
        <v>67</v>
      </c>
      <c r="M384" s="22" t="s">
        <v>68</v>
      </c>
    </row>
    <row r="385" spans="1:13">
      <c r="A385" s="22" t="s">
        <v>1022</v>
      </c>
      <c r="B385" s="22" t="s">
        <v>1023</v>
      </c>
      <c r="C385" s="22" t="s">
        <v>213</v>
      </c>
      <c r="D385" s="22" t="s">
        <v>205</v>
      </c>
      <c r="E385" s="22">
        <v>1</v>
      </c>
      <c r="F385" s="22">
        <v>35</v>
      </c>
      <c r="G385" s="22" t="s">
        <v>1013</v>
      </c>
      <c r="H385" s="22" t="s">
        <v>141</v>
      </c>
      <c r="I385" s="22" t="s">
        <v>223</v>
      </c>
      <c r="J385" s="22" t="s">
        <v>205</v>
      </c>
      <c r="K385" s="22" t="s">
        <v>65</v>
      </c>
      <c r="L385" s="22" t="s">
        <v>67</v>
      </c>
      <c r="M385" s="22" t="s">
        <v>68</v>
      </c>
    </row>
    <row r="386" spans="1:13">
      <c r="A386" s="22" t="s">
        <v>1024</v>
      </c>
      <c r="B386" s="22" t="s">
        <v>1025</v>
      </c>
      <c r="C386" s="22" t="s">
        <v>213</v>
      </c>
      <c r="D386" s="22" t="s">
        <v>205</v>
      </c>
      <c r="E386" s="22">
        <v>1</v>
      </c>
      <c r="F386" s="22">
        <v>52</v>
      </c>
      <c r="G386" s="22" t="s">
        <v>1013</v>
      </c>
      <c r="H386" s="22" t="s">
        <v>141</v>
      </c>
      <c r="I386" s="22" t="s">
        <v>226</v>
      </c>
      <c r="J386" s="22" t="s">
        <v>205</v>
      </c>
      <c r="K386" s="22" t="s">
        <v>65</v>
      </c>
      <c r="L386" s="22" t="s">
        <v>67</v>
      </c>
      <c r="M386" s="22" t="s">
        <v>68</v>
      </c>
    </row>
    <row r="387" spans="1:13">
      <c r="A387" s="22" t="s">
        <v>1026</v>
      </c>
      <c r="B387" s="22" t="s">
        <v>1027</v>
      </c>
      <c r="C387" s="22" t="s">
        <v>213</v>
      </c>
      <c r="D387" s="22" t="s">
        <v>205</v>
      </c>
      <c r="E387" s="22">
        <v>8</v>
      </c>
      <c r="F387" s="22">
        <v>46</v>
      </c>
      <c r="G387" s="22" t="s">
        <v>1013</v>
      </c>
      <c r="H387" s="22" t="s">
        <v>141</v>
      </c>
      <c r="I387" s="22" t="s">
        <v>229</v>
      </c>
      <c r="J387" s="22" t="s">
        <v>205</v>
      </c>
      <c r="K387" s="22" t="s">
        <v>65</v>
      </c>
      <c r="L387" s="22" t="s">
        <v>67</v>
      </c>
      <c r="M387" s="22" t="s">
        <v>68</v>
      </c>
    </row>
    <row r="388" spans="1:13">
      <c r="A388" s="22" t="s">
        <v>1028</v>
      </c>
      <c r="B388" s="22" t="s">
        <v>1029</v>
      </c>
      <c r="C388" s="22" t="s">
        <v>213</v>
      </c>
      <c r="D388" s="22" t="s">
        <v>205</v>
      </c>
      <c r="E388" s="22">
        <v>3</v>
      </c>
      <c r="F388" s="22">
        <v>50</v>
      </c>
      <c r="G388" s="22" t="s">
        <v>1013</v>
      </c>
      <c r="H388" s="22" t="s">
        <v>141</v>
      </c>
      <c r="I388" s="22" t="s">
        <v>232</v>
      </c>
      <c r="J388" s="22" t="s">
        <v>205</v>
      </c>
      <c r="K388" s="22" t="s">
        <v>65</v>
      </c>
      <c r="L388" s="22" t="s">
        <v>67</v>
      </c>
      <c r="M388" s="22" t="s">
        <v>68</v>
      </c>
    </row>
    <row r="389" spans="1:13">
      <c r="A389" s="22" t="s">
        <v>1030</v>
      </c>
      <c r="B389" s="22" t="s">
        <v>1031</v>
      </c>
      <c r="C389" s="22" t="s">
        <v>204</v>
      </c>
      <c r="D389" s="22" t="s">
        <v>205</v>
      </c>
      <c r="E389" s="22">
        <v>3</v>
      </c>
      <c r="F389" s="22">
        <v>52</v>
      </c>
      <c r="G389" s="22" t="s">
        <v>1013</v>
      </c>
      <c r="H389" s="22" t="s">
        <v>141</v>
      </c>
      <c r="I389" s="22" t="s">
        <v>235</v>
      </c>
      <c r="J389" s="22" t="s">
        <v>205</v>
      </c>
      <c r="K389" s="22" t="s">
        <v>65</v>
      </c>
      <c r="L389" s="22" t="s">
        <v>67</v>
      </c>
      <c r="M389" s="22" t="s">
        <v>68</v>
      </c>
    </row>
    <row r="390" spans="1:13">
      <c r="A390" s="22" t="s">
        <v>1032</v>
      </c>
      <c r="B390" s="22" t="s">
        <v>1033</v>
      </c>
      <c r="C390" s="22" t="s">
        <v>204</v>
      </c>
      <c r="D390" s="22" t="s">
        <v>205</v>
      </c>
      <c r="E390" s="22">
        <v>7</v>
      </c>
      <c r="F390" s="22">
        <v>3</v>
      </c>
      <c r="G390" s="22" t="s">
        <v>1013</v>
      </c>
      <c r="H390" s="22" t="s">
        <v>141</v>
      </c>
      <c r="I390" s="22" t="s">
        <v>238</v>
      </c>
      <c r="J390" s="22" t="s">
        <v>205</v>
      </c>
      <c r="K390" s="22" t="s">
        <v>65</v>
      </c>
      <c r="L390" s="22" t="s">
        <v>67</v>
      </c>
      <c r="M390" s="22" t="s">
        <v>68</v>
      </c>
    </row>
    <row r="391" spans="1:13">
      <c r="A391" s="22" t="s">
        <v>1034</v>
      </c>
      <c r="B391" s="22" t="s">
        <v>1035</v>
      </c>
      <c r="C391" s="22" t="s">
        <v>204</v>
      </c>
      <c r="D391" s="22" t="s">
        <v>205</v>
      </c>
      <c r="E391" s="22">
        <v>4</v>
      </c>
      <c r="F391" s="22">
        <v>28</v>
      </c>
      <c r="G391" s="22" t="s">
        <v>1013</v>
      </c>
      <c r="H391" s="22" t="s">
        <v>141</v>
      </c>
      <c r="I391" s="22" t="s">
        <v>241</v>
      </c>
      <c r="J391" s="22" t="s">
        <v>205</v>
      </c>
      <c r="K391" s="22" t="s">
        <v>65</v>
      </c>
      <c r="L391" s="22" t="s">
        <v>67</v>
      </c>
      <c r="M391" s="22" t="s">
        <v>68</v>
      </c>
    </row>
    <row r="392" spans="1:13">
      <c r="A392" s="22" t="s">
        <v>1036</v>
      </c>
      <c r="B392" s="22" t="s">
        <v>1037</v>
      </c>
      <c r="C392" s="22" t="s">
        <v>213</v>
      </c>
      <c r="D392" s="22" t="s">
        <v>205</v>
      </c>
      <c r="E392" s="22">
        <v>3</v>
      </c>
      <c r="F392" s="22">
        <v>26</v>
      </c>
      <c r="G392" s="22" t="s">
        <v>1013</v>
      </c>
      <c r="H392" s="22" t="s">
        <v>141</v>
      </c>
      <c r="I392" s="22" t="s">
        <v>244</v>
      </c>
      <c r="J392" s="22" t="s">
        <v>205</v>
      </c>
      <c r="K392" s="22" t="s">
        <v>65</v>
      </c>
      <c r="L392" s="22" t="s">
        <v>67</v>
      </c>
      <c r="M392" s="22" t="s">
        <v>68</v>
      </c>
    </row>
    <row r="393" spans="1:13">
      <c r="A393" s="22" t="s">
        <v>1038</v>
      </c>
      <c r="B393" s="22" t="s">
        <v>1039</v>
      </c>
      <c r="C393" s="22" t="s">
        <v>213</v>
      </c>
      <c r="D393" s="22" t="s">
        <v>205</v>
      </c>
      <c r="E393" s="22">
        <v>7</v>
      </c>
      <c r="F393" s="22">
        <v>6</v>
      </c>
      <c r="G393" s="22" t="s">
        <v>1013</v>
      </c>
      <c r="H393" s="22" t="s">
        <v>141</v>
      </c>
      <c r="I393" s="22" t="s">
        <v>247</v>
      </c>
      <c r="J393" s="22" t="s">
        <v>205</v>
      </c>
      <c r="K393" s="22" t="s">
        <v>65</v>
      </c>
      <c r="L393" s="22" t="s">
        <v>67</v>
      </c>
      <c r="M393" s="22" t="s">
        <v>68</v>
      </c>
    </row>
    <row r="394" spans="1:13">
      <c r="A394" s="22" t="s">
        <v>1040</v>
      </c>
      <c r="B394" s="22" t="s">
        <v>1041</v>
      </c>
      <c r="C394" s="22" t="s">
        <v>213</v>
      </c>
      <c r="D394" s="22" t="s">
        <v>205</v>
      </c>
      <c r="E394" s="22">
        <v>7</v>
      </c>
      <c r="F394" s="22">
        <v>50</v>
      </c>
      <c r="G394" s="22" t="s">
        <v>1013</v>
      </c>
      <c r="H394" s="22" t="s">
        <v>141</v>
      </c>
      <c r="I394" s="22" t="s">
        <v>250</v>
      </c>
      <c r="J394" s="22" t="s">
        <v>205</v>
      </c>
      <c r="K394" s="22" t="s">
        <v>65</v>
      </c>
      <c r="L394" s="22" t="s">
        <v>67</v>
      </c>
      <c r="M394" s="22" t="s">
        <v>68</v>
      </c>
    </row>
    <row r="395" spans="1:13">
      <c r="A395" s="22" t="s">
        <v>1042</v>
      </c>
      <c r="B395" s="22" t="s">
        <v>1043</v>
      </c>
      <c r="C395" s="22" t="s">
        <v>213</v>
      </c>
      <c r="D395" s="22" t="s">
        <v>205</v>
      </c>
      <c r="E395" s="22">
        <v>8</v>
      </c>
      <c r="F395" s="22">
        <v>31</v>
      </c>
      <c r="G395" s="22" t="s">
        <v>1013</v>
      </c>
      <c r="H395" s="22" t="s">
        <v>141</v>
      </c>
      <c r="I395" s="22" t="s">
        <v>253</v>
      </c>
      <c r="J395" s="22" t="s">
        <v>205</v>
      </c>
      <c r="K395" s="22" t="s">
        <v>65</v>
      </c>
      <c r="L395" s="22" t="s">
        <v>67</v>
      </c>
      <c r="M395" s="22" t="s">
        <v>68</v>
      </c>
    </row>
    <row r="396" spans="1:13">
      <c r="A396" s="22" t="s">
        <v>1044</v>
      </c>
      <c r="B396" s="22" t="s">
        <v>1045</v>
      </c>
      <c r="C396" s="22" t="s">
        <v>213</v>
      </c>
      <c r="D396" s="22" t="s">
        <v>205</v>
      </c>
      <c r="E396" s="22">
        <v>9</v>
      </c>
      <c r="F396" s="22">
        <v>36</v>
      </c>
      <c r="G396" s="22" t="s">
        <v>1013</v>
      </c>
      <c r="H396" s="22" t="s">
        <v>141</v>
      </c>
      <c r="I396" s="22" t="s">
        <v>256</v>
      </c>
      <c r="J396" s="22" t="s">
        <v>205</v>
      </c>
      <c r="K396" s="22" t="s">
        <v>65</v>
      </c>
      <c r="L396" s="22" t="s">
        <v>67</v>
      </c>
      <c r="M396" s="22" t="s">
        <v>68</v>
      </c>
    </row>
    <row r="397" spans="1:13">
      <c r="A397" s="22" t="s">
        <v>1046</v>
      </c>
      <c r="B397" s="22" t="s">
        <v>1047</v>
      </c>
      <c r="C397" s="22" t="s">
        <v>213</v>
      </c>
      <c r="D397" s="22" t="s">
        <v>205</v>
      </c>
      <c r="E397" s="22">
        <v>12</v>
      </c>
      <c r="F397" s="22">
        <v>56</v>
      </c>
      <c r="G397" s="22" t="s">
        <v>1013</v>
      </c>
      <c r="H397" s="22" t="s">
        <v>141</v>
      </c>
      <c r="I397" s="22" t="s">
        <v>259</v>
      </c>
      <c r="J397" s="22" t="s">
        <v>205</v>
      </c>
      <c r="K397" s="22" t="s">
        <v>65</v>
      </c>
      <c r="L397" s="22" t="s">
        <v>67</v>
      </c>
      <c r="M397" s="22" t="s">
        <v>68</v>
      </c>
    </row>
    <row r="398" spans="1:13">
      <c r="A398" s="22" t="s">
        <v>1048</v>
      </c>
      <c r="B398" s="22" t="s">
        <v>1049</v>
      </c>
      <c r="C398" s="22" t="s">
        <v>204</v>
      </c>
      <c r="D398" s="22" t="s">
        <v>205</v>
      </c>
      <c r="E398" s="22">
        <v>9</v>
      </c>
      <c r="F398" s="22">
        <v>35</v>
      </c>
      <c r="G398" s="22" t="s">
        <v>1013</v>
      </c>
      <c r="H398" s="22" t="s">
        <v>141</v>
      </c>
      <c r="I398" s="22" t="s">
        <v>262</v>
      </c>
      <c r="J398" s="22" t="s">
        <v>205</v>
      </c>
      <c r="K398" s="22" t="s">
        <v>65</v>
      </c>
      <c r="L398" s="22" t="s">
        <v>67</v>
      </c>
      <c r="M398" s="22" t="s">
        <v>68</v>
      </c>
    </row>
    <row r="399" spans="1:13">
      <c r="A399" s="22" t="s">
        <v>1050</v>
      </c>
      <c r="B399" s="22" t="s">
        <v>1051</v>
      </c>
      <c r="C399" s="22" t="s">
        <v>213</v>
      </c>
      <c r="D399" s="22" t="s">
        <v>205</v>
      </c>
      <c r="E399" s="22">
        <v>6</v>
      </c>
      <c r="F399" s="22">
        <v>46</v>
      </c>
      <c r="G399" s="22" t="s">
        <v>1013</v>
      </c>
      <c r="H399" s="22" t="s">
        <v>141</v>
      </c>
      <c r="I399" s="22" t="s">
        <v>265</v>
      </c>
      <c r="J399" s="22" t="s">
        <v>205</v>
      </c>
      <c r="K399" s="22" t="s">
        <v>65</v>
      </c>
      <c r="L399" s="22" t="s">
        <v>67</v>
      </c>
      <c r="M399" s="22" t="s">
        <v>68</v>
      </c>
    </row>
    <row r="400" spans="1:13">
      <c r="A400" s="22" t="s">
        <v>1052</v>
      </c>
      <c r="B400" s="22" t="s">
        <v>1053</v>
      </c>
      <c r="C400" s="22" t="s">
        <v>204</v>
      </c>
      <c r="D400" s="22" t="s">
        <v>205</v>
      </c>
      <c r="E400" s="22">
        <v>5</v>
      </c>
      <c r="F400" s="22">
        <v>40</v>
      </c>
      <c r="G400" s="22" t="s">
        <v>1013</v>
      </c>
      <c r="H400" s="22" t="s">
        <v>141</v>
      </c>
      <c r="I400" s="22" t="s">
        <v>268</v>
      </c>
      <c r="J400" s="22" t="s">
        <v>205</v>
      </c>
      <c r="K400" s="22" t="s">
        <v>65</v>
      </c>
      <c r="L400" s="22" t="s">
        <v>67</v>
      </c>
      <c r="M400" s="22" t="s">
        <v>68</v>
      </c>
    </row>
    <row r="401" spans="1:13">
      <c r="A401" s="22" t="s">
        <v>1054</v>
      </c>
      <c r="B401" s="22" t="s">
        <v>1055</v>
      </c>
      <c r="C401" s="22" t="s">
        <v>204</v>
      </c>
      <c r="D401" s="22" t="s">
        <v>205</v>
      </c>
      <c r="E401" s="22">
        <v>3</v>
      </c>
      <c r="F401" s="22">
        <v>33</v>
      </c>
      <c r="G401" s="22" t="s">
        <v>1013</v>
      </c>
      <c r="H401" s="22" t="s">
        <v>141</v>
      </c>
      <c r="I401" s="22" t="s">
        <v>271</v>
      </c>
      <c r="J401" s="22" t="s">
        <v>205</v>
      </c>
      <c r="K401" s="22" t="s">
        <v>65</v>
      </c>
      <c r="L401" s="22" t="s">
        <v>67</v>
      </c>
      <c r="M401" s="22" t="s">
        <v>68</v>
      </c>
    </row>
    <row r="402" spans="1:13">
      <c r="A402" s="22" t="s">
        <v>1056</v>
      </c>
      <c r="B402" s="22" t="s">
        <v>1057</v>
      </c>
      <c r="C402" s="22" t="s">
        <v>213</v>
      </c>
      <c r="D402" s="22" t="s">
        <v>205</v>
      </c>
      <c r="E402" s="22">
        <v>8</v>
      </c>
      <c r="F402" s="22">
        <v>16</v>
      </c>
      <c r="G402" s="22" t="s">
        <v>1013</v>
      </c>
      <c r="H402" s="22" t="s">
        <v>141</v>
      </c>
      <c r="I402" s="22" t="s">
        <v>274</v>
      </c>
      <c r="J402" s="22" t="s">
        <v>205</v>
      </c>
      <c r="K402" s="22" t="s">
        <v>65</v>
      </c>
      <c r="L402" s="22" t="s">
        <v>67</v>
      </c>
      <c r="M402" s="22" t="s">
        <v>68</v>
      </c>
    </row>
    <row r="403" spans="1:13">
      <c r="A403" s="22" t="s">
        <v>1058</v>
      </c>
      <c r="B403" s="22" t="s">
        <v>1059</v>
      </c>
      <c r="C403" s="22" t="s">
        <v>204</v>
      </c>
      <c r="D403" s="22" t="s">
        <v>205</v>
      </c>
      <c r="E403" s="22">
        <v>8</v>
      </c>
      <c r="F403" s="22">
        <v>38</v>
      </c>
      <c r="G403" s="22" t="s">
        <v>1013</v>
      </c>
      <c r="H403" s="22" t="s">
        <v>141</v>
      </c>
      <c r="I403" s="22" t="s">
        <v>277</v>
      </c>
      <c r="J403" s="22" t="s">
        <v>205</v>
      </c>
      <c r="K403" s="22" t="s">
        <v>65</v>
      </c>
      <c r="L403" s="22" t="s">
        <v>67</v>
      </c>
      <c r="M403" s="22" t="s">
        <v>68</v>
      </c>
    </row>
    <row r="404" spans="1:13">
      <c r="A404" s="22" t="s">
        <v>1060</v>
      </c>
      <c r="B404" s="22" t="s">
        <v>1061</v>
      </c>
      <c r="C404" s="22" t="s">
        <v>213</v>
      </c>
      <c r="D404" s="22" t="s">
        <v>205</v>
      </c>
      <c r="E404" s="22">
        <v>7</v>
      </c>
      <c r="F404" s="22">
        <v>8</v>
      </c>
      <c r="G404" s="22" t="s">
        <v>1013</v>
      </c>
      <c r="H404" s="22" t="s">
        <v>141</v>
      </c>
      <c r="I404" s="22" t="s">
        <v>280</v>
      </c>
      <c r="J404" s="22" t="s">
        <v>205</v>
      </c>
      <c r="K404" s="22" t="s">
        <v>65</v>
      </c>
      <c r="L404" s="22" t="s">
        <v>67</v>
      </c>
      <c r="M404" s="22" t="s">
        <v>68</v>
      </c>
    </row>
    <row r="405" spans="1:13">
      <c r="A405" s="22" t="s">
        <v>1062</v>
      </c>
      <c r="B405" s="22" t="s">
        <v>1063</v>
      </c>
      <c r="C405" s="22" t="s">
        <v>213</v>
      </c>
      <c r="D405" s="22" t="s">
        <v>205</v>
      </c>
      <c r="E405" s="22">
        <v>1</v>
      </c>
      <c r="F405" s="22">
        <v>25</v>
      </c>
      <c r="G405" s="22" t="s">
        <v>1013</v>
      </c>
      <c r="H405" s="22" t="s">
        <v>141</v>
      </c>
      <c r="I405" s="22" t="s">
        <v>283</v>
      </c>
      <c r="J405" s="22" t="s">
        <v>205</v>
      </c>
      <c r="K405" s="22" t="s">
        <v>65</v>
      </c>
      <c r="L405" s="22" t="s">
        <v>67</v>
      </c>
      <c r="M405" s="22" t="s">
        <v>68</v>
      </c>
    </row>
    <row r="406" spans="1:13">
      <c r="A406" s="22" t="s">
        <v>1064</v>
      </c>
      <c r="B406" s="22" t="s">
        <v>1065</v>
      </c>
      <c r="C406" s="22" t="s">
        <v>204</v>
      </c>
      <c r="D406" s="22" t="s">
        <v>205</v>
      </c>
      <c r="E406" s="22">
        <v>5</v>
      </c>
      <c r="F406" s="22">
        <v>51</v>
      </c>
      <c r="G406" s="22" t="s">
        <v>1013</v>
      </c>
      <c r="H406" s="22" t="s">
        <v>141</v>
      </c>
      <c r="I406" s="22" t="s">
        <v>286</v>
      </c>
      <c r="J406" s="22" t="s">
        <v>205</v>
      </c>
      <c r="K406" s="22" t="s">
        <v>65</v>
      </c>
      <c r="L406" s="22" t="s">
        <v>67</v>
      </c>
      <c r="M406" s="22" t="s">
        <v>68</v>
      </c>
    </row>
    <row r="407" spans="1:13">
      <c r="A407" s="22" t="s">
        <v>1066</v>
      </c>
      <c r="B407" s="22" t="s">
        <v>1067</v>
      </c>
      <c r="C407" s="22" t="s">
        <v>204</v>
      </c>
      <c r="D407" s="22" t="s">
        <v>205</v>
      </c>
      <c r="E407" s="22">
        <v>1</v>
      </c>
      <c r="F407" s="22">
        <v>42</v>
      </c>
      <c r="G407" s="22" t="s">
        <v>1013</v>
      </c>
      <c r="H407" s="22" t="s">
        <v>141</v>
      </c>
      <c r="I407" s="22" t="s">
        <v>289</v>
      </c>
      <c r="J407" s="22" t="s">
        <v>205</v>
      </c>
      <c r="K407" s="22" t="s">
        <v>65</v>
      </c>
      <c r="L407" s="22" t="s">
        <v>67</v>
      </c>
      <c r="M407" s="22" t="s">
        <v>68</v>
      </c>
    </row>
    <row r="408" spans="1:13">
      <c r="A408" s="22" t="s">
        <v>1068</v>
      </c>
      <c r="B408" s="22" t="s">
        <v>1069</v>
      </c>
      <c r="C408" s="22" t="s">
        <v>213</v>
      </c>
      <c r="D408" s="22" t="s">
        <v>205</v>
      </c>
      <c r="E408" s="22">
        <v>4</v>
      </c>
      <c r="F408" s="22">
        <v>2</v>
      </c>
      <c r="G408" s="22" t="s">
        <v>1013</v>
      </c>
      <c r="H408" s="22" t="s">
        <v>141</v>
      </c>
      <c r="I408" s="22" t="s">
        <v>292</v>
      </c>
      <c r="J408" s="22" t="s">
        <v>205</v>
      </c>
      <c r="K408" s="22" t="s">
        <v>65</v>
      </c>
      <c r="L408" s="22" t="s">
        <v>67</v>
      </c>
      <c r="M408" s="22" t="s">
        <v>68</v>
      </c>
    </row>
    <row r="409" spans="1:13">
      <c r="A409" s="22" t="s">
        <v>1070</v>
      </c>
      <c r="B409" s="22" t="s">
        <v>1071</v>
      </c>
      <c r="C409" s="22" t="s">
        <v>213</v>
      </c>
      <c r="D409" s="22" t="s">
        <v>205</v>
      </c>
      <c r="E409" s="22">
        <v>1</v>
      </c>
      <c r="F409" s="22">
        <v>33</v>
      </c>
      <c r="G409" s="22" t="s">
        <v>1013</v>
      </c>
      <c r="H409" s="22" t="s">
        <v>141</v>
      </c>
      <c r="I409" s="22" t="s">
        <v>295</v>
      </c>
      <c r="J409" s="22" t="s">
        <v>205</v>
      </c>
      <c r="K409" s="22" t="s">
        <v>65</v>
      </c>
      <c r="L409" s="22" t="s">
        <v>67</v>
      </c>
      <c r="M409" s="22" t="s">
        <v>68</v>
      </c>
    </row>
    <row r="410" spans="1:13">
      <c r="A410" s="22" t="s">
        <v>1072</v>
      </c>
      <c r="B410" s="22" t="s">
        <v>1073</v>
      </c>
      <c r="C410" s="22" t="s">
        <v>213</v>
      </c>
      <c r="D410" s="22" t="s">
        <v>205</v>
      </c>
      <c r="E410" s="22">
        <v>3</v>
      </c>
      <c r="F410" s="22">
        <v>21</v>
      </c>
      <c r="G410" s="22" t="s">
        <v>1013</v>
      </c>
      <c r="H410" s="22" t="s">
        <v>141</v>
      </c>
      <c r="I410" s="22" t="s">
        <v>298</v>
      </c>
      <c r="J410" s="22" t="s">
        <v>205</v>
      </c>
      <c r="K410" s="22" t="s">
        <v>65</v>
      </c>
      <c r="L410" s="22" t="s">
        <v>67</v>
      </c>
      <c r="M410" s="22" t="s">
        <v>68</v>
      </c>
    </row>
    <row r="411" spans="1:13">
      <c r="A411" s="22" t="s">
        <v>1074</v>
      </c>
      <c r="B411" s="22" t="s">
        <v>1075</v>
      </c>
      <c r="C411" s="22" t="s">
        <v>213</v>
      </c>
      <c r="D411" s="22" t="s">
        <v>205</v>
      </c>
      <c r="E411" s="22">
        <v>5</v>
      </c>
      <c r="F411" s="22">
        <v>19</v>
      </c>
      <c r="G411" s="22" t="s">
        <v>1013</v>
      </c>
      <c r="H411" s="22" t="s">
        <v>141</v>
      </c>
      <c r="I411" s="22" t="s">
        <v>301</v>
      </c>
      <c r="J411" s="22" t="s">
        <v>205</v>
      </c>
      <c r="K411" s="22" t="s">
        <v>65</v>
      </c>
      <c r="L411" s="22" t="s">
        <v>67</v>
      </c>
      <c r="M411" s="22" t="s">
        <v>68</v>
      </c>
    </row>
    <row r="412" spans="1:13">
      <c r="A412" s="22" t="s">
        <v>1076</v>
      </c>
      <c r="B412" s="22" t="s">
        <v>1077</v>
      </c>
      <c r="C412" s="22" t="s">
        <v>204</v>
      </c>
      <c r="D412" s="22" t="s">
        <v>205</v>
      </c>
      <c r="E412" s="22">
        <v>7</v>
      </c>
      <c r="F412" s="22">
        <v>22</v>
      </c>
      <c r="G412" s="22" t="s">
        <v>1013</v>
      </c>
      <c r="H412" s="22" t="s">
        <v>141</v>
      </c>
      <c r="I412" s="22" t="s">
        <v>304</v>
      </c>
      <c r="J412" s="22" t="s">
        <v>205</v>
      </c>
      <c r="K412" s="22" t="s">
        <v>65</v>
      </c>
      <c r="L412" s="22" t="s">
        <v>67</v>
      </c>
      <c r="M412" s="22" t="s">
        <v>68</v>
      </c>
    </row>
    <row r="413" spans="1:13">
      <c r="A413" s="22" t="s">
        <v>1078</v>
      </c>
      <c r="B413" s="22" t="s">
        <v>1079</v>
      </c>
      <c r="C413" s="22" t="s">
        <v>204</v>
      </c>
      <c r="D413" s="22" t="s">
        <v>205</v>
      </c>
      <c r="E413" s="22">
        <v>4</v>
      </c>
      <c r="F413" s="22">
        <v>15</v>
      </c>
      <c r="G413" s="22" t="s">
        <v>1013</v>
      </c>
      <c r="H413" s="22" t="s">
        <v>141</v>
      </c>
      <c r="I413" s="22" t="s">
        <v>307</v>
      </c>
      <c r="J413" s="22" t="s">
        <v>205</v>
      </c>
      <c r="K413" s="22" t="s">
        <v>65</v>
      </c>
      <c r="L413" s="22" t="s">
        <v>67</v>
      </c>
      <c r="M413" s="22" t="s">
        <v>68</v>
      </c>
    </row>
    <row r="414" spans="1:13">
      <c r="A414" s="22" t="s">
        <v>1080</v>
      </c>
      <c r="B414" s="22" t="s">
        <v>1081</v>
      </c>
      <c r="C414" s="22" t="s">
        <v>204</v>
      </c>
      <c r="D414" s="22" t="s">
        <v>205</v>
      </c>
      <c r="E414" s="22">
        <v>8</v>
      </c>
      <c r="F414" s="22">
        <v>54</v>
      </c>
      <c r="G414" s="22" t="s">
        <v>1013</v>
      </c>
      <c r="H414" s="22" t="s">
        <v>141</v>
      </c>
      <c r="I414" s="22" t="s">
        <v>310</v>
      </c>
      <c r="J414" s="22" t="s">
        <v>205</v>
      </c>
      <c r="K414" s="22" t="s">
        <v>65</v>
      </c>
      <c r="L414" s="22" t="s">
        <v>67</v>
      </c>
      <c r="M414" s="22" t="s">
        <v>68</v>
      </c>
    </row>
    <row r="415" spans="1:13">
      <c r="A415" s="22" t="s">
        <v>1082</v>
      </c>
      <c r="B415" s="22" t="s">
        <v>1083</v>
      </c>
      <c r="C415" s="22" t="s">
        <v>204</v>
      </c>
      <c r="D415" s="22" t="s">
        <v>205</v>
      </c>
      <c r="E415" s="22">
        <v>3</v>
      </c>
      <c r="F415" s="22">
        <v>31</v>
      </c>
      <c r="G415" s="22" t="s">
        <v>1013</v>
      </c>
      <c r="H415" s="22" t="s">
        <v>141</v>
      </c>
      <c r="I415" s="22" t="s">
        <v>313</v>
      </c>
      <c r="J415" s="22" t="s">
        <v>205</v>
      </c>
      <c r="K415" s="22" t="s">
        <v>65</v>
      </c>
      <c r="L415" s="22" t="s">
        <v>67</v>
      </c>
      <c r="M415" s="22" t="s">
        <v>68</v>
      </c>
    </row>
    <row r="416" spans="1:13">
      <c r="A416" s="22" t="s">
        <v>1084</v>
      </c>
      <c r="B416" s="22" t="s">
        <v>1085</v>
      </c>
      <c r="C416" s="22" t="s">
        <v>213</v>
      </c>
      <c r="D416" s="22" t="s">
        <v>205</v>
      </c>
      <c r="E416" s="22">
        <v>1</v>
      </c>
      <c r="F416" s="22">
        <v>12</v>
      </c>
      <c r="G416" s="22" t="s">
        <v>1013</v>
      </c>
      <c r="H416" s="22" t="s">
        <v>141</v>
      </c>
      <c r="I416" s="22" t="s">
        <v>316</v>
      </c>
      <c r="J416" s="22" t="s">
        <v>205</v>
      </c>
      <c r="K416" s="22" t="s">
        <v>65</v>
      </c>
      <c r="L416" s="22" t="s">
        <v>67</v>
      </c>
      <c r="M416" s="22" t="s">
        <v>68</v>
      </c>
    </row>
    <row r="417" spans="1:13">
      <c r="A417" s="22" t="s">
        <v>1086</v>
      </c>
      <c r="B417" s="22" t="s">
        <v>1087</v>
      </c>
      <c r="C417" s="22" t="s">
        <v>204</v>
      </c>
      <c r="D417" s="22" t="s">
        <v>205</v>
      </c>
      <c r="E417" s="22">
        <v>7</v>
      </c>
      <c r="F417" s="22">
        <v>30</v>
      </c>
      <c r="G417" s="22" t="s">
        <v>1013</v>
      </c>
      <c r="H417" s="22" t="s">
        <v>141</v>
      </c>
      <c r="I417" s="22" t="s">
        <v>319</v>
      </c>
      <c r="J417" s="22" t="s">
        <v>205</v>
      </c>
      <c r="K417" s="22" t="s">
        <v>65</v>
      </c>
      <c r="L417" s="22" t="s">
        <v>67</v>
      </c>
      <c r="M417" s="22" t="s">
        <v>68</v>
      </c>
    </row>
    <row r="418" spans="1:13">
      <c r="A418" s="22" t="s">
        <v>1088</v>
      </c>
      <c r="B418" s="22" t="s">
        <v>1089</v>
      </c>
      <c r="C418" s="22" t="s">
        <v>204</v>
      </c>
      <c r="D418" s="22" t="s">
        <v>205</v>
      </c>
      <c r="E418" s="22">
        <v>7</v>
      </c>
      <c r="F418" s="22">
        <v>11</v>
      </c>
      <c r="G418" s="22" t="s">
        <v>1013</v>
      </c>
      <c r="H418" s="22" t="s">
        <v>141</v>
      </c>
      <c r="I418" s="22" t="s">
        <v>322</v>
      </c>
      <c r="J418" s="22" t="s">
        <v>205</v>
      </c>
      <c r="K418" s="22" t="s">
        <v>65</v>
      </c>
      <c r="L418" s="22" t="s">
        <v>67</v>
      </c>
      <c r="M418" s="22" t="s">
        <v>68</v>
      </c>
    </row>
    <row r="419" spans="1:13">
      <c r="A419" s="22" t="s">
        <v>1090</v>
      </c>
      <c r="B419" s="22" t="s">
        <v>1091</v>
      </c>
      <c r="C419" s="22" t="s">
        <v>204</v>
      </c>
      <c r="D419" s="22" t="s">
        <v>205</v>
      </c>
      <c r="E419" s="22">
        <v>5</v>
      </c>
      <c r="F419" s="22">
        <v>17</v>
      </c>
      <c r="G419" s="22" t="s">
        <v>1013</v>
      </c>
      <c r="H419" s="22" t="s">
        <v>141</v>
      </c>
      <c r="I419" s="22" t="s">
        <v>325</v>
      </c>
      <c r="J419" s="22" t="s">
        <v>205</v>
      </c>
      <c r="K419" s="22" t="s">
        <v>65</v>
      </c>
      <c r="L419" s="22" t="s">
        <v>67</v>
      </c>
      <c r="M419" s="22" t="s">
        <v>68</v>
      </c>
    </row>
    <row r="420" spans="1:13">
      <c r="A420" s="22" t="s">
        <v>1092</v>
      </c>
      <c r="B420" s="22" t="s">
        <v>1093</v>
      </c>
      <c r="C420" s="22" t="s">
        <v>213</v>
      </c>
      <c r="D420" s="22" t="s">
        <v>205</v>
      </c>
      <c r="E420" s="22">
        <v>7</v>
      </c>
      <c r="F420" s="22">
        <v>12</v>
      </c>
      <c r="G420" s="22" t="s">
        <v>1013</v>
      </c>
      <c r="H420" s="22" t="s">
        <v>141</v>
      </c>
      <c r="I420" s="22" t="s">
        <v>328</v>
      </c>
      <c r="J420" s="22" t="s">
        <v>205</v>
      </c>
      <c r="K420" s="22" t="s">
        <v>65</v>
      </c>
      <c r="L420" s="22" t="s">
        <v>67</v>
      </c>
      <c r="M420" s="22" t="s">
        <v>68</v>
      </c>
    </row>
    <row r="421" spans="1:13">
      <c r="A421" s="22" t="s">
        <v>1094</v>
      </c>
      <c r="B421" s="22" t="s">
        <v>1095</v>
      </c>
      <c r="C421" s="22" t="s">
        <v>204</v>
      </c>
      <c r="D421" s="22" t="s">
        <v>205</v>
      </c>
      <c r="E421" s="22">
        <v>9</v>
      </c>
      <c r="F421" s="22">
        <v>4</v>
      </c>
      <c r="G421" s="22" t="s">
        <v>1013</v>
      </c>
      <c r="H421" s="22" t="s">
        <v>141</v>
      </c>
      <c r="I421" s="22" t="s">
        <v>331</v>
      </c>
      <c r="J421" s="22" t="s">
        <v>205</v>
      </c>
      <c r="K421" s="22" t="s">
        <v>65</v>
      </c>
      <c r="L421" s="22" t="s">
        <v>67</v>
      </c>
      <c r="M421" s="22" t="s">
        <v>68</v>
      </c>
    </row>
    <row r="422" spans="1:13">
      <c r="A422" s="22" t="s">
        <v>1096</v>
      </c>
      <c r="B422" s="22" t="s">
        <v>1097</v>
      </c>
      <c r="C422" s="22" t="s">
        <v>213</v>
      </c>
      <c r="D422" s="22" t="s">
        <v>205</v>
      </c>
      <c r="E422" s="22">
        <v>4</v>
      </c>
      <c r="F422" s="22">
        <v>17</v>
      </c>
      <c r="G422" s="22" t="s">
        <v>1098</v>
      </c>
      <c r="H422" s="22" t="s">
        <v>145</v>
      </c>
      <c r="I422" s="22" t="s">
        <v>207</v>
      </c>
      <c r="J422" s="22" t="s">
        <v>205</v>
      </c>
      <c r="K422" s="22" t="s">
        <v>65</v>
      </c>
      <c r="L422" s="22" t="s">
        <v>67</v>
      </c>
      <c r="M422" s="22" t="s">
        <v>68</v>
      </c>
    </row>
    <row r="423" spans="1:13">
      <c r="A423" s="22" t="s">
        <v>1099</v>
      </c>
      <c r="B423" s="22" t="s">
        <v>1100</v>
      </c>
      <c r="C423" s="22" t="s">
        <v>213</v>
      </c>
      <c r="D423" s="22" t="s">
        <v>205</v>
      </c>
      <c r="E423" s="22">
        <v>5</v>
      </c>
      <c r="F423" s="22">
        <v>21</v>
      </c>
      <c r="G423" s="22" t="s">
        <v>1098</v>
      </c>
      <c r="H423" s="22" t="s">
        <v>145</v>
      </c>
      <c r="I423" s="22" t="s">
        <v>210</v>
      </c>
      <c r="J423" s="22" t="s">
        <v>205</v>
      </c>
      <c r="K423" s="22" t="s">
        <v>65</v>
      </c>
      <c r="L423" s="22" t="s">
        <v>67</v>
      </c>
      <c r="M423" s="22" t="s">
        <v>68</v>
      </c>
    </row>
    <row r="424" spans="1:13">
      <c r="A424" s="22" t="s">
        <v>1101</v>
      </c>
      <c r="B424" s="22" t="s">
        <v>1102</v>
      </c>
      <c r="C424" s="22" t="s">
        <v>213</v>
      </c>
      <c r="D424" s="22" t="s">
        <v>205</v>
      </c>
      <c r="E424" s="22">
        <v>8</v>
      </c>
      <c r="F424" s="22">
        <v>37</v>
      </c>
      <c r="G424" s="22" t="s">
        <v>1098</v>
      </c>
      <c r="H424" s="22" t="s">
        <v>145</v>
      </c>
      <c r="I424" s="22" t="s">
        <v>214</v>
      </c>
      <c r="J424" s="22" t="s">
        <v>205</v>
      </c>
      <c r="K424" s="22" t="s">
        <v>65</v>
      </c>
      <c r="L424" s="22" t="s">
        <v>67</v>
      </c>
      <c r="M424" s="22" t="s">
        <v>68</v>
      </c>
    </row>
    <row r="425" spans="1:13">
      <c r="A425" s="22" t="s">
        <v>1103</v>
      </c>
      <c r="B425" s="22" t="s">
        <v>1104</v>
      </c>
      <c r="C425" s="22" t="s">
        <v>204</v>
      </c>
      <c r="D425" s="22" t="s">
        <v>205</v>
      </c>
      <c r="E425" s="22">
        <v>6</v>
      </c>
      <c r="F425" s="22">
        <v>2</v>
      </c>
      <c r="G425" s="22" t="s">
        <v>1098</v>
      </c>
      <c r="H425" s="22" t="s">
        <v>145</v>
      </c>
      <c r="I425" s="22" t="s">
        <v>217</v>
      </c>
      <c r="J425" s="22" t="s">
        <v>205</v>
      </c>
      <c r="K425" s="22" t="s">
        <v>65</v>
      </c>
      <c r="L425" s="22" t="s">
        <v>67</v>
      </c>
      <c r="M425" s="22" t="s">
        <v>68</v>
      </c>
    </row>
    <row r="426" spans="1:13">
      <c r="A426" s="22" t="s">
        <v>1105</v>
      </c>
      <c r="B426" s="22" t="s">
        <v>1106</v>
      </c>
      <c r="C426" s="22" t="s">
        <v>204</v>
      </c>
      <c r="D426" s="22" t="s">
        <v>205</v>
      </c>
      <c r="E426" s="22">
        <v>5</v>
      </c>
      <c r="F426" s="22">
        <v>27</v>
      </c>
      <c r="G426" s="22" t="s">
        <v>1098</v>
      </c>
      <c r="H426" s="22" t="s">
        <v>145</v>
      </c>
      <c r="I426" s="22" t="s">
        <v>220</v>
      </c>
      <c r="J426" s="22" t="s">
        <v>205</v>
      </c>
      <c r="K426" s="22" t="s">
        <v>65</v>
      </c>
      <c r="L426" s="22" t="s">
        <v>67</v>
      </c>
      <c r="M426" s="22" t="s">
        <v>68</v>
      </c>
    </row>
    <row r="427" spans="1:13">
      <c r="A427" s="22" t="s">
        <v>1107</v>
      </c>
      <c r="B427" s="22" t="s">
        <v>1108</v>
      </c>
      <c r="C427" s="22" t="s">
        <v>213</v>
      </c>
      <c r="D427" s="22" t="s">
        <v>205</v>
      </c>
      <c r="E427" s="22">
        <v>3</v>
      </c>
      <c r="F427" s="22">
        <v>43</v>
      </c>
      <c r="G427" s="22" t="s">
        <v>1098</v>
      </c>
      <c r="H427" s="22" t="s">
        <v>145</v>
      </c>
      <c r="I427" s="22" t="s">
        <v>223</v>
      </c>
      <c r="J427" s="22" t="s">
        <v>205</v>
      </c>
      <c r="K427" s="22" t="s">
        <v>65</v>
      </c>
      <c r="L427" s="22" t="s">
        <v>67</v>
      </c>
      <c r="M427" s="22" t="s">
        <v>68</v>
      </c>
    </row>
    <row r="428" spans="1:13">
      <c r="A428" s="22" t="s">
        <v>1109</v>
      </c>
      <c r="B428" s="22" t="s">
        <v>1110</v>
      </c>
      <c r="C428" s="22" t="s">
        <v>213</v>
      </c>
      <c r="D428" s="22" t="s">
        <v>205</v>
      </c>
      <c r="E428" s="22">
        <v>9</v>
      </c>
      <c r="F428" s="22">
        <v>10</v>
      </c>
      <c r="G428" s="22" t="s">
        <v>1098</v>
      </c>
      <c r="H428" s="22" t="s">
        <v>145</v>
      </c>
      <c r="I428" s="22" t="s">
        <v>226</v>
      </c>
      <c r="J428" s="22" t="s">
        <v>205</v>
      </c>
      <c r="K428" s="22" t="s">
        <v>65</v>
      </c>
      <c r="L428" s="22" t="s">
        <v>67</v>
      </c>
      <c r="M428" s="22" t="s">
        <v>68</v>
      </c>
    </row>
    <row r="429" spans="1:13">
      <c r="A429" s="22" t="s">
        <v>1111</v>
      </c>
      <c r="B429" s="22" t="s">
        <v>1112</v>
      </c>
      <c r="C429" s="22" t="s">
        <v>213</v>
      </c>
      <c r="D429" s="22" t="s">
        <v>205</v>
      </c>
      <c r="E429" s="22">
        <v>7</v>
      </c>
      <c r="F429" s="22">
        <v>28</v>
      </c>
      <c r="G429" s="22" t="s">
        <v>1098</v>
      </c>
      <c r="H429" s="22" t="s">
        <v>145</v>
      </c>
      <c r="I429" s="22" t="s">
        <v>229</v>
      </c>
      <c r="J429" s="22" t="s">
        <v>205</v>
      </c>
      <c r="K429" s="22" t="s">
        <v>65</v>
      </c>
      <c r="L429" s="22" t="s">
        <v>67</v>
      </c>
      <c r="M429" s="22" t="s">
        <v>68</v>
      </c>
    </row>
    <row r="430" spans="1:13">
      <c r="A430" s="22" t="s">
        <v>1113</v>
      </c>
      <c r="B430" s="22" t="s">
        <v>1114</v>
      </c>
      <c r="C430" s="22" t="s">
        <v>204</v>
      </c>
      <c r="D430" s="22" t="s">
        <v>205</v>
      </c>
      <c r="E430" s="22">
        <v>6</v>
      </c>
      <c r="F430" s="22">
        <v>18</v>
      </c>
      <c r="G430" s="22" t="s">
        <v>1098</v>
      </c>
      <c r="H430" s="22" t="s">
        <v>145</v>
      </c>
      <c r="I430" s="22" t="s">
        <v>232</v>
      </c>
      <c r="J430" s="22" t="s">
        <v>205</v>
      </c>
      <c r="K430" s="22" t="s">
        <v>65</v>
      </c>
      <c r="L430" s="22" t="s">
        <v>67</v>
      </c>
      <c r="M430" s="22" t="s">
        <v>68</v>
      </c>
    </row>
    <row r="431" spans="1:13">
      <c r="A431" s="22" t="s">
        <v>1115</v>
      </c>
      <c r="B431" s="22" t="s">
        <v>1116</v>
      </c>
      <c r="C431" s="22" t="s">
        <v>213</v>
      </c>
      <c r="D431" s="22" t="s">
        <v>205</v>
      </c>
      <c r="E431" s="22">
        <v>5</v>
      </c>
      <c r="F431" s="22">
        <v>50</v>
      </c>
      <c r="G431" s="22" t="s">
        <v>1098</v>
      </c>
      <c r="H431" s="22" t="s">
        <v>145</v>
      </c>
      <c r="I431" s="22" t="s">
        <v>235</v>
      </c>
      <c r="J431" s="22" t="s">
        <v>205</v>
      </c>
      <c r="K431" s="22" t="s">
        <v>65</v>
      </c>
      <c r="L431" s="22" t="s">
        <v>67</v>
      </c>
      <c r="M431" s="22" t="s">
        <v>68</v>
      </c>
    </row>
    <row r="432" spans="1:13">
      <c r="A432" s="22" t="s">
        <v>1117</v>
      </c>
      <c r="B432" s="22" t="s">
        <v>1118</v>
      </c>
      <c r="C432" s="22" t="s">
        <v>213</v>
      </c>
      <c r="D432" s="22" t="s">
        <v>205</v>
      </c>
      <c r="E432" s="22">
        <v>2</v>
      </c>
      <c r="F432" s="22">
        <v>45</v>
      </c>
      <c r="G432" s="22" t="s">
        <v>1098</v>
      </c>
      <c r="H432" s="22" t="s">
        <v>145</v>
      </c>
      <c r="I432" s="22" t="s">
        <v>238</v>
      </c>
      <c r="J432" s="22" t="s">
        <v>205</v>
      </c>
      <c r="K432" s="22" t="s">
        <v>65</v>
      </c>
      <c r="L432" s="22" t="s">
        <v>67</v>
      </c>
      <c r="M432" s="22" t="s">
        <v>68</v>
      </c>
    </row>
    <row r="433" spans="1:13">
      <c r="A433" s="22" t="s">
        <v>1119</v>
      </c>
      <c r="B433" s="22" t="s">
        <v>1120</v>
      </c>
      <c r="C433" s="22" t="s">
        <v>213</v>
      </c>
      <c r="D433" s="22" t="s">
        <v>205</v>
      </c>
      <c r="E433" s="22">
        <v>9</v>
      </c>
      <c r="F433" s="22">
        <v>7</v>
      </c>
      <c r="G433" s="22" t="s">
        <v>1098</v>
      </c>
      <c r="H433" s="22" t="s">
        <v>145</v>
      </c>
      <c r="I433" s="22" t="s">
        <v>241</v>
      </c>
      <c r="J433" s="22" t="s">
        <v>205</v>
      </c>
      <c r="K433" s="22" t="s">
        <v>65</v>
      </c>
      <c r="L433" s="22" t="s">
        <v>67</v>
      </c>
      <c r="M433" s="22" t="s">
        <v>68</v>
      </c>
    </row>
    <row r="434" spans="1:13">
      <c r="A434" s="22" t="s">
        <v>1121</v>
      </c>
      <c r="B434" s="22" t="s">
        <v>1122</v>
      </c>
      <c r="C434" s="22" t="s">
        <v>213</v>
      </c>
      <c r="D434" s="22" t="s">
        <v>205</v>
      </c>
      <c r="E434" s="22">
        <v>7</v>
      </c>
      <c r="F434" s="22">
        <v>17</v>
      </c>
      <c r="G434" s="22" t="s">
        <v>1098</v>
      </c>
      <c r="H434" s="22" t="s">
        <v>145</v>
      </c>
      <c r="I434" s="22" t="s">
        <v>244</v>
      </c>
      <c r="J434" s="22" t="s">
        <v>205</v>
      </c>
      <c r="K434" s="22" t="s">
        <v>65</v>
      </c>
      <c r="L434" s="22" t="s">
        <v>67</v>
      </c>
      <c r="M434" s="22" t="s">
        <v>68</v>
      </c>
    </row>
    <row r="435" spans="1:13">
      <c r="A435" s="22" t="s">
        <v>1123</v>
      </c>
      <c r="B435" s="22" t="s">
        <v>1124</v>
      </c>
      <c r="C435" s="22" t="s">
        <v>213</v>
      </c>
      <c r="D435" s="22" t="s">
        <v>205</v>
      </c>
      <c r="E435" s="22">
        <v>6</v>
      </c>
      <c r="F435" s="22">
        <v>26</v>
      </c>
      <c r="G435" s="22" t="s">
        <v>1098</v>
      </c>
      <c r="H435" s="22" t="s">
        <v>145</v>
      </c>
      <c r="I435" s="22" t="s">
        <v>247</v>
      </c>
      <c r="J435" s="22" t="s">
        <v>205</v>
      </c>
      <c r="K435" s="22" t="s">
        <v>65</v>
      </c>
      <c r="L435" s="22" t="s">
        <v>67</v>
      </c>
      <c r="M435" s="22" t="s">
        <v>68</v>
      </c>
    </row>
    <row r="436" spans="1:13">
      <c r="A436" s="22" t="s">
        <v>1125</v>
      </c>
      <c r="B436" s="22" t="s">
        <v>1126</v>
      </c>
      <c r="C436" s="22" t="s">
        <v>213</v>
      </c>
      <c r="D436" s="22" t="s">
        <v>205</v>
      </c>
      <c r="E436" s="22">
        <v>5</v>
      </c>
      <c r="F436" s="22">
        <v>42</v>
      </c>
      <c r="G436" s="22" t="s">
        <v>1098</v>
      </c>
      <c r="H436" s="22" t="s">
        <v>145</v>
      </c>
      <c r="I436" s="22" t="s">
        <v>250</v>
      </c>
      <c r="J436" s="22" t="s">
        <v>205</v>
      </c>
      <c r="K436" s="22" t="s">
        <v>65</v>
      </c>
      <c r="L436" s="22" t="s">
        <v>67</v>
      </c>
      <c r="M436" s="22" t="s">
        <v>68</v>
      </c>
    </row>
    <row r="437" spans="1:13">
      <c r="A437" s="22" t="s">
        <v>1127</v>
      </c>
      <c r="B437" s="22" t="s">
        <v>1128</v>
      </c>
      <c r="C437" s="22" t="s">
        <v>213</v>
      </c>
      <c r="D437" s="22" t="s">
        <v>205</v>
      </c>
      <c r="E437" s="22">
        <v>3</v>
      </c>
      <c r="F437" s="22">
        <v>17</v>
      </c>
      <c r="G437" s="22" t="s">
        <v>1098</v>
      </c>
      <c r="H437" s="22" t="s">
        <v>145</v>
      </c>
      <c r="I437" s="22" t="s">
        <v>253</v>
      </c>
      <c r="J437" s="22" t="s">
        <v>205</v>
      </c>
      <c r="K437" s="22" t="s">
        <v>65</v>
      </c>
      <c r="L437" s="22" t="s">
        <v>67</v>
      </c>
      <c r="M437" s="22" t="s">
        <v>68</v>
      </c>
    </row>
    <row r="438" spans="1:13">
      <c r="A438" s="22" t="s">
        <v>1129</v>
      </c>
      <c r="B438" s="22" t="s">
        <v>1130</v>
      </c>
      <c r="C438" s="22" t="s">
        <v>213</v>
      </c>
      <c r="D438" s="22" t="s">
        <v>205</v>
      </c>
      <c r="E438" s="22">
        <v>1</v>
      </c>
      <c r="F438" s="22">
        <v>3</v>
      </c>
      <c r="G438" s="22" t="s">
        <v>1098</v>
      </c>
      <c r="H438" s="22" t="s">
        <v>145</v>
      </c>
      <c r="I438" s="22" t="s">
        <v>256</v>
      </c>
      <c r="J438" s="22" t="s">
        <v>205</v>
      </c>
      <c r="K438" s="22" t="s">
        <v>65</v>
      </c>
      <c r="L438" s="22" t="s">
        <v>67</v>
      </c>
      <c r="M438" s="22" t="s">
        <v>68</v>
      </c>
    </row>
    <row r="439" spans="1:13">
      <c r="A439" s="22" t="s">
        <v>1131</v>
      </c>
      <c r="B439" s="22" t="s">
        <v>1132</v>
      </c>
      <c r="C439" s="22" t="s">
        <v>204</v>
      </c>
      <c r="D439" s="22" t="s">
        <v>205</v>
      </c>
      <c r="E439" s="22">
        <v>2</v>
      </c>
      <c r="F439" s="22">
        <v>29</v>
      </c>
      <c r="G439" s="22" t="s">
        <v>1098</v>
      </c>
      <c r="H439" s="22" t="s">
        <v>145</v>
      </c>
      <c r="I439" s="22" t="s">
        <v>259</v>
      </c>
      <c r="J439" s="22" t="s">
        <v>205</v>
      </c>
      <c r="K439" s="22" t="s">
        <v>65</v>
      </c>
      <c r="L439" s="22" t="s">
        <v>67</v>
      </c>
      <c r="M439" s="22" t="s">
        <v>68</v>
      </c>
    </row>
    <row r="440" spans="1:13">
      <c r="A440" s="22" t="s">
        <v>1133</v>
      </c>
      <c r="B440" s="22" t="s">
        <v>1134</v>
      </c>
      <c r="C440" s="22" t="s">
        <v>213</v>
      </c>
      <c r="D440" s="22" t="s">
        <v>205</v>
      </c>
      <c r="E440" s="22">
        <v>5</v>
      </c>
      <c r="F440" s="22">
        <v>45</v>
      </c>
      <c r="G440" s="22" t="s">
        <v>1098</v>
      </c>
      <c r="H440" s="22" t="s">
        <v>145</v>
      </c>
      <c r="I440" s="22" t="s">
        <v>262</v>
      </c>
      <c r="J440" s="22" t="s">
        <v>205</v>
      </c>
      <c r="K440" s="22" t="s">
        <v>65</v>
      </c>
      <c r="L440" s="22" t="s">
        <v>67</v>
      </c>
      <c r="M440" s="22" t="s">
        <v>68</v>
      </c>
    </row>
    <row r="441" spans="1:13">
      <c r="A441" s="22" t="s">
        <v>1135</v>
      </c>
      <c r="B441" s="22" t="s">
        <v>1136</v>
      </c>
      <c r="C441" s="22" t="s">
        <v>204</v>
      </c>
      <c r="D441" s="22" t="s">
        <v>205</v>
      </c>
      <c r="E441" s="22">
        <v>5</v>
      </c>
      <c r="F441" s="22">
        <v>29</v>
      </c>
      <c r="G441" s="22" t="s">
        <v>1098</v>
      </c>
      <c r="H441" s="22" t="s">
        <v>145</v>
      </c>
      <c r="I441" s="22" t="s">
        <v>265</v>
      </c>
      <c r="J441" s="22" t="s">
        <v>205</v>
      </c>
      <c r="K441" s="22" t="s">
        <v>65</v>
      </c>
      <c r="L441" s="22" t="s">
        <v>67</v>
      </c>
      <c r="M441" s="22" t="s">
        <v>68</v>
      </c>
    </row>
    <row r="442" spans="1:13">
      <c r="A442" s="22" t="s">
        <v>1137</v>
      </c>
      <c r="B442" s="22" t="s">
        <v>1138</v>
      </c>
      <c r="C442" s="22" t="s">
        <v>204</v>
      </c>
      <c r="D442" s="22" t="s">
        <v>205</v>
      </c>
      <c r="E442" s="22">
        <v>4</v>
      </c>
      <c r="F442" s="22">
        <v>38</v>
      </c>
      <c r="G442" s="22" t="s">
        <v>1098</v>
      </c>
      <c r="H442" s="22" t="s">
        <v>145</v>
      </c>
      <c r="I442" s="22" t="s">
        <v>268</v>
      </c>
      <c r="J442" s="22" t="s">
        <v>205</v>
      </c>
      <c r="K442" s="22" t="s">
        <v>65</v>
      </c>
      <c r="L442" s="22" t="s">
        <v>67</v>
      </c>
      <c r="M442" s="22" t="s">
        <v>68</v>
      </c>
    </row>
    <row r="443" spans="1:13">
      <c r="A443" s="22" t="s">
        <v>1139</v>
      </c>
      <c r="B443" s="22" t="s">
        <v>1140</v>
      </c>
      <c r="C443" s="22" t="s">
        <v>213</v>
      </c>
      <c r="D443" s="22" t="s">
        <v>205</v>
      </c>
      <c r="E443" s="22">
        <v>1</v>
      </c>
      <c r="F443" s="22">
        <v>31</v>
      </c>
      <c r="G443" s="22" t="s">
        <v>1098</v>
      </c>
      <c r="H443" s="22" t="s">
        <v>145</v>
      </c>
      <c r="I443" s="22" t="s">
        <v>271</v>
      </c>
      <c r="J443" s="22" t="s">
        <v>205</v>
      </c>
      <c r="K443" s="22" t="s">
        <v>65</v>
      </c>
      <c r="L443" s="22" t="s">
        <v>67</v>
      </c>
      <c r="M443" s="22" t="s">
        <v>68</v>
      </c>
    </row>
    <row r="444" spans="1:13">
      <c r="A444" s="22" t="s">
        <v>1141</v>
      </c>
      <c r="B444" s="22" t="s">
        <v>1142</v>
      </c>
      <c r="C444" s="22" t="s">
        <v>213</v>
      </c>
      <c r="D444" s="22" t="s">
        <v>205</v>
      </c>
      <c r="E444" s="22">
        <v>3</v>
      </c>
      <c r="F444" s="22">
        <v>36</v>
      </c>
      <c r="G444" s="22" t="s">
        <v>1098</v>
      </c>
      <c r="H444" s="22" t="s">
        <v>145</v>
      </c>
      <c r="I444" s="22" t="s">
        <v>274</v>
      </c>
      <c r="J444" s="22" t="s">
        <v>205</v>
      </c>
      <c r="K444" s="22" t="s">
        <v>65</v>
      </c>
      <c r="L444" s="22" t="s">
        <v>67</v>
      </c>
      <c r="M444" s="22" t="s">
        <v>68</v>
      </c>
    </row>
    <row r="445" spans="1:13">
      <c r="A445" s="22" t="s">
        <v>1143</v>
      </c>
      <c r="B445" s="22" t="s">
        <v>1144</v>
      </c>
      <c r="C445" s="22" t="s">
        <v>213</v>
      </c>
      <c r="D445" s="22" t="s">
        <v>205</v>
      </c>
      <c r="E445" s="22">
        <v>5</v>
      </c>
      <c r="F445" s="22">
        <v>2</v>
      </c>
      <c r="G445" s="22" t="s">
        <v>1098</v>
      </c>
      <c r="H445" s="22" t="s">
        <v>145</v>
      </c>
      <c r="I445" s="22" t="s">
        <v>277</v>
      </c>
      <c r="J445" s="22" t="s">
        <v>205</v>
      </c>
      <c r="K445" s="22" t="s">
        <v>65</v>
      </c>
      <c r="L445" s="22" t="s">
        <v>67</v>
      </c>
      <c r="M445" s="22" t="s">
        <v>68</v>
      </c>
    </row>
    <row r="446" spans="1:13">
      <c r="A446" s="22" t="s">
        <v>1145</v>
      </c>
      <c r="B446" s="22" t="s">
        <v>1146</v>
      </c>
      <c r="C446" s="22" t="s">
        <v>204</v>
      </c>
      <c r="D446" s="22" t="s">
        <v>205</v>
      </c>
      <c r="E446" s="22">
        <v>4</v>
      </c>
      <c r="F446" s="22">
        <v>41</v>
      </c>
      <c r="G446" s="22" t="s">
        <v>1098</v>
      </c>
      <c r="H446" s="22" t="s">
        <v>145</v>
      </c>
      <c r="I446" s="22" t="s">
        <v>280</v>
      </c>
      <c r="J446" s="22" t="s">
        <v>205</v>
      </c>
      <c r="K446" s="22" t="s">
        <v>65</v>
      </c>
      <c r="L446" s="22" t="s">
        <v>67</v>
      </c>
      <c r="M446" s="22" t="s">
        <v>68</v>
      </c>
    </row>
    <row r="447" spans="1:13">
      <c r="A447" s="22" t="s">
        <v>1147</v>
      </c>
      <c r="B447" s="22" t="s">
        <v>1148</v>
      </c>
      <c r="C447" s="22" t="s">
        <v>204</v>
      </c>
      <c r="D447" s="22" t="s">
        <v>205</v>
      </c>
      <c r="E447" s="22">
        <v>6</v>
      </c>
      <c r="F447" s="22">
        <v>40</v>
      </c>
      <c r="G447" s="22" t="s">
        <v>1098</v>
      </c>
      <c r="H447" s="22" t="s">
        <v>145</v>
      </c>
      <c r="I447" s="22" t="s">
        <v>283</v>
      </c>
      <c r="J447" s="22" t="s">
        <v>205</v>
      </c>
      <c r="K447" s="22" t="s">
        <v>65</v>
      </c>
      <c r="L447" s="22" t="s">
        <v>67</v>
      </c>
      <c r="M447" s="22" t="s">
        <v>68</v>
      </c>
    </row>
    <row r="448" spans="1:13">
      <c r="A448" s="22" t="s">
        <v>1149</v>
      </c>
      <c r="B448" s="22" t="s">
        <v>1150</v>
      </c>
      <c r="C448" s="22" t="s">
        <v>204</v>
      </c>
      <c r="D448" s="22" t="s">
        <v>205</v>
      </c>
      <c r="E448" s="22">
        <v>2</v>
      </c>
      <c r="F448" s="22">
        <v>25</v>
      </c>
      <c r="G448" s="22" t="s">
        <v>1098</v>
      </c>
      <c r="H448" s="22" t="s">
        <v>145</v>
      </c>
      <c r="I448" s="22" t="s">
        <v>286</v>
      </c>
      <c r="J448" s="22" t="s">
        <v>205</v>
      </c>
      <c r="K448" s="22" t="s">
        <v>65</v>
      </c>
      <c r="L448" s="22" t="s">
        <v>67</v>
      </c>
      <c r="M448" s="22" t="s">
        <v>68</v>
      </c>
    </row>
    <row r="449" spans="1:13">
      <c r="A449" s="22" t="s">
        <v>1151</v>
      </c>
      <c r="B449" s="22" t="s">
        <v>1152</v>
      </c>
      <c r="C449" s="22" t="s">
        <v>213</v>
      </c>
      <c r="D449" s="22" t="s">
        <v>205</v>
      </c>
      <c r="E449" s="22">
        <v>3</v>
      </c>
      <c r="F449" s="22">
        <v>24</v>
      </c>
      <c r="G449" s="22" t="s">
        <v>1098</v>
      </c>
      <c r="H449" s="22" t="s">
        <v>145</v>
      </c>
      <c r="I449" s="22" t="s">
        <v>289</v>
      </c>
      <c r="J449" s="22" t="s">
        <v>205</v>
      </c>
      <c r="K449" s="22" t="s">
        <v>65</v>
      </c>
      <c r="L449" s="22" t="s">
        <v>67</v>
      </c>
      <c r="M449" s="22" t="s">
        <v>68</v>
      </c>
    </row>
    <row r="450" spans="1:13">
      <c r="A450" s="22" t="s">
        <v>1153</v>
      </c>
      <c r="B450" s="22" t="s">
        <v>1154</v>
      </c>
      <c r="C450" s="22" t="s">
        <v>213</v>
      </c>
      <c r="D450" s="22" t="s">
        <v>205</v>
      </c>
      <c r="E450" s="22">
        <v>9</v>
      </c>
      <c r="F450" s="22">
        <v>28</v>
      </c>
      <c r="G450" s="22" t="s">
        <v>1098</v>
      </c>
      <c r="H450" s="22" t="s">
        <v>145</v>
      </c>
      <c r="I450" s="22" t="s">
        <v>292</v>
      </c>
      <c r="J450" s="22" t="s">
        <v>205</v>
      </c>
      <c r="K450" s="22" t="s">
        <v>65</v>
      </c>
      <c r="L450" s="22" t="s">
        <v>67</v>
      </c>
      <c r="M450" s="22" t="s">
        <v>68</v>
      </c>
    </row>
    <row r="451" spans="1:13">
      <c r="A451" s="22" t="s">
        <v>1155</v>
      </c>
      <c r="B451" s="22" t="s">
        <v>1156</v>
      </c>
      <c r="C451" s="22" t="s">
        <v>213</v>
      </c>
      <c r="D451" s="22" t="s">
        <v>205</v>
      </c>
      <c r="E451" s="22">
        <v>7</v>
      </c>
      <c r="F451" s="22">
        <v>37</v>
      </c>
      <c r="G451" s="22" t="s">
        <v>1098</v>
      </c>
      <c r="H451" s="22" t="s">
        <v>145</v>
      </c>
      <c r="I451" s="22" t="s">
        <v>295</v>
      </c>
      <c r="J451" s="22" t="s">
        <v>205</v>
      </c>
      <c r="K451" s="22" t="s">
        <v>65</v>
      </c>
      <c r="L451" s="22" t="s">
        <v>67</v>
      </c>
      <c r="M451" s="22" t="s">
        <v>68</v>
      </c>
    </row>
    <row r="452" spans="1:13">
      <c r="A452" s="22" t="s">
        <v>1157</v>
      </c>
      <c r="B452" s="22" t="s">
        <v>1158</v>
      </c>
      <c r="C452" s="22" t="s">
        <v>213</v>
      </c>
      <c r="D452" s="22" t="s">
        <v>205</v>
      </c>
      <c r="E452" s="22">
        <v>9</v>
      </c>
      <c r="F452" s="22">
        <v>34</v>
      </c>
      <c r="G452" s="22" t="s">
        <v>1098</v>
      </c>
      <c r="H452" s="22" t="s">
        <v>145</v>
      </c>
      <c r="I452" s="22" t="s">
        <v>298</v>
      </c>
      <c r="J452" s="22" t="s">
        <v>205</v>
      </c>
      <c r="K452" s="22" t="s">
        <v>65</v>
      </c>
      <c r="L452" s="22" t="s">
        <v>67</v>
      </c>
      <c r="M452" s="22" t="s">
        <v>68</v>
      </c>
    </row>
    <row r="453" spans="1:13">
      <c r="A453" s="22" t="s">
        <v>1159</v>
      </c>
      <c r="B453" s="22" t="s">
        <v>1160</v>
      </c>
      <c r="C453" s="22" t="s">
        <v>213</v>
      </c>
      <c r="D453" s="22" t="s">
        <v>205</v>
      </c>
      <c r="E453" s="22">
        <v>3</v>
      </c>
      <c r="F453" s="22">
        <v>25</v>
      </c>
      <c r="G453" s="22" t="s">
        <v>1098</v>
      </c>
      <c r="H453" s="22" t="s">
        <v>145</v>
      </c>
      <c r="I453" s="22" t="s">
        <v>301</v>
      </c>
      <c r="J453" s="22" t="s">
        <v>205</v>
      </c>
      <c r="K453" s="22" t="s">
        <v>65</v>
      </c>
      <c r="L453" s="22" t="s">
        <v>67</v>
      </c>
      <c r="M453" s="22" t="s">
        <v>68</v>
      </c>
    </row>
    <row r="454" spans="1:13">
      <c r="A454" s="22" t="s">
        <v>1161</v>
      </c>
      <c r="B454" s="22" t="s">
        <v>1162</v>
      </c>
      <c r="C454" s="22" t="s">
        <v>213</v>
      </c>
      <c r="D454" s="22" t="s">
        <v>205</v>
      </c>
      <c r="E454" s="22">
        <v>8</v>
      </c>
      <c r="F454" s="22">
        <v>12</v>
      </c>
      <c r="G454" s="22" t="s">
        <v>1098</v>
      </c>
      <c r="H454" s="22" t="s">
        <v>145</v>
      </c>
      <c r="I454" s="22" t="s">
        <v>304</v>
      </c>
      <c r="J454" s="22" t="s">
        <v>205</v>
      </c>
      <c r="K454" s="22" t="s">
        <v>65</v>
      </c>
      <c r="L454" s="22" t="s">
        <v>67</v>
      </c>
      <c r="M454" s="22" t="s">
        <v>68</v>
      </c>
    </row>
    <row r="455" spans="1:13">
      <c r="A455" s="22" t="s">
        <v>1163</v>
      </c>
      <c r="B455" s="22" t="s">
        <v>1164</v>
      </c>
      <c r="C455" s="22" t="s">
        <v>204</v>
      </c>
      <c r="D455" s="22" t="s">
        <v>205</v>
      </c>
      <c r="E455" s="22">
        <v>9</v>
      </c>
      <c r="F455" s="22">
        <v>24</v>
      </c>
      <c r="G455" s="22" t="s">
        <v>1098</v>
      </c>
      <c r="H455" s="22" t="s">
        <v>145</v>
      </c>
      <c r="I455" s="22" t="s">
        <v>307</v>
      </c>
      <c r="J455" s="22" t="s">
        <v>205</v>
      </c>
      <c r="K455" s="22" t="s">
        <v>65</v>
      </c>
      <c r="L455" s="22" t="s">
        <v>67</v>
      </c>
      <c r="M455" s="22" t="s">
        <v>68</v>
      </c>
    </row>
    <row r="456" spans="1:13">
      <c r="A456" s="22" t="s">
        <v>1165</v>
      </c>
      <c r="B456" s="22" t="s">
        <v>1166</v>
      </c>
      <c r="C456" s="22" t="s">
        <v>204</v>
      </c>
      <c r="D456" s="22" t="s">
        <v>205</v>
      </c>
      <c r="E456" s="22">
        <v>7</v>
      </c>
      <c r="F456" s="22">
        <v>33</v>
      </c>
      <c r="G456" s="22" t="s">
        <v>1098</v>
      </c>
      <c r="H456" s="22" t="s">
        <v>145</v>
      </c>
      <c r="I456" s="22" t="s">
        <v>310</v>
      </c>
      <c r="J456" s="22" t="s">
        <v>205</v>
      </c>
      <c r="K456" s="22" t="s">
        <v>65</v>
      </c>
      <c r="L456" s="22" t="s">
        <v>67</v>
      </c>
      <c r="M456" s="22" t="s">
        <v>68</v>
      </c>
    </row>
    <row r="457" spans="1:13">
      <c r="A457" s="22" t="s">
        <v>1167</v>
      </c>
      <c r="B457" s="22" t="s">
        <v>1168</v>
      </c>
      <c r="C457" s="22" t="s">
        <v>213</v>
      </c>
      <c r="D457" s="22" t="s">
        <v>205</v>
      </c>
      <c r="E457" s="22">
        <v>5</v>
      </c>
      <c r="F457" s="22">
        <v>48</v>
      </c>
      <c r="G457" s="22" t="s">
        <v>1098</v>
      </c>
      <c r="H457" s="22" t="s">
        <v>145</v>
      </c>
      <c r="I457" s="22" t="s">
        <v>313</v>
      </c>
      <c r="J457" s="22" t="s">
        <v>205</v>
      </c>
      <c r="K457" s="22" t="s">
        <v>65</v>
      </c>
      <c r="L457" s="22" t="s">
        <v>67</v>
      </c>
      <c r="M457" s="22" t="s">
        <v>68</v>
      </c>
    </row>
    <row r="458" spans="1:13">
      <c r="A458" s="22" t="s">
        <v>1169</v>
      </c>
      <c r="B458" s="22" t="s">
        <v>1170</v>
      </c>
      <c r="C458" s="22" t="s">
        <v>213</v>
      </c>
      <c r="D458" s="22" t="s">
        <v>205</v>
      </c>
      <c r="E458" s="22">
        <v>6</v>
      </c>
      <c r="F458" s="22">
        <v>51</v>
      </c>
      <c r="G458" s="22" t="s">
        <v>1098</v>
      </c>
      <c r="H458" s="22" t="s">
        <v>145</v>
      </c>
      <c r="I458" s="22" t="s">
        <v>316</v>
      </c>
      <c r="J458" s="22" t="s">
        <v>205</v>
      </c>
      <c r="K458" s="22" t="s">
        <v>65</v>
      </c>
      <c r="L458" s="22" t="s">
        <v>67</v>
      </c>
      <c r="M458" s="22" t="s">
        <v>68</v>
      </c>
    </row>
    <row r="459" spans="1:13">
      <c r="A459" s="22" t="s">
        <v>1171</v>
      </c>
      <c r="B459" s="22" t="s">
        <v>1172</v>
      </c>
      <c r="C459" s="22" t="s">
        <v>204</v>
      </c>
      <c r="D459" s="22" t="s">
        <v>205</v>
      </c>
      <c r="E459" s="22">
        <v>6</v>
      </c>
      <c r="F459" s="22">
        <v>32</v>
      </c>
      <c r="G459" s="22" t="s">
        <v>1098</v>
      </c>
      <c r="H459" s="22" t="s">
        <v>145</v>
      </c>
      <c r="I459" s="22" t="s">
        <v>319</v>
      </c>
      <c r="J459" s="22" t="s">
        <v>205</v>
      </c>
      <c r="K459" s="22" t="s">
        <v>65</v>
      </c>
      <c r="L459" s="22" t="s">
        <v>67</v>
      </c>
      <c r="M459" s="22" t="s">
        <v>68</v>
      </c>
    </row>
    <row r="460" spans="1:13">
      <c r="A460" s="22" t="s">
        <v>1173</v>
      </c>
      <c r="B460" s="22" t="s">
        <v>1174</v>
      </c>
      <c r="C460" s="22" t="s">
        <v>204</v>
      </c>
      <c r="D460" s="22" t="s">
        <v>205</v>
      </c>
      <c r="E460" s="22">
        <v>2</v>
      </c>
      <c r="F460" s="22">
        <v>9</v>
      </c>
      <c r="G460" s="22" t="s">
        <v>1098</v>
      </c>
      <c r="H460" s="22" t="s">
        <v>145</v>
      </c>
      <c r="I460" s="22" t="s">
        <v>322</v>
      </c>
      <c r="J460" s="22" t="s">
        <v>205</v>
      </c>
      <c r="K460" s="22" t="s">
        <v>65</v>
      </c>
      <c r="L460" s="22" t="s">
        <v>67</v>
      </c>
      <c r="M460" s="22" t="s">
        <v>68</v>
      </c>
    </row>
    <row r="461" spans="1:13">
      <c r="A461" s="22" t="s">
        <v>1175</v>
      </c>
      <c r="B461" s="22" t="s">
        <v>1176</v>
      </c>
      <c r="C461" s="22" t="s">
        <v>213</v>
      </c>
      <c r="D461" s="22" t="s">
        <v>205</v>
      </c>
      <c r="E461" s="22">
        <v>4</v>
      </c>
      <c r="F461" s="22">
        <v>46</v>
      </c>
      <c r="G461" s="22" t="s">
        <v>1098</v>
      </c>
      <c r="H461" s="22" t="s">
        <v>145</v>
      </c>
      <c r="I461" s="22" t="s">
        <v>325</v>
      </c>
      <c r="J461" s="22" t="s">
        <v>205</v>
      </c>
      <c r="K461" s="22" t="s">
        <v>65</v>
      </c>
      <c r="L461" s="22" t="s">
        <v>67</v>
      </c>
      <c r="M461" s="22" t="s">
        <v>68</v>
      </c>
    </row>
    <row r="462" spans="1:13">
      <c r="A462" s="22" t="s">
        <v>1177</v>
      </c>
      <c r="B462" s="22" t="s">
        <v>1178</v>
      </c>
      <c r="C462" s="22" t="s">
        <v>213</v>
      </c>
      <c r="D462" s="22" t="s">
        <v>205</v>
      </c>
      <c r="E462" s="22">
        <v>8</v>
      </c>
      <c r="F462" s="22">
        <v>45</v>
      </c>
      <c r="G462" s="22" t="s">
        <v>1098</v>
      </c>
      <c r="H462" s="22" t="s">
        <v>145</v>
      </c>
      <c r="I462" s="22" t="s">
        <v>328</v>
      </c>
      <c r="J462" s="22" t="s">
        <v>205</v>
      </c>
      <c r="K462" s="22" t="s">
        <v>65</v>
      </c>
      <c r="L462" s="22" t="s">
        <v>67</v>
      </c>
      <c r="M462" s="22" t="s">
        <v>68</v>
      </c>
    </row>
    <row r="463" spans="1:13">
      <c r="A463" s="22" t="s">
        <v>1179</v>
      </c>
      <c r="B463" s="22" t="s">
        <v>1180</v>
      </c>
      <c r="C463" s="22" t="s">
        <v>213</v>
      </c>
      <c r="D463" s="22" t="s">
        <v>205</v>
      </c>
      <c r="E463" s="22">
        <v>9</v>
      </c>
      <c r="F463" s="22">
        <v>41</v>
      </c>
      <c r="G463" s="22" t="s">
        <v>1098</v>
      </c>
      <c r="H463" s="22" t="s">
        <v>145</v>
      </c>
      <c r="I463" s="22" t="s">
        <v>331</v>
      </c>
      <c r="J463" s="22" t="s">
        <v>205</v>
      </c>
      <c r="K463" s="22" t="s">
        <v>65</v>
      </c>
      <c r="L463" s="22" t="s">
        <v>67</v>
      </c>
      <c r="M463" s="22" t="s">
        <v>68</v>
      </c>
    </row>
    <row r="464" spans="1:13">
      <c r="A464" s="22" t="s">
        <v>1181</v>
      </c>
      <c r="B464" s="22" t="s">
        <v>1182</v>
      </c>
      <c r="C464" s="22" t="s">
        <v>204</v>
      </c>
      <c r="D464" s="22" t="s">
        <v>1183</v>
      </c>
      <c r="E464" s="22">
        <v>11</v>
      </c>
      <c r="F464" s="22">
        <v>13</v>
      </c>
      <c r="G464" s="22" t="s">
        <v>1184</v>
      </c>
      <c r="H464" s="22" t="s">
        <v>147</v>
      </c>
      <c r="I464" s="22" t="s">
        <v>207</v>
      </c>
      <c r="J464" s="22" t="s">
        <v>1183</v>
      </c>
      <c r="K464" s="22" t="s">
        <v>65</v>
      </c>
      <c r="L464" s="22" t="s">
        <v>67</v>
      </c>
      <c r="M464" s="22" t="s">
        <v>69</v>
      </c>
    </row>
    <row r="465" spans="1:13">
      <c r="A465" s="22" t="s">
        <v>1185</v>
      </c>
      <c r="B465" s="22" t="s">
        <v>1186</v>
      </c>
      <c r="C465" s="22" t="s">
        <v>204</v>
      </c>
      <c r="D465" s="22" t="s">
        <v>1183</v>
      </c>
      <c r="E465" s="22">
        <v>10</v>
      </c>
      <c r="F465" s="22">
        <v>47</v>
      </c>
      <c r="G465" s="22" t="s">
        <v>1184</v>
      </c>
      <c r="H465" s="22" t="s">
        <v>147</v>
      </c>
      <c r="I465" s="22" t="s">
        <v>210</v>
      </c>
      <c r="J465" s="22" t="s">
        <v>1183</v>
      </c>
      <c r="K465" s="22" t="s">
        <v>65</v>
      </c>
      <c r="L465" s="22" t="s">
        <v>67</v>
      </c>
      <c r="M465" s="22" t="s">
        <v>69</v>
      </c>
    </row>
    <row r="466" spans="1:13">
      <c r="A466" s="22" t="s">
        <v>1187</v>
      </c>
      <c r="B466" s="22" t="s">
        <v>1188</v>
      </c>
      <c r="C466" s="22" t="s">
        <v>213</v>
      </c>
      <c r="D466" s="22" t="s">
        <v>1183</v>
      </c>
      <c r="E466" s="22">
        <v>11</v>
      </c>
      <c r="F466" s="22">
        <v>11</v>
      </c>
      <c r="G466" s="22" t="s">
        <v>1184</v>
      </c>
      <c r="H466" s="22" t="s">
        <v>147</v>
      </c>
      <c r="I466" s="22" t="s">
        <v>214</v>
      </c>
      <c r="J466" s="22" t="s">
        <v>1183</v>
      </c>
      <c r="K466" s="22" t="s">
        <v>65</v>
      </c>
      <c r="L466" s="22" t="s">
        <v>67</v>
      </c>
      <c r="M466" s="22" t="s">
        <v>69</v>
      </c>
    </row>
    <row r="467" spans="1:13">
      <c r="A467" s="22" t="s">
        <v>1189</v>
      </c>
      <c r="B467" s="22" t="s">
        <v>1190</v>
      </c>
      <c r="C467" s="22" t="s">
        <v>204</v>
      </c>
      <c r="D467" s="22" t="s">
        <v>1183</v>
      </c>
      <c r="E467" s="22">
        <v>10</v>
      </c>
      <c r="F467" s="22">
        <v>39</v>
      </c>
      <c r="G467" s="22" t="s">
        <v>1184</v>
      </c>
      <c r="H467" s="22" t="s">
        <v>147</v>
      </c>
      <c r="I467" s="22" t="s">
        <v>217</v>
      </c>
      <c r="J467" s="22" t="s">
        <v>1183</v>
      </c>
      <c r="K467" s="22" t="s">
        <v>65</v>
      </c>
      <c r="L467" s="22" t="s">
        <v>67</v>
      </c>
      <c r="M467" s="22" t="s">
        <v>69</v>
      </c>
    </row>
    <row r="468" spans="1:13">
      <c r="A468" s="22" t="s">
        <v>1191</v>
      </c>
      <c r="B468" s="22" t="s">
        <v>1192</v>
      </c>
      <c r="C468" s="22" t="s">
        <v>204</v>
      </c>
      <c r="D468" s="22" t="s">
        <v>1183</v>
      </c>
      <c r="E468" s="22">
        <v>10</v>
      </c>
      <c r="F468" s="22">
        <v>16</v>
      </c>
      <c r="G468" s="22" t="s">
        <v>1184</v>
      </c>
      <c r="H468" s="22" t="s">
        <v>147</v>
      </c>
      <c r="I468" s="22" t="s">
        <v>220</v>
      </c>
      <c r="J468" s="22" t="s">
        <v>1183</v>
      </c>
      <c r="K468" s="22" t="s">
        <v>65</v>
      </c>
      <c r="L468" s="22" t="s">
        <v>67</v>
      </c>
      <c r="M468" s="22" t="s">
        <v>69</v>
      </c>
    </row>
    <row r="469" spans="1:13">
      <c r="A469" s="22" t="s">
        <v>1193</v>
      </c>
      <c r="B469" s="22" t="s">
        <v>1194</v>
      </c>
      <c r="C469" s="22" t="s">
        <v>213</v>
      </c>
      <c r="D469" s="22" t="s">
        <v>1183</v>
      </c>
      <c r="E469" s="22">
        <v>10</v>
      </c>
      <c r="F469" s="22">
        <v>23</v>
      </c>
      <c r="G469" s="22" t="s">
        <v>1184</v>
      </c>
      <c r="H469" s="22" t="s">
        <v>147</v>
      </c>
      <c r="I469" s="22" t="s">
        <v>223</v>
      </c>
      <c r="J469" s="22" t="s">
        <v>1183</v>
      </c>
      <c r="K469" s="22" t="s">
        <v>65</v>
      </c>
      <c r="L469" s="22" t="s">
        <v>67</v>
      </c>
      <c r="M469" s="22" t="s">
        <v>69</v>
      </c>
    </row>
    <row r="470" spans="1:13">
      <c r="A470" s="22" t="s">
        <v>1195</v>
      </c>
      <c r="B470" s="22" t="s">
        <v>1196</v>
      </c>
      <c r="C470" s="22" t="s">
        <v>204</v>
      </c>
      <c r="D470" s="22" t="s">
        <v>1183</v>
      </c>
      <c r="E470" s="22">
        <v>10</v>
      </c>
      <c r="F470" s="22">
        <v>20</v>
      </c>
      <c r="G470" s="22" t="s">
        <v>1184</v>
      </c>
      <c r="H470" s="22" t="s">
        <v>147</v>
      </c>
      <c r="I470" s="22" t="s">
        <v>226</v>
      </c>
      <c r="J470" s="22" t="s">
        <v>1183</v>
      </c>
      <c r="K470" s="22" t="s">
        <v>65</v>
      </c>
      <c r="L470" s="22" t="s">
        <v>67</v>
      </c>
      <c r="M470" s="22" t="s">
        <v>69</v>
      </c>
    </row>
    <row r="471" spans="1:13">
      <c r="A471" s="22" t="s">
        <v>1197</v>
      </c>
      <c r="B471" s="22" t="s">
        <v>1198</v>
      </c>
      <c r="C471" s="22" t="s">
        <v>213</v>
      </c>
      <c r="D471" s="22" t="s">
        <v>1183</v>
      </c>
      <c r="E471" s="22">
        <v>11</v>
      </c>
      <c r="F471" s="22">
        <v>37</v>
      </c>
      <c r="G471" s="22" t="s">
        <v>1184</v>
      </c>
      <c r="H471" s="22" t="s">
        <v>147</v>
      </c>
      <c r="I471" s="22" t="s">
        <v>229</v>
      </c>
      <c r="J471" s="22" t="s">
        <v>1183</v>
      </c>
      <c r="K471" s="22" t="s">
        <v>65</v>
      </c>
      <c r="L471" s="22" t="s">
        <v>67</v>
      </c>
      <c r="M471" s="22" t="s">
        <v>69</v>
      </c>
    </row>
    <row r="472" spans="1:13">
      <c r="A472" s="22" t="s">
        <v>1199</v>
      </c>
      <c r="B472" s="22" t="s">
        <v>566</v>
      </c>
      <c r="C472" s="22" t="s">
        <v>213</v>
      </c>
      <c r="D472" s="22" t="s">
        <v>1183</v>
      </c>
      <c r="E472" s="22">
        <v>11</v>
      </c>
      <c r="F472" s="22">
        <v>17</v>
      </c>
      <c r="G472" s="22" t="s">
        <v>1184</v>
      </c>
      <c r="H472" s="22" t="s">
        <v>147</v>
      </c>
      <c r="I472" s="22" t="s">
        <v>232</v>
      </c>
      <c r="J472" s="22" t="s">
        <v>1183</v>
      </c>
      <c r="K472" s="22" t="s">
        <v>65</v>
      </c>
      <c r="L472" s="22" t="s">
        <v>67</v>
      </c>
      <c r="M472" s="22" t="s">
        <v>69</v>
      </c>
    </row>
    <row r="473" spans="1:13">
      <c r="A473" s="22" t="s">
        <v>1200</v>
      </c>
      <c r="B473" s="22" t="s">
        <v>1201</v>
      </c>
      <c r="C473" s="22" t="s">
        <v>213</v>
      </c>
      <c r="D473" s="22" t="s">
        <v>1183</v>
      </c>
      <c r="E473" s="22">
        <v>10</v>
      </c>
      <c r="F473" s="22">
        <v>6</v>
      </c>
      <c r="G473" s="22" t="s">
        <v>1184</v>
      </c>
      <c r="H473" s="22" t="s">
        <v>147</v>
      </c>
      <c r="I473" s="22" t="s">
        <v>235</v>
      </c>
      <c r="J473" s="22" t="s">
        <v>1183</v>
      </c>
      <c r="K473" s="22" t="s">
        <v>65</v>
      </c>
      <c r="L473" s="22" t="s">
        <v>67</v>
      </c>
      <c r="M473" s="22" t="s">
        <v>69</v>
      </c>
    </row>
    <row r="474" spans="1:13">
      <c r="A474" s="22" t="s">
        <v>1202</v>
      </c>
      <c r="B474" s="22" t="s">
        <v>1203</v>
      </c>
      <c r="C474" s="22" t="s">
        <v>204</v>
      </c>
      <c r="D474" s="22" t="s">
        <v>1183</v>
      </c>
      <c r="E474" s="22">
        <v>11</v>
      </c>
      <c r="F474" s="22">
        <v>34</v>
      </c>
      <c r="G474" s="22" t="s">
        <v>1184</v>
      </c>
      <c r="H474" s="22" t="s">
        <v>147</v>
      </c>
      <c r="I474" s="22" t="s">
        <v>238</v>
      </c>
      <c r="J474" s="22" t="s">
        <v>1183</v>
      </c>
      <c r="K474" s="22" t="s">
        <v>65</v>
      </c>
      <c r="L474" s="22" t="s">
        <v>67</v>
      </c>
      <c r="M474" s="22" t="s">
        <v>69</v>
      </c>
    </row>
    <row r="475" spans="1:13">
      <c r="A475" s="22" t="s">
        <v>1204</v>
      </c>
      <c r="B475" s="22" t="s">
        <v>1205</v>
      </c>
      <c r="C475" s="22" t="s">
        <v>213</v>
      </c>
      <c r="D475" s="22" t="s">
        <v>1183</v>
      </c>
      <c r="E475" s="22">
        <v>11</v>
      </c>
      <c r="F475" s="22">
        <v>36</v>
      </c>
      <c r="G475" s="22" t="s">
        <v>1184</v>
      </c>
      <c r="H475" s="22" t="s">
        <v>147</v>
      </c>
      <c r="I475" s="22" t="s">
        <v>241</v>
      </c>
      <c r="J475" s="22" t="s">
        <v>1183</v>
      </c>
      <c r="K475" s="22" t="s">
        <v>65</v>
      </c>
      <c r="L475" s="22" t="s">
        <v>67</v>
      </c>
      <c r="M475" s="22" t="s">
        <v>69</v>
      </c>
    </row>
    <row r="476" spans="1:13">
      <c r="A476" s="22" t="s">
        <v>1206</v>
      </c>
      <c r="B476" s="22" t="s">
        <v>1207</v>
      </c>
      <c r="C476" s="22" t="s">
        <v>204</v>
      </c>
      <c r="D476" s="22" t="s">
        <v>1183</v>
      </c>
      <c r="E476" s="22">
        <v>11</v>
      </c>
      <c r="F476" s="22">
        <v>29</v>
      </c>
      <c r="G476" s="22" t="s">
        <v>1184</v>
      </c>
      <c r="H476" s="22" t="s">
        <v>147</v>
      </c>
      <c r="I476" s="22" t="s">
        <v>244</v>
      </c>
      <c r="J476" s="22" t="s">
        <v>1183</v>
      </c>
      <c r="K476" s="22" t="s">
        <v>65</v>
      </c>
      <c r="L476" s="22" t="s">
        <v>67</v>
      </c>
      <c r="M476" s="22" t="s">
        <v>69</v>
      </c>
    </row>
    <row r="477" spans="1:13">
      <c r="A477" s="22" t="s">
        <v>1208</v>
      </c>
      <c r="B477" s="22" t="s">
        <v>1209</v>
      </c>
      <c r="C477" s="22" t="s">
        <v>213</v>
      </c>
      <c r="D477" s="22" t="s">
        <v>1183</v>
      </c>
      <c r="E477" s="22">
        <v>10</v>
      </c>
      <c r="F477" s="22">
        <v>28</v>
      </c>
      <c r="G477" s="22" t="s">
        <v>1184</v>
      </c>
      <c r="H477" s="22" t="s">
        <v>147</v>
      </c>
      <c r="I477" s="22" t="s">
        <v>247</v>
      </c>
      <c r="J477" s="22" t="s">
        <v>1183</v>
      </c>
      <c r="K477" s="22" t="s">
        <v>65</v>
      </c>
      <c r="L477" s="22" t="s">
        <v>67</v>
      </c>
      <c r="M477" s="22" t="s">
        <v>69</v>
      </c>
    </row>
    <row r="478" spans="1:13">
      <c r="A478" s="22" t="s">
        <v>1210</v>
      </c>
      <c r="B478" s="22" t="s">
        <v>1211</v>
      </c>
      <c r="C478" s="22" t="s">
        <v>213</v>
      </c>
      <c r="D478" s="22" t="s">
        <v>1183</v>
      </c>
      <c r="E478" s="22">
        <v>11</v>
      </c>
      <c r="F478" s="22">
        <v>46</v>
      </c>
      <c r="G478" s="22" t="s">
        <v>1184</v>
      </c>
      <c r="H478" s="22" t="s">
        <v>147</v>
      </c>
      <c r="I478" s="22" t="s">
        <v>250</v>
      </c>
      <c r="J478" s="22" t="s">
        <v>1183</v>
      </c>
      <c r="K478" s="22" t="s">
        <v>65</v>
      </c>
      <c r="L478" s="22" t="s">
        <v>67</v>
      </c>
      <c r="M478" s="22" t="s">
        <v>69</v>
      </c>
    </row>
    <row r="479" spans="1:13">
      <c r="A479" s="22" t="s">
        <v>1212</v>
      </c>
      <c r="B479" s="22" t="s">
        <v>1213</v>
      </c>
      <c r="C479" s="22" t="s">
        <v>213</v>
      </c>
      <c r="D479" s="22" t="s">
        <v>1183</v>
      </c>
      <c r="E479" s="22">
        <v>11</v>
      </c>
      <c r="F479" s="22">
        <v>25</v>
      </c>
      <c r="G479" s="22" t="s">
        <v>1184</v>
      </c>
      <c r="H479" s="22" t="s">
        <v>147</v>
      </c>
      <c r="I479" s="22" t="s">
        <v>253</v>
      </c>
      <c r="J479" s="22" t="s">
        <v>1183</v>
      </c>
      <c r="K479" s="22" t="s">
        <v>65</v>
      </c>
      <c r="L479" s="22" t="s">
        <v>67</v>
      </c>
      <c r="M479" s="22" t="s">
        <v>69</v>
      </c>
    </row>
    <row r="480" spans="1:13">
      <c r="A480" s="22" t="s">
        <v>1214</v>
      </c>
      <c r="B480" s="22" t="s">
        <v>1215</v>
      </c>
      <c r="C480" s="22" t="s">
        <v>213</v>
      </c>
      <c r="D480" s="22" t="s">
        <v>1183</v>
      </c>
      <c r="E480" s="22">
        <v>11</v>
      </c>
      <c r="F480" s="22">
        <v>47</v>
      </c>
      <c r="G480" s="22" t="s">
        <v>1184</v>
      </c>
      <c r="H480" s="22" t="s">
        <v>147</v>
      </c>
      <c r="I480" s="22" t="s">
        <v>256</v>
      </c>
      <c r="J480" s="22" t="s">
        <v>1183</v>
      </c>
      <c r="K480" s="22" t="s">
        <v>65</v>
      </c>
      <c r="L480" s="22" t="s">
        <v>67</v>
      </c>
      <c r="M480" s="22" t="s">
        <v>69</v>
      </c>
    </row>
    <row r="481" spans="1:13">
      <c r="A481" s="22" t="s">
        <v>1216</v>
      </c>
      <c r="B481" s="22" t="s">
        <v>1217</v>
      </c>
      <c r="C481" s="22" t="s">
        <v>204</v>
      </c>
      <c r="D481" s="22" t="s">
        <v>1183</v>
      </c>
      <c r="E481" s="22">
        <v>10</v>
      </c>
      <c r="F481" s="22">
        <v>48</v>
      </c>
      <c r="G481" s="22" t="s">
        <v>1184</v>
      </c>
      <c r="H481" s="22" t="s">
        <v>147</v>
      </c>
      <c r="I481" s="22" t="s">
        <v>259</v>
      </c>
      <c r="J481" s="22" t="s">
        <v>1183</v>
      </c>
      <c r="K481" s="22" t="s">
        <v>65</v>
      </c>
      <c r="L481" s="22" t="s">
        <v>67</v>
      </c>
      <c r="M481" s="22" t="s">
        <v>69</v>
      </c>
    </row>
    <row r="482" spans="1:13">
      <c r="A482" s="22" t="s">
        <v>1218</v>
      </c>
      <c r="B482" s="22" t="s">
        <v>1219</v>
      </c>
      <c r="C482" s="22" t="s">
        <v>213</v>
      </c>
      <c r="D482" s="22" t="s">
        <v>1183</v>
      </c>
      <c r="E482" s="22">
        <v>10</v>
      </c>
      <c r="F482" s="22">
        <v>27</v>
      </c>
      <c r="G482" s="22" t="s">
        <v>1184</v>
      </c>
      <c r="H482" s="22" t="s">
        <v>147</v>
      </c>
      <c r="I482" s="22" t="s">
        <v>262</v>
      </c>
      <c r="J482" s="22" t="s">
        <v>1183</v>
      </c>
      <c r="K482" s="22" t="s">
        <v>65</v>
      </c>
      <c r="L482" s="22" t="s">
        <v>67</v>
      </c>
      <c r="M482" s="22" t="s">
        <v>69</v>
      </c>
    </row>
    <row r="483" spans="1:13">
      <c r="A483" s="22" t="s">
        <v>1220</v>
      </c>
      <c r="B483" s="22" t="s">
        <v>1221</v>
      </c>
      <c r="C483" s="22" t="s">
        <v>213</v>
      </c>
      <c r="D483" s="22" t="s">
        <v>1183</v>
      </c>
      <c r="E483" s="22">
        <v>10</v>
      </c>
      <c r="F483" s="22">
        <v>4</v>
      </c>
      <c r="G483" s="22" t="s">
        <v>1184</v>
      </c>
      <c r="H483" s="22" t="s">
        <v>147</v>
      </c>
      <c r="I483" s="22" t="s">
        <v>265</v>
      </c>
      <c r="J483" s="22" t="s">
        <v>1183</v>
      </c>
      <c r="K483" s="22" t="s">
        <v>65</v>
      </c>
      <c r="L483" s="22" t="s">
        <v>67</v>
      </c>
      <c r="M483" s="22" t="s">
        <v>69</v>
      </c>
    </row>
    <row r="484" spans="1:13">
      <c r="A484" s="22" t="s">
        <v>1222</v>
      </c>
      <c r="B484" s="22" t="s">
        <v>1223</v>
      </c>
      <c r="C484" s="22" t="s">
        <v>213</v>
      </c>
      <c r="D484" s="22" t="s">
        <v>1183</v>
      </c>
      <c r="E484" s="22">
        <v>10</v>
      </c>
      <c r="F484" s="22">
        <v>52</v>
      </c>
      <c r="G484" s="22" t="s">
        <v>1184</v>
      </c>
      <c r="H484" s="22" t="s">
        <v>147</v>
      </c>
      <c r="I484" s="22" t="s">
        <v>268</v>
      </c>
      <c r="J484" s="22" t="s">
        <v>1183</v>
      </c>
      <c r="K484" s="22" t="s">
        <v>65</v>
      </c>
      <c r="L484" s="22" t="s">
        <v>67</v>
      </c>
      <c r="M484" s="22" t="s">
        <v>69</v>
      </c>
    </row>
    <row r="485" spans="1:13">
      <c r="A485" s="22" t="s">
        <v>1224</v>
      </c>
      <c r="B485" s="22" t="s">
        <v>1225</v>
      </c>
      <c r="C485" s="22" t="s">
        <v>204</v>
      </c>
      <c r="D485" s="22" t="s">
        <v>1183</v>
      </c>
      <c r="E485" s="22">
        <v>11</v>
      </c>
      <c r="F485" s="22">
        <v>52</v>
      </c>
      <c r="G485" s="22" t="s">
        <v>1184</v>
      </c>
      <c r="H485" s="22" t="s">
        <v>147</v>
      </c>
      <c r="I485" s="22" t="s">
        <v>271</v>
      </c>
      <c r="J485" s="22" t="s">
        <v>1183</v>
      </c>
      <c r="K485" s="22" t="s">
        <v>65</v>
      </c>
      <c r="L485" s="22" t="s">
        <v>67</v>
      </c>
      <c r="M485" s="22" t="s">
        <v>69</v>
      </c>
    </row>
    <row r="486" spans="1:13">
      <c r="A486" s="22" t="s">
        <v>1226</v>
      </c>
      <c r="B486" s="22" t="s">
        <v>1227</v>
      </c>
      <c r="C486" s="22" t="s">
        <v>204</v>
      </c>
      <c r="D486" s="22" t="s">
        <v>1183</v>
      </c>
      <c r="E486" s="22">
        <v>11</v>
      </c>
      <c r="F486" s="22">
        <v>45</v>
      </c>
      <c r="G486" s="22" t="s">
        <v>1184</v>
      </c>
      <c r="H486" s="22" t="s">
        <v>147</v>
      </c>
      <c r="I486" s="22" t="s">
        <v>274</v>
      </c>
      <c r="J486" s="22" t="s">
        <v>1183</v>
      </c>
      <c r="K486" s="22" t="s">
        <v>65</v>
      </c>
      <c r="L486" s="22" t="s">
        <v>67</v>
      </c>
      <c r="M486" s="22" t="s">
        <v>69</v>
      </c>
    </row>
    <row r="487" spans="1:13">
      <c r="A487" s="22" t="s">
        <v>1228</v>
      </c>
      <c r="B487" s="22" t="s">
        <v>1229</v>
      </c>
      <c r="C487" s="22" t="s">
        <v>213</v>
      </c>
      <c r="D487" s="22" t="s">
        <v>1183</v>
      </c>
      <c r="E487" s="22">
        <v>10</v>
      </c>
      <c r="F487" s="22">
        <v>46</v>
      </c>
      <c r="G487" s="22" t="s">
        <v>1184</v>
      </c>
      <c r="H487" s="22" t="s">
        <v>147</v>
      </c>
      <c r="I487" s="22" t="s">
        <v>277</v>
      </c>
      <c r="J487" s="22" t="s">
        <v>1183</v>
      </c>
      <c r="K487" s="22" t="s">
        <v>65</v>
      </c>
      <c r="L487" s="22" t="s">
        <v>67</v>
      </c>
      <c r="M487" s="22" t="s">
        <v>69</v>
      </c>
    </row>
    <row r="488" spans="1:13">
      <c r="A488" s="22" t="s">
        <v>1230</v>
      </c>
      <c r="B488" s="22" t="s">
        <v>1231</v>
      </c>
      <c r="C488" s="22" t="s">
        <v>213</v>
      </c>
      <c r="D488" s="22" t="s">
        <v>1183</v>
      </c>
      <c r="E488" s="22">
        <v>11</v>
      </c>
      <c r="F488" s="22">
        <v>35</v>
      </c>
      <c r="G488" s="22" t="s">
        <v>1184</v>
      </c>
      <c r="H488" s="22" t="s">
        <v>147</v>
      </c>
      <c r="I488" s="22" t="s">
        <v>280</v>
      </c>
      <c r="J488" s="22" t="s">
        <v>1183</v>
      </c>
      <c r="K488" s="22" t="s">
        <v>65</v>
      </c>
      <c r="L488" s="22" t="s">
        <v>67</v>
      </c>
      <c r="M488" s="22" t="s">
        <v>69</v>
      </c>
    </row>
    <row r="489" spans="1:13">
      <c r="A489" s="22" t="s">
        <v>1232</v>
      </c>
      <c r="B489" s="22" t="s">
        <v>1233</v>
      </c>
      <c r="C489" s="22" t="s">
        <v>213</v>
      </c>
      <c r="D489" s="22" t="s">
        <v>1183</v>
      </c>
      <c r="E489" s="22">
        <v>10</v>
      </c>
      <c r="F489" s="22">
        <v>9</v>
      </c>
      <c r="G489" s="22" t="s">
        <v>1184</v>
      </c>
      <c r="H489" s="22" t="s">
        <v>147</v>
      </c>
      <c r="I489" s="22" t="s">
        <v>283</v>
      </c>
      <c r="J489" s="22" t="s">
        <v>1183</v>
      </c>
      <c r="K489" s="22" t="s">
        <v>65</v>
      </c>
      <c r="L489" s="22" t="s">
        <v>67</v>
      </c>
      <c r="M489" s="22" t="s">
        <v>69</v>
      </c>
    </row>
    <row r="490" spans="1:13">
      <c r="A490" s="22" t="s">
        <v>1234</v>
      </c>
      <c r="B490" s="22" t="s">
        <v>1235</v>
      </c>
      <c r="C490" s="22" t="s">
        <v>213</v>
      </c>
      <c r="D490" s="22" t="s">
        <v>1183</v>
      </c>
      <c r="E490" s="22">
        <v>11</v>
      </c>
      <c r="F490" s="22">
        <v>10</v>
      </c>
      <c r="G490" s="22" t="s">
        <v>1184</v>
      </c>
      <c r="H490" s="22" t="s">
        <v>147</v>
      </c>
      <c r="I490" s="22" t="s">
        <v>286</v>
      </c>
      <c r="J490" s="22" t="s">
        <v>1183</v>
      </c>
      <c r="K490" s="22" t="s">
        <v>65</v>
      </c>
      <c r="L490" s="22" t="s">
        <v>67</v>
      </c>
      <c r="M490" s="22" t="s">
        <v>69</v>
      </c>
    </row>
    <row r="491" spans="1:13">
      <c r="A491" s="22" t="s">
        <v>1236</v>
      </c>
      <c r="B491" s="22" t="s">
        <v>1237</v>
      </c>
      <c r="C491" s="22" t="s">
        <v>213</v>
      </c>
      <c r="D491" s="22" t="s">
        <v>1183</v>
      </c>
      <c r="E491" s="22">
        <v>11</v>
      </c>
      <c r="F491" s="22">
        <v>22</v>
      </c>
      <c r="G491" s="22" t="s">
        <v>1184</v>
      </c>
      <c r="H491" s="22" t="s">
        <v>147</v>
      </c>
      <c r="I491" s="22" t="s">
        <v>289</v>
      </c>
      <c r="J491" s="22" t="s">
        <v>1183</v>
      </c>
      <c r="K491" s="22" t="s">
        <v>65</v>
      </c>
      <c r="L491" s="22" t="s">
        <v>67</v>
      </c>
      <c r="M491" s="22" t="s">
        <v>69</v>
      </c>
    </row>
    <row r="492" spans="1:13">
      <c r="A492" s="22" t="s">
        <v>1238</v>
      </c>
      <c r="B492" s="22" t="s">
        <v>1239</v>
      </c>
      <c r="C492" s="22" t="s">
        <v>213</v>
      </c>
      <c r="D492" s="22" t="s">
        <v>1183</v>
      </c>
      <c r="E492" s="22">
        <v>10</v>
      </c>
      <c r="F492" s="22">
        <v>36</v>
      </c>
      <c r="G492" s="22" t="s">
        <v>1184</v>
      </c>
      <c r="H492" s="22" t="s">
        <v>147</v>
      </c>
      <c r="I492" s="22" t="s">
        <v>292</v>
      </c>
      <c r="J492" s="22" t="s">
        <v>1183</v>
      </c>
      <c r="K492" s="22" t="s">
        <v>65</v>
      </c>
      <c r="L492" s="22" t="s">
        <v>67</v>
      </c>
      <c r="M492" s="22" t="s">
        <v>69</v>
      </c>
    </row>
    <row r="493" spans="1:13">
      <c r="A493" s="22" t="s">
        <v>1240</v>
      </c>
      <c r="B493" s="22" t="s">
        <v>1241</v>
      </c>
      <c r="C493" s="22" t="s">
        <v>204</v>
      </c>
      <c r="D493" s="22" t="s">
        <v>1183</v>
      </c>
      <c r="E493" s="22">
        <v>10</v>
      </c>
      <c r="F493" s="22">
        <v>19</v>
      </c>
      <c r="G493" s="22" t="s">
        <v>1184</v>
      </c>
      <c r="H493" s="22" t="s">
        <v>147</v>
      </c>
      <c r="I493" s="22" t="s">
        <v>295</v>
      </c>
      <c r="J493" s="22" t="s">
        <v>1183</v>
      </c>
      <c r="K493" s="22" t="s">
        <v>65</v>
      </c>
      <c r="L493" s="22" t="s">
        <v>67</v>
      </c>
      <c r="M493" s="22" t="s">
        <v>69</v>
      </c>
    </row>
    <row r="494" spans="1:13">
      <c r="A494" s="22" t="s">
        <v>1242</v>
      </c>
      <c r="B494" s="22" t="s">
        <v>1243</v>
      </c>
      <c r="C494" s="22" t="s">
        <v>213</v>
      </c>
      <c r="D494" s="22" t="s">
        <v>1183</v>
      </c>
      <c r="E494" s="22">
        <v>11</v>
      </c>
      <c r="F494" s="22">
        <v>31</v>
      </c>
      <c r="G494" s="22" t="s">
        <v>1184</v>
      </c>
      <c r="H494" s="22" t="s">
        <v>147</v>
      </c>
      <c r="I494" s="22" t="s">
        <v>298</v>
      </c>
      <c r="J494" s="22" t="s">
        <v>1183</v>
      </c>
      <c r="K494" s="22" t="s">
        <v>65</v>
      </c>
      <c r="L494" s="22" t="s">
        <v>67</v>
      </c>
      <c r="M494" s="22" t="s">
        <v>69</v>
      </c>
    </row>
    <row r="495" spans="1:13">
      <c r="A495" s="22" t="s">
        <v>1244</v>
      </c>
      <c r="B495" s="22" t="s">
        <v>1245</v>
      </c>
      <c r="C495" s="22" t="s">
        <v>213</v>
      </c>
      <c r="D495" s="22" t="s">
        <v>1183</v>
      </c>
      <c r="E495" s="22">
        <v>11</v>
      </c>
      <c r="F495" s="22">
        <v>33</v>
      </c>
      <c r="G495" s="22" t="s">
        <v>1184</v>
      </c>
      <c r="H495" s="22" t="s">
        <v>147</v>
      </c>
      <c r="I495" s="22" t="s">
        <v>301</v>
      </c>
      <c r="J495" s="22" t="s">
        <v>1183</v>
      </c>
      <c r="K495" s="22" t="s">
        <v>65</v>
      </c>
      <c r="L495" s="22" t="s">
        <v>67</v>
      </c>
      <c r="M495" s="22" t="s">
        <v>69</v>
      </c>
    </row>
    <row r="496" spans="1:13">
      <c r="A496" s="22" t="s">
        <v>1246</v>
      </c>
      <c r="B496" s="22" t="s">
        <v>1247</v>
      </c>
      <c r="C496" s="22" t="s">
        <v>213</v>
      </c>
      <c r="D496" s="22" t="s">
        <v>1183</v>
      </c>
      <c r="E496" s="22">
        <v>11</v>
      </c>
      <c r="F496" s="22">
        <v>6</v>
      </c>
      <c r="G496" s="22" t="s">
        <v>1184</v>
      </c>
      <c r="H496" s="22" t="s">
        <v>147</v>
      </c>
      <c r="I496" s="22" t="s">
        <v>304</v>
      </c>
      <c r="J496" s="22" t="s">
        <v>1183</v>
      </c>
      <c r="K496" s="22" t="s">
        <v>65</v>
      </c>
      <c r="L496" s="22" t="s">
        <v>67</v>
      </c>
      <c r="M496" s="22" t="s">
        <v>69</v>
      </c>
    </row>
    <row r="497" spans="1:13">
      <c r="A497" s="22" t="s">
        <v>1248</v>
      </c>
      <c r="B497" s="22" t="s">
        <v>1249</v>
      </c>
      <c r="C497" s="22" t="s">
        <v>213</v>
      </c>
      <c r="D497" s="22" t="s">
        <v>1183</v>
      </c>
      <c r="E497" s="22">
        <v>11</v>
      </c>
      <c r="F497" s="22">
        <v>49</v>
      </c>
      <c r="G497" s="22" t="s">
        <v>1184</v>
      </c>
      <c r="H497" s="22" t="s">
        <v>147</v>
      </c>
      <c r="I497" s="22" t="s">
        <v>307</v>
      </c>
      <c r="J497" s="22" t="s">
        <v>1183</v>
      </c>
      <c r="K497" s="22" t="s">
        <v>65</v>
      </c>
      <c r="L497" s="22" t="s">
        <v>67</v>
      </c>
      <c r="M497" s="22" t="s">
        <v>69</v>
      </c>
    </row>
    <row r="498" spans="1:13">
      <c r="A498" s="22" t="s">
        <v>1250</v>
      </c>
      <c r="B498" s="22" t="s">
        <v>1251</v>
      </c>
      <c r="C498" s="22" t="s">
        <v>213</v>
      </c>
      <c r="D498" s="22" t="s">
        <v>1183</v>
      </c>
      <c r="E498" s="22">
        <v>10</v>
      </c>
      <c r="F498" s="22">
        <v>37</v>
      </c>
      <c r="G498" s="22" t="s">
        <v>1184</v>
      </c>
      <c r="H498" s="22" t="s">
        <v>147</v>
      </c>
      <c r="I498" s="22" t="s">
        <v>310</v>
      </c>
      <c r="J498" s="22" t="s">
        <v>1183</v>
      </c>
      <c r="K498" s="22" t="s">
        <v>65</v>
      </c>
      <c r="L498" s="22" t="s">
        <v>67</v>
      </c>
      <c r="M498" s="22" t="s">
        <v>69</v>
      </c>
    </row>
    <row r="499" spans="1:13">
      <c r="A499" s="22" t="s">
        <v>1252</v>
      </c>
      <c r="B499" s="22" t="s">
        <v>1253</v>
      </c>
      <c r="C499" s="22" t="s">
        <v>204</v>
      </c>
      <c r="D499" s="22" t="s">
        <v>1183</v>
      </c>
      <c r="E499" s="22">
        <v>11</v>
      </c>
      <c r="F499" s="22">
        <v>20</v>
      </c>
      <c r="G499" s="22" t="s">
        <v>1184</v>
      </c>
      <c r="H499" s="22" t="s">
        <v>147</v>
      </c>
      <c r="I499" s="22" t="s">
        <v>313</v>
      </c>
      <c r="J499" s="22" t="s">
        <v>1183</v>
      </c>
      <c r="K499" s="22" t="s">
        <v>65</v>
      </c>
      <c r="L499" s="22" t="s">
        <v>67</v>
      </c>
      <c r="M499" s="22" t="s">
        <v>69</v>
      </c>
    </row>
    <row r="500" spans="1:13">
      <c r="A500" s="22" t="s">
        <v>1254</v>
      </c>
      <c r="B500" s="22" t="s">
        <v>1255</v>
      </c>
      <c r="C500" s="22" t="s">
        <v>204</v>
      </c>
      <c r="D500" s="22" t="s">
        <v>1183</v>
      </c>
      <c r="E500" s="22">
        <v>11</v>
      </c>
      <c r="F500" s="22">
        <v>53</v>
      </c>
      <c r="G500" s="22" t="s">
        <v>1184</v>
      </c>
      <c r="H500" s="22" t="s">
        <v>147</v>
      </c>
      <c r="I500" s="22" t="s">
        <v>316</v>
      </c>
      <c r="J500" s="22" t="s">
        <v>1183</v>
      </c>
      <c r="K500" s="22" t="s">
        <v>65</v>
      </c>
      <c r="L500" s="22" t="s">
        <v>67</v>
      </c>
      <c r="M500" s="22" t="s">
        <v>69</v>
      </c>
    </row>
    <row r="501" spans="1:13">
      <c r="A501" s="22" t="s">
        <v>1256</v>
      </c>
      <c r="B501" s="22" t="s">
        <v>1257</v>
      </c>
      <c r="C501" s="22" t="s">
        <v>213</v>
      </c>
      <c r="D501" s="22" t="s">
        <v>1183</v>
      </c>
      <c r="E501" s="22">
        <v>11</v>
      </c>
      <c r="F501" s="22">
        <v>38</v>
      </c>
      <c r="G501" s="22" t="s">
        <v>1184</v>
      </c>
      <c r="H501" s="22" t="s">
        <v>147</v>
      </c>
      <c r="I501" s="22" t="s">
        <v>319</v>
      </c>
      <c r="J501" s="22" t="s">
        <v>1183</v>
      </c>
      <c r="K501" s="22" t="s">
        <v>65</v>
      </c>
      <c r="L501" s="22" t="s">
        <v>67</v>
      </c>
      <c r="M501" s="22" t="s">
        <v>69</v>
      </c>
    </row>
    <row r="502" spans="1:13">
      <c r="A502" s="22" t="s">
        <v>1258</v>
      </c>
      <c r="B502" s="22" t="s">
        <v>1259</v>
      </c>
      <c r="C502" s="22" t="s">
        <v>213</v>
      </c>
      <c r="D502" s="22" t="s">
        <v>1183</v>
      </c>
      <c r="E502" s="22">
        <v>11</v>
      </c>
      <c r="F502" s="22">
        <v>18</v>
      </c>
      <c r="G502" s="22" t="s">
        <v>1184</v>
      </c>
      <c r="H502" s="22" t="s">
        <v>147</v>
      </c>
      <c r="I502" s="22" t="s">
        <v>322</v>
      </c>
      <c r="J502" s="22" t="s">
        <v>1183</v>
      </c>
      <c r="K502" s="22" t="s">
        <v>65</v>
      </c>
      <c r="L502" s="22" t="s">
        <v>67</v>
      </c>
      <c r="M502" s="22" t="s">
        <v>69</v>
      </c>
    </row>
    <row r="503" spans="1:13">
      <c r="A503" s="22" t="s">
        <v>1260</v>
      </c>
      <c r="B503" s="22" t="s">
        <v>1261</v>
      </c>
      <c r="C503" s="22" t="s">
        <v>213</v>
      </c>
      <c r="D503" s="22" t="s">
        <v>1183</v>
      </c>
      <c r="E503" s="22">
        <v>10</v>
      </c>
      <c r="F503" s="22">
        <v>51</v>
      </c>
      <c r="G503" s="22" t="s">
        <v>1184</v>
      </c>
      <c r="H503" s="22" t="s">
        <v>147</v>
      </c>
      <c r="I503" s="22" t="s">
        <v>325</v>
      </c>
      <c r="J503" s="22" t="s">
        <v>1183</v>
      </c>
      <c r="K503" s="22" t="s">
        <v>65</v>
      </c>
      <c r="L503" s="22" t="s">
        <v>67</v>
      </c>
      <c r="M503" s="22" t="s">
        <v>69</v>
      </c>
    </row>
    <row r="504" spans="1:13">
      <c r="A504" s="22" t="s">
        <v>1262</v>
      </c>
      <c r="B504" s="22" t="s">
        <v>1263</v>
      </c>
      <c r="C504" s="22" t="s">
        <v>213</v>
      </c>
      <c r="D504" s="22" t="s">
        <v>1183</v>
      </c>
      <c r="E504" s="22">
        <v>10</v>
      </c>
      <c r="F504" s="22">
        <v>26</v>
      </c>
      <c r="G504" s="22" t="s">
        <v>1184</v>
      </c>
      <c r="H504" s="22" t="s">
        <v>147</v>
      </c>
      <c r="I504" s="22" t="s">
        <v>328</v>
      </c>
      <c r="J504" s="22" t="s">
        <v>1183</v>
      </c>
      <c r="K504" s="22" t="s">
        <v>65</v>
      </c>
      <c r="L504" s="22" t="s">
        <v>67</v>
      </c>
      <c r="M504" s="22" t="s">
        <v>69</v>
      </c>
    </row>
    <row r="505" spans="1:13">
      <c r="A505" s="22" t="s">
        <v>1264</v>
      </c>
      <c r="B505" s="22" t="s">
        <v>1265</v>
      </c>
      <c r="C505" s="22" t="s">
        <v>213</v>
      </c>
      <c r="D505" s="22" t="s">
        <v>1183</v>
      </c>
      <c r="E505" s="22">
        <v>10</v>
      </c>
      <c r="F505" s="22">
        <v>11</v>
      </c>
      <c r="G505" s="22" t="s">
        <v>1184</v>
      </c>
      <c r="H505" s="22" t="s">
        <v>147</v>
      </c>
      <c r="I505" s="22" t="s">
        <v>331</v>
      </c>
      <c r="J505" s="22" t="s">
        <v>1183</v>
      </c>
      <c r="K505" s="22" t="s">
        <v>65</v>
      </c>
      <c r="L505" s="22" t="s">
        <v>67</v>
      </c>
      <c r="M505" s="22" t="s">
        <v>69</v>
      </c>
    </row>
    <row r="506" spans="1:13">
      <c r="A506" s="22" t="s">
        <v>1266</v>
      </c>
      <c r="B506" s="22" t="s">
        <v>1267</v>
      </c>
      <c r="C506" s="22" t="s">
        <v>213</v>
      </c>
      <c r="D506" s="22" t="s">
        <v>1183</v>
      </c>
      <c r="E506" s="22">
        <v>10</v>
      </c>
      <c r="F506" s="22">
        <v>49</v>
      </c>
      <c r="G506" s="22" t="s">
        <v>1268</v>
      </c>
      <c r="H506" s="22" t="s">
        <v>148</v>
      </c>
      <c r="I506" s="22" t="s">
        <v>207</v>
      </c>
      <c r="J506" s="22" t="s">
        <v>1183</v>
      </c>
      <c r="K506" s="22" t="s">
        <v>65</v>
      </c>
      <c r="L506" s="22" t="s">
        <v>67</v>
      </c>
      <c r="M506" s="22" t="s">
        <v>69</v>
      </c>
    </row>
    <row r="507" spans="1:13">
      <c r="A507" s="22" t="s">
        <v>1269</v>
      </c>
      <c r="B507" s="22" t="s">
        <v>1270</v>
      </c>
      <c r="C507" s="22" t="s">
        <v>213</v>
      </c>
      <c r="D507" s="22" t="s">
        <v>1183</v>
      </c>
      <c r="E507" s="22">
        <v>10</v>
      </c>
      <c r="F507" s="22">
        <v>42</v>
      </c>
      <c r="G507" s="22" t="s">
        <v>1268</v>
      </c>
      <c r="H507" s="22" t="s">
        <v>148</v>
      </c>
      <c r="I507" s="22" t="s">
        <v>210</v>
      </c>
      <c r="J507" s="22" t="s">
        <v>1183</v>
      </c>
      <c r="K507" s="22" t="s">
        <v>65</v>
      </c>
      <c r="L507" s="22" t="s">
        <v>67</v>
      </c>
      <c r="M507" s="22" t="s">
        <v>69</v>
      </c>
    </row>
    <row r="508" spans="1:13">
      <c r="A508" s="22" t="s">
        <v>1271</v>
      </c>
      <c r="B508" s="22" t="s">
        <v>1272</v>
      </c>
      <c r="C508" s="22" t="s">
        <v>213</v>
      </c>
      <c r="D508" s="22" t="s">
        <v>1183</v>
      </c>
      <c r="E508" s="22">
        <v>10</v>
      </c>
      <c r="F508" s="22">
        <v>8</v>
      </c>
      <c r="G508" s="22" t="s">
        <v>1268</v>
      </c>
      <c r="H508" s="22" t="s">
        <v>148</v>
      </c>
      <c r="I508" s="22" t="s">
        <v>214</v>
      </c>
      <c r="J508" s="22" t="s">
        <v>1183</v>
      </c>
      <c r="K508" s="22" t="s">
        <v>65</v>
      </c>
      <c r="L508" s="22" t="s">
        <v>67</v>
      </c>
      <c r="M508" s="22" t="s">
        <v>69</v>
      </c>
    </row>
    <row r="509" spans="1:13">
      <c r="A509" s="22" t="s">
        <v>1273</v>
      </c>
      <c r="B509" s="22" t="s">
        <v>1274</v>
      </c>
      <c r="C509" s="22" t="s">
        <v>213</v>
      </c>
      <c r="D509" s="22" t="s">
        <v>1183</v>
      </c>
      <c r="E509" s="22">
        <v>11</v>
      </c>
      <c r="F509" s="22">
        <v>5</v>
      </c>
      <c r="G509" s="22" t="s">
        <v>1268</v>
      </c>
      <c r="H509" s="22" t="s">
        <v>148</v>
      </c>
      <c r="I509" s="22" t="s">
        <v>217</v>
      </c>
      <c r="J509" s="22" t="s">
        <v>1183</v>
      </c>
      <c r="K509" s="22" t="s">
        <v>65</v>
      </c>
      <c r="L509" s="22" t="s">
        <v>67</v>
      </c>
      <c r="M509" s="22" t="s">
        <v>69</v>
      </c>
    </row>
    <row r="510" spans="1:13">
      <c r="A510" s="22" t="s">
        <v>1275</v>
      </c>
      <c r="B510" s="22" t="s">
        <v>1276</v>
      </c>
      <c r="C510" s="22" t="s">
        <v>213</v>
      </c>
      <c r="D510" s="22" t="s">
        <v>1183</v>
      </c>
      <c r="E510" s="22">
        <v>10</v>
      </c>
      <c r="F510" s="22">
        <v>18</v>
      </c>
      <c r="G510" s="22" t="s">
        <v>1268</v>
      </c>
      <c r="H510" s="22" t="s">
        <v>148</v>
      </c>
      <c r="I510" s="22" t="s">
        <v>220</v>
      </c>
      <c r="J510" s="22" t="s">
        <v>1183</v>
      </c>
      <c r="K510" s="22" t="s">
        <v>65</v>
      </c>
      <c r="L510" s="22" t="s">
        <v>67</v>
      </c>
      <c r="M510" s="22" t="s">
        <v>69</v>
      </c>
    </row>
    <row r="511" spans="1:13">
      <c r="A511" s="22" t="s">
        <v>1277</v>
      </c>
      <c r="B511" s="22" t="s">
        <v>1278</v>
      </c>
      <c r="C511" s="22" t="s">
        <v>213</v>
      </c>
      <c r="D511" s="22" t="s">
        <v>1183</v>
      </c>
      <c r="E511" s="22">
        <v>11</v>
      </c>
      <c r="F511" s="22">
        <v>15</v>
      </c>
      <c r="G511" s="22" t="s">
        <v>1268</v>
      </c>
      <c r="H511" s="22" t="s">
        <v>148</v>
      </c>
      <c r="I511" s="22" t="s">
        <v>223</v>
      </c>
      <c r="J511" s="22" t="s">
        <v>1183</v>
      </c>
      <c r="K511" s="22" t="s">
        <v>65</v>
      </c>
      <c r="L511" s="22" t="s">
        <v>67</v>
      </c>
      <c r="M511" s="22" t="s">
        <v>69</v>
      </c>
    </row>
    <row r="512" spans="1:13">
      <c r="A512" s="22" t="s">
        <v>1279</v>
      </c>
      <c r="B512" s="22" t="s">
        <v>1280</v>
      </c>
      <c r="C512" s="22" t="s">
        <v>213</v>
      </c>
      <c r="D512" s="22" t="s">
        <v>1183</v>
      </c>
      <c r="E512" s="22">
        <v>10</v>
      </c>
      <c r="F512" s="22">
        <v>50</v>
      </c>
      <c r="G512" s="22" t="s">
        <v>1268</v>
      </c>
      <c r="H512" s="22" t="s">
        <v>148</v>
      </c>
      <c r="I512" s="22" t="s">
        <v>226</v>
      </c>
      <c r="J512" s="22" t="s">
        <v>1183</v>
      </c>
      <c r="K512" s="22" t="s">
        <v>65</v>
      </c>
      <c r="L512" s="22" t="s">
        <v>67</v>
      </c>
      <c r="M512" s="22" t="s">
        <v>69</v>
      </c>
    </row>
    <row r="513" spans="1:13">
      <c r="A513" s="22" t="s">
        <v>1281</v>
      </c>
      <c r="B513" s="22" t="s">
        <v>1282</v>
      </c>
      <c r="C513" s="22" t="s">
        <v>213</v>
      </c>
      <c r="D513" s="22" t="s">
        <v>1183</v>
      </c>
      <c r="E513" s="22">
        <v>10</v>
      </c>
      <c r="F513" s="22">
        <v>24</v>
      </c>
      <c r="G513" s="22" t="s">
        <v>1268</v>
      </c>
      <c r="H513" s="22" t="s">
        <v>148</v>
      </c>
      <c r="I513" s="22" t="s">
        <v>229</v>
      </c>
      <c r="J513" s="22" t="s">
        <v>1183</v>
      </c>
      <c r="K513" s="22" t="s">
        <v>65</v>
      </c>
      <c r="L513" s="22" t="s">
        <v>67</v>
      </c>
      <c r="M513" s="22" t="s">
        <v>69</v>
      </c>
    </row>
    <row r="514" spans="1:13">
      <c r="A514" s="22" t="s">
        <v>1283</v>
      </c>
      <c r="B514" s="22" t="s">
        <v>1284</v>
      </c>
      <c r="C514" s="22" t="s">
        <v>213</v>
      </c>
      <c r="D514" s="22" t="s">
        <v>1183</v>
      </c>
      <c r="E514" s="22">
        <v>10</v>
      </c>
      <c r="F514" s="22">
        <v>7</v>
      </c>
      <c r="G514" s="22" t="s">
        <v>1268</v>
      </c>
      <c r="H514" s="22" t="s">
        <v>148</v>
      </c>
      <c r="I514" s="22" t="s">
        <v>232</v>
      </c>
      <c r="J514" s="22" t="s">
        <v>1183</v>
      </c>
      <c r="K514" s="22" t="s">
        <v>65</v>
      </c>
      <c r="L514" s="22" t="s">
        <v>67</v>
      </c>
      <c r="M514" s="22" t="s">
        <v>69</v>
      </c>
    </row>
    <row r="515" spans="1:13">
      <c r="A515" s="22" t="s">
        <v>1285</v>
      </c>
      <c r="B515" s="22" t="s">
        <v>1286</v>
      </c>
      <c r="C515" s="22" t="s">
        <v>213</v>
      </c>
      <c r="D515" s="22" t="s">
        <v>1183</v>
      </c>
      <c r="E515" s="22">
        <v>10</v>
      </c>
      <c r="F515" s="22">
        <v>15</v>
      </c>
      <c r="G515" s="22" t="s">
        <v>1268</v>
      </c>
      <c r="H515" s="22" t="s">
        <v>148</v>
      </c>
      <c r="I515" s="22" t="s">
        <v>235</v>
      </c>
      <c r="J515" s="22" t="s">
        <v>1183</v>
      </c>
      <c r="K515" s="22" t="s">
        <v>65</v>
      </c>
      <c r="L515" s="22" t="s">
        <v>67</v>
      </c>
      <c r="M515" s="22" t="s">
        <v>69</v>
      </c>
    </row>
    <row r="516" spans="1:13">
      <c r="A516" s="22" t="s">
        <v>1287</v>
      </c>
      <c r="B516" s="22" t="s">
        <v>1288</v>
      </c>
      <c r="C516" s="22" t="s">
        <v>204</v>
      </c>
      <c r="D516" s="22" t="s">
        <v>1183</v>
      </c>
      <c r="E516" s="22">
        <v>10</v>
      </c>
      <c r="F516" s="22">
        <v>33</v>
      </c>
      <c r="G516" s="22" t="s">
        <v>1268</v>
      </c>
      <c r="H516" s="22" t="s">
        <v>148</v>
      </c>
      <c r="I516" s="22" t="s">
        <v>238</v>
      </c>
      <c r="J516" s="22" t="s">
        <v>1183</v>
      </c>
      <c r="K516" s="22" t="s">
        <v>65</v>
      </c>
      <c r="L516" s="22" t="s">
        <v>67</v>
      </c>
      <c r="M516" s="22" t="s">
        <v>69</v>
      </c>
    </row>
    <row r="517" spans="1:13">
      <c r="A517" s="22" t="s">
        <v>1289</v>
      </c>
      <c r="B517" s="22" t="s">
        <v>1290</v>
      </c>
      <c r="C517" s="22" t="s">
        <v>213</v>
      </c>
      <c r="D517" s="22" t="s">
        <v>1183</v>
      </c>
      <c r="E517" s="22">
        <v>10</v>
      </c>
      <c r="F517" s="22">
        <v>25</v>
      </c>
      <c r="G517" s="22" t="s">
        <v>1268</v>
      </c>
      <c r="H517" s="22" t="s">
        <v>148</v>
      </c>
      <c r="I517" s="22" t="s">
        <v>241</v>
      </c>
      <c r="J517" s="22" t="s">
        <v>1183</v>
      </c>
      <c r="K517" s="22" t="s">
        <v>65</v>
      </c>
      <c r="L517" s="22" t="s">
        <v>67</v>
      </c>
      <c r="M517" s="22" t="s">
        <v>69</v>
      </c>
    </row>
    <row r="518" spans="1:13">
      <c r="A518" s="22" t="s">
        <v>1291</v>
      </c>
      <c r="B518" s="22" t="s">
        <v>1292</v>
      </c>
      <c r="C518" s="22" t="s">
        <v>213</v>
      </c>
      <c r="D518" s="22" t="s">
        <v>1183</v>
      </c>
      <c r="E518" s="22">
        <v>10</v>
      </c>
      <c r="F518" s="22">
        <v>1</v>
      </c>
      <c r="G518" s="22" t="s">
        <v>1268</v>
      </c>
      <c r="H518" s="22" t="s">
        <v>148</v>
      </c>
      <c r="I518" s="22" t="s">
        <v>244</v>
      </c>
      <c r="J518" s="22" t="s">
        <v>1183</v>
      </c>
      <c r="K518" s="22" t="s">
        <v>65</v>
      </c>
      <c r="L518" s="22" t="s">
        <v>67</v>
      </c>
      <c r="M518" s="22" t="s">
        <v>69</v>
      </c>
    </row>
    <row r="519" spans="1:13">
      <c r="A519" s="22" t="s">
        <v>1293</v>
      </c>
      <c r="B519" s="22" t="s">
        <v>1294</v>
      </c>
      <c r="C519" s="22" t="s">
        <v>213</v>
      </c>
      <c r="D519" s="22" t="s">
        <v>1183</v>
      </c>
      <c r="E519" s="22">
        <v>11</v>
      </c>
      <c r="F519" s="22">
        <v>27</v>
      </c>
      <c r="G519" s="22" t="s">
        <v>1268</v>
      </c>
      <c r="H519" s="22" t="s">
        <v>148</v>
      </c>
      <c r="I519" s="22" t="s">
        <v>247</v>
      </c>
      <c r="J519" s="22" t="s">
        <v>1183</v>
      </c>
      <c r="K519" s="22" t="s">
        <v>65</v>
      </c>
      <c r="L519" s="22" t="s">
        <v>67</v>
      </c>
      <c r="M519" s="22" t="s">
        <v>69</v>
      </c>
    </row>
    <row r="520" spans="1:13">
      <c r="A520" s="22" t="s">
        <v>1295</v>
      </c>
      <c r="B520" s="22" t="s">
        <v>1296</v>
      </c>
      <c r="C520" s="22" t="s">
        <v>213</v>
      </c>
      <c r="D520" s="22" t="s">
        <v>1183</v>
      </c>
      <c r="E520" s="22">
        <v>11</v>
      </c>
      <c r="F520" s="22">
        <v>28</v>
      </c>
      <c r="G520" s="22" t="s">
        <v>1268</v>
      </c>
      <c r="H520" s="22" t="s">
        <v>148</v>
      </c>
      <c r="I520" s="22" t="s">
        <v>250</v>
      </c>
      <c r="J520" s="22" t="s">
        <v>1183</v>
      </c>
      <c r="K520" s="22" t="s">
        <v>65</v>
      </c>
      <c r="L520" s="22" t="s">
        <v>67</v>
      </c>
      <c r="M520" s="22" t="s">
        <v>69</v>
      </c>
    </row>
    <row r="521" spans="1:13">
      <c r="A521" s="22" t="s">
        <v>1297</v>
      </c>
      <c r="B521" s="22" t="s">
        <v>1298</v>
      </c>
      <c r="C521" s="22" t="s">
        <v>204</v>
      </c>
      <c r="D521" s="22" t="s">
        <v>1183</v>
      </c>
      <c r="E521" s="22">
        <v>10</v>
      </c>
      <c r="F521" s="22">
        <v>31</v>
      </c>
      <c r="G521" s="22" t="s">
        <v>1268</v>
      </c>
      <c r="H521" s="22" t="s">
        <v>148</v>
      </c>
      <c r="I521" s="22" t="s">
        <v>253</v>
      </c>
      <c r="J521" s="22" t="s">
        <v>1183</v>
      </c>
      <c r="K521" s="22" t="s">
        <v>65</v>
      </c>
      <c r="L521" s="22" t="s">
        <v>67</v>
      </c>
      <c r="M521" s="22" t="s">
        <v>69</v>
      </c>
    </row>
    <row r="522" spans="1:13">
      <c r="A522" s="22" t="s">
        <v>1299</v>
      </c>
      <c r="B522" s="22" t="s">
        <v>1300</v>
      </c>
      <c r="C522" s="22" t="s">
        <v>204</v>
      </c>
      <c r="D522" s="22" t="s">
        <v>1183</v>
      </c>
      <c r="E522" s="22">
        <v>10</v>
      </c>
      <c r="F522" s="22">
        <v>34</v>
      </c>
      <c r="G522" s="22" t="s">
        <v>1268</v>
      </c>
      <c r="H522" s="22" t="s">
        <v>148</v>
      </c>
      <c r="I522" s="22" t="s">
        <v>256</v>
      </c>
      <c r="J522" s="22" t="s">
        <v>1183</v>
      </c>
      <c r="K522" s="22" t="s">
        <v>65</v>
      </c>
      <c r="L522" s="22" t="s">
        <v>67</v>
      </c>
      <c r="M522" s="22" t="s">
        <v>69</v>
      </c>
    </row>
    <row r="523" spans="1:13">
      <c r="A523" s="22" t="s">
        <v>1301</v>
      </c>
      <c r="B523" s="22" t="s">
        <v>1302</v>
      </c>
      <c r="C523" s="22" t="s">
        <v>213</v>
      </c>
      <c r="D523" s="22" t="s">
        <v>1183</v>
      </c>
      <c r="E523" s="22">
        <v>10</v>
      </c>
      <c r="F523" s="22">
        <v>13</v>
      </c>
      <c r="G523" s="22" t="s">
        <v>1268</v>
      </c>
      <c r="H523" s="22" t="s">
        <v>148</v>
      </c>
      <c r="I523" s="22" t="s">
        <v>259</v>
      </c>
      <c r="J523" s="22" t="s">
        <v>1183</v>
      </c>
      <c r="K523" s="22" t="s">
        <v>65</v>
      </c>
      <c r="L523" s="22" t="s">
        <v>67</v>
      </c>
      <c r="M523" s="22" t="s">
        <v>69</v>
      </c>
    </row>
    <row r="524" spans="1:13">
      <c r="A524" s="22" t="s">
        <v>1303</v>
      </c>
      <c r="B524" s="22" t="s">
        <v>1304</v>
      </c>
      <c r="C524" s="22" t="s">
        <v>213</v>
      </c>
      <c r="D524" s="22" t="s">
        <v>1183</v>
      </c>
      <c r="E524" s="22">
        <v>10</v>
      </c>
      <c r="F524" s="22">
        <v>43</v>
      </c>
      <c r="G524" s="22" t="s">
        <v>1268</v>
      </c>
      <c r="H524" s="22" t="s">
        <v>148</v>
      </c>
      <c r="I524" s="22" t="s">
        <v>262</v>
      </c>
      <c r="J524" s="22" t="s">
        <v>1183</v>
      </c>
      <c r="K524" s="22" t="s">
        <v>65</v>
      </c>
      <c r="L524" s="22" t="s">
        <v>67</v>
      </c>
      <c r="M524" s="22" t="s">
        <v>69</v>
      </c>
    </row>
    <row r="525" spans="1:13">
      <c r="A525" s="22" t="s">
        <v>1305</v>
      </c>
      <c r="B525" s="22" t="s">
        <v>1306</v>
      </c>
      <c r="C525" s="22" t="s">
        <v>213</v>
      </c>
      <c r="D525" s="22" t="s">
        <v>1183</v>
      </c>
      <c r="E525" s="22">
        <v>11</v>
      </c>
      <c r="F525" s="22">
        <v>30</v>
      </c>
      <c r="G525" s="22" t="s">
        <v>1268</v>
      </c>
      <c r="H525" s="22" t="s">
        <v>148</v>
      </c>
      <c r="I525" s="22" t="s">
        <v>265</v>
      </c>
      <c r="J525" s="22" t="s">
        <v>1183</v>
      </c>
      <c r="K525" s="22" t="s">
        <v>65</v>
      </c>
      <c r="L525" s="22" t="s">
        <v>67</v>
      </c>
      <c r="M525" s="22" t="s">
        <v>69</v>
      </c>
    </row>
    <row r="526" spans="1:13">
      <c r="A526" s="22" t="s">
        <v>1307</v>
      </c>
      <c r="B526" s="22" t="s">
        <v>1308</v>
      </c>
      <c r="C526" s="22" t="s">
        <v>213</v>
      </c>
      <c r="D526" s="22" t="s">
        <v>1183</v>
      </c>
      <c r="E526" s="22">
        <v>11</v>
      </c>
      <c r="F526" s="22">
        <v>48</v>
      </c>
      <c r="G526" s="22" t="s">
        <v>1268</v>
      </c>
      <c r="H526" s="22" t="s">
        <v>148</v>
      </c>
      <c r="I526" s="22" t="s">
        <v>268</v>
      </c>
      <c r="J526" s="22" t="s">
        <v>1183</v>
      </c>
      <c r="K526" s="22" t="s">
        <v>65</v>
      </c>
      <c r="L526" s="22" t="s">
        <v>67</v>
      </c>
      <c r="M526" s="22" t="s">
        <v>69</v>
      </c>
    </row>
    <row r="527" spans="1:13">
      <c r="A527" s="22" t="s">
        <v>1309</v>
      </c>
      <c r="B527" s="22" t="s">
        <v>1310</v>
      </c>
      <c r="C527" s="22" t="s">
        <v>204</v>
      </c>
      <c r="D527" s="22" t="s">
        <v>1183</v>
      </c>
      <c r="E527" s="22">
        <v>11</v>
      </c>
      <c r="F527" s="22">
        <v>43</v>
      </c>
      <c r="G527" s="22" t="s">
        <v>1268</v>
      </c>
      <c r="H527" s="22" t="s">
        <v>148</v>
      </c>
      <c r="I527" s="22" t="s">
        <v>271</v>
      </c>
      <c r="J527" s="22" t="s">
        <v>1183</v>
      </c>
      <c r="K527" s="22" t="s">
        <v>65</v>
      </c>
      <c r="L527" s="22" t="s">
        <v>67</v>
      </c>
      <c r="M527" s="22" t="s">
        <v>69</v>
      </c>
    </row>
    <row r="528" spans="1:13">
      <c r="A528" s="22" t="s">
        <v>1311</v>
      </c>
      <c r="B528" s="22" t="s">
        <v>1312</v>
      </c>
      <c r="C528" s="22" t="s">
        <v>213</v>
      </c>
      <c r="D528" s="22" t="s">
        <v>1183</v>
      </c>
      <c r="E528" s="22">
        <v>10</v>
      </c>
      <c r="F528" s="22">
        <v>12</v>
      </c>
      <c r="G528" s="22" t="s">
        <v>1268</v>
      </c>
      <c r="H528" s="22" t="s">
        <v>148</v>
      </c>
      <c r="I528" s="22" t="s">
        <v>274</v>
      </c>
      <c r="J528" s="22" t="s">
        <v>1183</v>
      </c>
      <c r="K528" s="22" t="s">
        <v>65</v>
      </c>
      <c r="L528" s="22" t="s">
        <v>67</v>
      </c>
      <c r="M528" s="22" t="s">
        <v>69</v>
      </c>
    </row>
    <row r="529" spans="1:13">
      <c r="A529" s="22" t="s">
        <v>1313</v>
      </c>
      <c r="B529" s="22" t="s">
        <v>1314</v>
      </c>
      <c r="C529" s="22" t="s">
        <v>213</v>
      </c>
      <c r="D529" s="22" t="s">
        <v>1183</v>
      </c>
      <c r="E529" s="22">
        <v>11</v>
      </c>
      <c r="F529" s="22">
        <v>44</v>
      </c>
      <c r="G529" s="22" t="s">
        <v>1268</v>
      </c>
      <c r="H529" s="22" t="s">
        <v>148</v>
      </c>
      <c r="I529" s="22" t="s">
        <v>277</v>
      </c>
      <c r="J529" s="22" t="s">
        <v>1183</v>
      </c>
      <c r="K529" s="22" t="s">
        <v>65</v>
      </c>
      <c r="L529" s="22" t="s">
        <v>67</v>
      </c>
      <c r="M529" s="22" t="s">
        <v>69</v>
      </c>
    </row>
    <row r="530" spans="1:13">
      <c r="A530" s="22" t="s">
        <v>1315</v>
      </c>
      <c r="B530" s="22" t="s">
        <v>1316</v>
      </c>
      <c r="C530" s="22" t="s">
        <v>213</v>
      </c>
      <c r="D530" s="22" t="s">
        <v>1183</v>
      </c>
      <c r="E530" s="22">
        <v>10</v>
      </c>
      <c r="F530" s="22">
        <v>45</v>
      </c>
      <c r="G530" s="22" t="s">
        <v>1268</v>
      </c>
      <c r="H530" s="22" t="s">
        <v>148</v>
      </c>
      <c r="I530" s="22" t="s">
        <v>280</v>
      </c>
      <c r="J530" s="22" t="s">
        <v>1183</v>
      </c>
      <c r="K530" s="22" t="s">
        <v>65</v>
      </c>
      <c r="L530" s="22" t="s">
        <v>67</v>
      </c>
      <c r="M530" s="22" t="s">
        <v>69</v>
      </c>
    </row>
    <row r="531" spans="1:13">
      <c r="A531" s="22" t="s">
        <v>1317</v>
      </c>
      <c r="B531" s="22" t="s">
        <v>1318</v>
      </c>
      <c r="C531" s="22" t="s">
        <v>204</v>
      </c>
      <c r="D531" s="22" t="s">
        <v>1183</v>
      </c>
      <c r="E531" s="22">
        <v>10</v>
      </c>
      <c r="F531" s="22">
        <v>14</v>
      </c>
      <c r="G531" s="22" t="s">
        <v>1268</v>
      </c>
      <c r="H531" s="22" t="s">
        <v>148</v>
      </c>
      <c r="I531" s="22" t="s">
        <v>283</v>
      </c>
      <c r="J531" s="22" t="s">
        <v>1183</v>
      </c>
      <c r="K531" s="22" t="s">
        <v>65</v>
      </c>
      <c r="L531" s="22" t="s">
        <v>67</v>
      </c>
      <c r="M531" s="22" t="s">
        <v>69</v>
      </c>
    </row>
    <row r="532" spans="1:13">
      <c r="A532" s="22" t="s">
        <v>1319</v>
      </c>
      <c r="B532" s="22" t="s">
        <v>1320</v>
      </c>
      <c r="C532" s="22" t="s">
        <v>204</v>
      </c>
      <c r="D532" s="22" t="s">
        <v>1183</v>
      </c>
      <c r="E532" s="22">
        <v>11</v>
      </c>
      <c r="F532" s="22">
        <v>51</v>
      </c>
      <c r="G532" s="22" t="s">
        <v>1268</v>
      </c>
      <c r="H532" s="22" t="s">
        <v>148</v>
      </c>
      <c r="I532" s="22" t="s">
        <v>286</v>
      </c>
      <c r="J532" s="22" t="s">
        <v>1183</v>
      </c>
      <c r="K532" s="22" t="s">
        <v>65</v>
      </c>
      <c r="L532" s="22" t="s">
        <v>67</v>
      </c>
      <c r="M532" s="22" t="s">
        <v>69</v>
      </c>
    </row>
    <row r="533" spans="1:13">
      <c r="A533" s="22" t="s">
        <v>1321</v>
      </c>
      <c r="B533" s="22" t="s">
        <v>1322</v>
      </c>
      <c r="C533" s="22" t="s">
        <v>204</v>
      </c>
      <c r="D533" s="22" t="s">
        <v>1183</v>
      </c>
      <c r="E533" s="22">
        <v>10</v>
      </c>
      <c r="F533" s="22">
        <v>5</v>
      </c>
      <c r="G533" s="22" t="s">
        <v>1268</v>
      </c>
      <c r="H533" s="22" t="s">
        <v>148</v>
      </c>
      <c r="I533" s="22" t="s">
        <v>289</v>
      </c>
      <c r="J533" s="22" t="s">
        <v>1183</v>
      </c>
      <c r="K533" s="22" t="s">
        <v>65</v>
      </c>
      <c r="L533" s="22" t="s">
        <v>67</v>
      </c>
      <c r="M533" s="22" t="s">
        <v>69</v>
      </c>
    </row>
    <row r="534" spans="1:13">
      <c r="A534" s="22" t="s">
        <v>1323</v>
      </c>
      <c r="B534" s="22" t="s">
        <v>1324</v>
      </c>
      <c r="C534" s="22" t="s">
        <v>213</v>
      </c>
      <c r="D534" s="22" t="s">
        <v>1183</v>
      </c>
      <c r="E534" s="22">
        <v>10</v>
      </c>
      <c r="F534" s="22">
        <v>17</v>
      </c>
      <c r="G534" s="22" t="s">
        <v>1268</v>
      </c>
      <c r="H534" s="22" t="s">
        <v>148</v>
      </c>
      <c r="I534" s="22" t="s">
        <v>292</v>
      </c>
      <c r="J534" s="22" t="s">
        <v>1183</v>
      </c>
      <c r="K534" s="22" t="s">
        <v>65</v>
      </c>
      <c r="L534" s="22" t="s">
        <v>67</v>
      </c>
      <c r="M534" s="22" t="s">
        <v>69</v>
      </c>
    </row>
    <row r="535" spans="1:13">
      <c r="A535" s="22" t="s">
        <v>1325</v>
      </c>
      <c r="B535" s="22" t="s">
        <v>1326</v>
      </c>
      <c r="C535" s="22" t="s">
        <v>213</v>
      </c>
      <c r="D535" s="22" t="s">
        <v>1183</v>
      </c>
      <c r="E535" s="22">
        <v>10</v>
      </c>
      <c r="F535" s="22">
        <v>40</v>
      </c>
      <c r="G535" s="22" t="s">
        <v>1268</v>
      </c>
      <c r="H535" s="22" t="s">
        <v>148</v>
      </c>
      <c r="I535" s="22" t="s">
        <v>295</v>
      </c>
      <c r="J535" s="22" t="s">
        <v>1183</v>
      </c>
      <c r="K535" s="22" t="s">
        <v>65</v>
      </c>
      <c r="L535" s="22" t="s">
        <v>67</v>
      </c>
      <c r="M535" s="22" t="s">
        <v>69</v>
      </c>
    </row>
    <row r="536" spans="1:13">
      <c r="A536" s="22" t="s">
        <v>1327</v>
      </c>
      <c r="B536" s="22" t="s">
        <v>1328</v>
      </c>
      <c r="C536" s="22" t="s">
        <v>213</v>
      </c>
      <c r="D536" s="22" t="s">
        <v>1183</v>
      </c>
      <c r="E536" s="22">
        <v>10</v>
      </c>
      <c r="F536" s="22">
        <v>21</v>
      </c>
      <c r="G536" s="22" t="s">
        <v>1268</v>
      </c>
      <c r="H536" s="22" t="s">
        <v>148</v>
      </c>
      <c r="I536" s="22" t="s">
        <v>298</v>
      </c>
      <c r="J536" s="22" t="s">
        <v>1183</v>
      </c>
      <c r="K536" s="22" t="s">
        <v>65</v>
      </c>
      <c r="L536" s="22" t="s">
        <v>67</v>
      </c>
      <c r="M536" s="22" t="s">
        <v>69</v>
      </c>
    </row>
    <row r="537" spans="1:13">
      <c r="A537" s="22" t="s">
        <v>1329</v>
      </c>
      <c r="B537" s="22" t="s">
        <v>1330</v>
      </c>
      <c r="C537" s="22" t="s">
        <v>204</v>
      </c>
      <c r="D537" s="22" t="s">
        <v>1183</v>
      </c>
      <c r="E537" s="22">
        <v>11</v>
      </c>
      <c r="F537" s="22">
        <v>8</v>
      </c>
      <c r="G537" s="22" t="s">
        <v>1268</v>
      </c>
      <c r="H537" s="22" t="s">
        <v>148</v>
      </c>
      <c r="I537" s="22" t="s">
        <v>301</v>
      </c>
      <c r="J537" s="22" t="s">
        <v>1183</v>
      </c>
      <c r="K537" s="22" t="s">
        <v>65</v>
      </c>
      <c r="L537" s="22" t="s">
        <v>67</v>
      </c>
      <c r="M537" s="22" t="s">
        <v>69</v>
      </c>
    </row>
    <row r="538" spans="1:13">
      <c r="A538" s="22" t="s">
        <v>1331</v>
      </c>
      <c r="B538" s="22" t="s">
        <v>1332</v>
      </c>
      <c r="C538" s="22" t="s">
        <v>213</v>
      </c>
      <c r="D538" s="22" t="s">
        <v>1183</v>
      </c>
      <c r="E538" s="22">
        <v>10</v>
      </c>
      <c r="F538" s="22">
        <v>38</v>
      </c>
      <c r="G538" s="22" t="s">
        <v>1268</v>
      </c>
      <c r="H538" s="22" t="s">
        <v>148</v>
      </c>
      <c r="I538" s="22" t="s">
        <v>304</v>
      </c>
      <c r="J538" s="22" t="s">
        <v>1183</v>
      </c>
      <c r="K538" s="22" t="s">
        <v>65</v>
      </c>
      <c r="L538" s="22" t="s">
        <v>67</v>
      </c>
      <c r="M538" s="22" t="s">
        <v>69</v>
      </c>
    </row>
    <row r="539" spans="1:13">
      <c r="A539" s="22" t="s">
        <v>1333</v>
      </c>
      <c r="B539" s="22" t="s">
        <v>1334</v>
      </c>
      <c r="C539" s="22" t="s">
        <v>213</v>
      </c>
      <c r="D539" s="22" t="s">
        <v>1183</v>
      </c>
      <c r="E539" s="22">
        <v>11</v>
      </c>
      <c r="F539" s="22">
        <v>23</v>
      </c>
      <c r="G539" s="22" t="s">
        <v>1268</v>
      </c>
      <c r="H539" s="22" t="s">
        <v>148</v>
      </c>
      <c r="I539" s="22" t="s">
        <v>307</v>
      </c>
      <c r="J539" s="22" t="s">
        <v>1183</v>
      </c>
      <c r="K539" s="22" t="s">
        <v>65</v>
      </c>
      <c r="L539" s="22" t="s">
        <v>67</v>
      </c>
      <c r="M539" s="22" t="s">
        <v>69</v>
      </c>
    </row>
    <row r="540" spans="1:13">
      <c r="A540" s="22" t="s">
        <v>1335</v>
      </c>
      <c r="B540" s="22" t="s">
        <v>1336</v>
      </c>
      <c r="C540" s="22" t="s">
        <v>213</v>
      </c>
      <c r="D540" s="22" t="s">
        <v>1183</v>
      </c>
      <c r="E540" s="22">
        <v>10</v>
      </c>
      <c r="F540" s="22">
        <v>29</v>
      </c>
      <c r="G540" s="22" t="s">
        <v>1268</v>
      </c>
      <c r="H540" s="22" t="s">
        <v>148</v>
      </c>
      <c r="I540" s="22" t="s">
        <v>310</v>
      </c>
      <c r="J540" s="22" t="s">
        <v>1183</v>
      </c>
      <c r="K540" s="22" t="s">
        <v>65</v>
      </c>
      <c r="L540" s="22" t="s">
        <v>67</v>
      </c>
      <c r="M540" s="22" t="s">
        <v>69</v>
      </c>
    </row>
    <row r="541" spans="1:13">
      <c r="A541" s="22" t="s">
        <v>1337</v>
      </c>
      <c r="B541" s="22" t="s">
        <v>1338</v>
      </c>
      <c r="C541" s="22" t="s">
        <v>213</v>
      </c>
      <c r="D541" s="22" t="s">
        <v>1183</v>
      </c>
      <c r="E541" s="22">
        <v>10</v>
      </c>
      <c r="F541" s="22">
        <v>3</v>
      </c>
      <c r="G541" s="22" t="s">
        <v>1268</v>
      </c>
      <c r="H541" s="22" t="s">
        <v>148</v>
      </c>
      <c r="I541" s="22" t="s">
        <v>313</v>
      </c>
      <c r="J541" s="22" t="s">
        <v>1183</v>
      </c>
      <c r="K541" s="22" t="s">
        <v>65</v>
      </c>
      <c r="L541" s="22" t="s">
        <v>67</v>
      </c>
      <c r="M541" s="22" t="s">
        <v>69</v>
      </c>
    </row>
    <row r="542" spans="1:13">
      <c r="A542" s="22" t="s">
        <v>1339</v>
      </c>
      <c r="B542" s="22" t="s">
        <v>1340</v>
      </c>
      <c r="C542" s="22" t="s">
        <v>213</v>
      </c>
      <c r="D542" s="22" t="s">
        <v>1183</v>
      </c>
      <c r="E542" s="22">
        <v>11</v>
      </c>
      <c r="F542" s="22">
        <v>16</v>
      </c>
      <c r="G542" s="22" t="s">
        <v>1268</v>
      </c>
      <c r="H542" s="22" t="s">
        <v>148</v>
      </c>
      <c r="I542" s="22" t="s">
        <v>316</v>
      </c>
      <c r="J542" s="22" t="s">
        <v>1183</v>
      </c>
      <c r="K542" s="22" t="s">
        <v>65</v>
      </c>
      <c r="L542" s="22" t="s">
        <v>67</v>
      </c>
      <c r="M542" s="22" t="s">
        <v>69</v>
      </c>
    </row>
    <row r="543" spans="1:13">
      <c r="A543" s="22" t="s">
        <v>1341</v>
      </c>
      <c r="B543" s="22" t="s">
        <v>1342</v>
      </c>
      <c r="C543" s="22" t="s">
        <v>204</v>
      </c>
      <c r="D543" s="22" t="s">
        <v>1183</v>
      </c>
      <c r="E543" s="22">
        <v>10</v>
      </c>
      <c r="F543" s="22">
        <v>30</v>
      </c>
      <c r="G543" s="22" t="s">
        <v>1268</v>
      </c>
      <c r="H543" s="22" t="s">
        <v>148</v>
      </c>
      <c r="I543" s="22" t="s">
        <v>319</v>
      </c>
      <c r="J543" s="22" t="s">
        <v>1183</v>
      </c>
      <c r="K543" s="22" t="s">
        <v>65</v>
      </c>
      <c r="L543" s="22" t="s">
        <v>67</v>
      </c>
      <c r="M543" s="22" t="s">
        <v>69</v>
      </c>
    </row>
    <row r="544" spans="1:13">
      <c r="A544" s="22" t="s">
        <v>1343</v>
      </c>
      <c r="B544" s="22" t="s">
        <v>1344</v>
      </c>
      <c r="C544" s="22" t="s">
        <v>213</v>
      </c>
      <c r="D544" s="22" t="s">
        <v>1183</v>
      </c>
      <c r="E544" s="22">
        <v>11</v>
      </c>
      <c r="F544" s="22">
        <v>50</v>
      </c>
      <c r="G544" s="22" t="s">
        <v>1268</v>
      </c>
      <c r="H544" s="22" t="s">
        <v>148</v>
      </c>
      <c r="I544" s="22" t="s">
        <v>322</v>
      </c>
      <c r="J544" s="22" t="s">
        <v>1183</v>
      </c>
      <c r="K544" s="22" t="s">
        <v>65</v>
      </c>
      <c r="L544" s="22" t="s">
        <v>67</v>
      </c>
      <c r="M544" s="22" t="s">
        <v>69</v>
      </c>
    </row>
    <row r="545" spans="1:13">
      <c r="A545" s="22" t="s">
        <v>1345</v>
      </c>
      <c r="B545" s="22" t="s">
        <v>1346</v>
      </c>
      <c r="C545" s="22" t="s">
        <v>204</v>
      </c>
      <c r="D545" s="22" t="s">
        <v>1183</v>
      </c>
      <c r="E545" s="22">
        <v>11</v>
      </c>
      <c r="F545" s="22">
        <v>32</v>
      </c>
      <c r="G545" s="22" t="s">
        <v>1268</v>
      </c>
      <c r="H545" s="22" t="s">
        <v>148</v>
      </c>
      <c r="I545" s="22" t="s">
        <v>325</v>
      </c>
      <c r="J545" s="22" t="s">
        <v>1183</v>
      </c>
      <c r="K545" s="22" t="s">
        <v>65</v>
      </c>
      <c r="L545" s="22" t="s">
        <v>67</v>
      </c>
      <c r="M545" s="22" t="s">
        <v>69</v>
      </c>
    </row>
    <row r="546" spans="1:13">
      <c r="A546" s="22" t="s">
        <v>1347</v>
      </c>
      <c r="B546" s="22" t="s">
        <v>1348</v>
      </c>
      <c r="C546" s="22" t="s">
        <v>213</v>
      </c>
      <c r="D546" s="22" t="s">
        <v>1183</v>
      </c>
      <c r="E546" s="22">
        <v>11</v>
      </c>
      <c r="F546" s="22">
        <v>19</v>
      </c>
      <c r="G546" s="22" t="s">
        <v>1268</v>
      </c>
      <c r="H546" s="22" t="s">
        <v>148</v>
      </c>
      <c r="I546" s="22" t="s">
        <v>328</v>
      </c>
      <c r="J546" s="22" t="s">
        <v>1183</v>
      </c>
      <c r="K546" s="22" t="s">
        <v>65</v>
      </c>
      <c r="L546" s="22" t="s">
        <v>67</v>
      </c>
      <c r="M546" s="22" t="s">
        <v>69</v>
      </c>
    </row>
    <row r="547" spans="1:13">
      <c r="A547" s="22" t="s">
        <v>1349</v>
      </c>
      <c r="B547" s="22" t="s">
        <v>1350</v>
      </c>
      <c r="C547" s="22" t="s">
        <v>213</v>
      </c>
      <c r="D547" s="22" t="s">
        <v>1183</v>
      </c>
      <c r="E547" s="22">
        <v>10</v>
      </c>
      <c r="F547" s="22">
        <v>44</v>
      </c>
      <c r="G547" s="22" t="s">
        <v>1268</v>
      </c>
      <c r="H547" s="22" t="s">
        <v>148</v>
      </c>
      <c r="I547" s="22" t="s">
        <v>331</v>
      </c>
      <c r="J547" s="22" t="s">
        <v>1183</v>
      </c>
      <c r="K547" s="22" t="s">
        <v>65</v>
      </c>
      <c r="L547" s="22" t="s">
        <v>67</v>
      </c>
      <c r="M547" s="22" t="s">
        <v>69</v>
      </c>
    </row>
    <row r="548" spans="1:13">
      <c r="A548" s="22" t="s">
        <v>1351</v>
      </c>
      <c r="B548" s="22" t="s">
        <v>1352</v>
      </c>
      <c r="C548" s="22" t="s">
        <v>204</v>
      </c>
      <c r="D548" s="22" t="s">
        <v>1353</v>
      </c>
      <c r="E548" s="22">
        <v>12</v>
      </c>
      <c r="F548" s="22">
        <v>48</v>
      </c>
      <c r="G548" s="22" t="s">
        <v>1354</v>
      </c>
      <c r="H548" s="22" t="s">
        <v>149</v>
      </c>
      <c r="I548" s="22" t="s">
        <v>207</v>
      </c>
      <c r="J548" s="22" t="s">
        <v>1353</v>
      </c>
      <c r="K548" s="22" t="s">
        <v>65</v>
      </c>
      <c r="L548" s="22" t="s">
        <v>67</v>
      </c>
      <c r="M548" s="22" t="s">
        <v>70</v>
      </c>
    </row>
    <row r="549" spans="1:13">
      <c r="A549" s="22" t="s">
        <v>1355</v>
      </c>
      <c r="B549" s="22" t="s">
        <v>1356</v>
      </c>
      <c r="C549" s="22" t="s">
        <v>204</v>
      </c>
      <c r="D549" s="22" t="s">
        <v>1353</v>
      </c>
      <c r="E549" s="22">
        <v>12</v>
      </c>
      <c r="F549" s="22">
        <v>33</v>
      </c>
      <c r="G549" s="22" t="s">
        <v>1354</v>
      </c>
      <c r="H549" s="22" t="s">
        <v>149</v>
      </c>
      <c r="I549" s="22" t="s">
        <v>210</v>
      </c>
      <c r="J549" s="22" t="s">
        <v>1353</v>
      </c>
      <c r="K549" s="22" t="s">
        <v>65</v>
      </c>
      <c r="L549" s="22" t="s">
        <v>67</v>
      </c>
      <c r="M549" s="22" t="s">
        <v>70</v>
      </c>
    </row>
    <row r="550" spans="1:13">
      <c r="A550" s="22" t="s">
        <v>1357</v>
      </c>
      <c r="B550" s="22" t="s">
        <v>1358</v>
      </c>
      <c r="C550" s="22" t="s">
        <v>204</v>
      </c>
      <c r="D550" s="22" t="s">
        <v>1353</v>
      </c>
      <c r="E550" s="22">
        <v>12</v>
      </c>
      <c r="F550" s="22">
        <v>27</v>
      </c>
      <c r="G550" s="22" t="s">
        <v>1354</v>
      </c>
      <c r="H550" s="22" t="s">
        <v>149</v>
      </c>
      <c r="I550" s="22" t="s">
        <v>214</v>
      </c>
      <c r="J550" s="22" t="s">
        <v>1353</v>
      </c>
      <c r="K550" s="22" t="s">
        <v>65</v>
      </c>
      <c r="L550" s="22" t="s">
        <v>67</v>
      </c>
      <c r="M550" s="22" t="s">
        <v>70</v>
      </c>
    </row>
    <row r="551" spans="1:13">
      <c r="A551" s="22" t="s">
        <v>1359</v>
      </c>
      <c r="B551" s="22" t="s">
        <v>1360</v>
      </c>
      <c r="C551" s="22" t="s">
        <v>204</v>
      </c>
      <c r="D551" s="22" t="s">
        <v>1353</v>
      </c>
      <c r="E551" s="22">
        <v>12</v>
      </c>
      <c r="F551" s="22">
        <v>13</v>
      </c>
      <c r="G551" s="22" t="s">
        <v>1354</v>
      </c>
      <c r="H551" s="22" t="s">
        <v>149</v>
      </c>
      <c r="I551" s="22" t="s">
        <v>217</v>
      </c>
      <c r="J551" s="22" t="s">
        <v>1353</v>
      </c>
      <c r="K551" s="22" t="s">
        <v>65</v>
      </c>
      <c r="L551" s="22" t="s">
        <v>67</v>
      </c>
      <c r="M551" s="22" t="s">
        <v>70</v>
      </c>
    </row>
    <row r="552" spans="1:13">
      <c r="A552" s="22" t="s">
        <v>1361</v>
      </c>
      <c r="B552" s="22" t="s">
        <v>1362</v>
      </c>
      <c r="C552" s="22" t="s">
        <v>204</v>
      </c>
      <c r="D552" s="22" t="s">
        <v>1353</v>
      </c>
      <c r="E552" s="22">
        <v>12</v>
      </c>
      <c r="F552" s="22">
        <v>36</v>
      </c>
      <c r="G552" s="22" t="s">
        <v>1354</v>
      </c>
      <c r="H552" s="22" t="s">
        <v>149</v>
      </c>
      <c r="I552" s="22" t="s">
        <v>220</v>
      </c>
      <c r="J552" s="22" t="s">
        <v>1353</v>
      </c>
      <c r="K552" s="22" t="s">
        <v>65</v>
      </c>
      <c r="L552" s="22" t="s">
        <v>67</v>
      </c>
      <c r="M552" s="22" t="s">
        <v>70</v>
      </c>
    </row>
    <row r="553" spans="1:13">
      <c r="A553" s="22" t="s">
        <v>1363</v>
      </c>
      <c r="B553" s="22" t="s">
        <v>1364</v>
      </c>
      <c r="C553" s="22" t="s">
        <v>213</v>
      </c>
      <c r="D553" s="22" t="s">
        <v>1353</v>
      </c>
      <c r="E553" s="22">
        <v>12</v>
      </c>
      <c r="F553" s="22">
        <v>55</v>
      </c>
      <c r="G553" s="22" t="s">
        <v>1354</v>
      </c>
      <c r="H553" s="22" t="s">
        <v>149</v>
      </c>
      <c r="I553" s="22" t="s">
        <v>223</v>
      </c>
      <c r="J553" s="22" t="s">
        <v>1353</v>
      </c>
      <c r="K553" s="22" t="s">
        <v>65</v>
      </c>
      <c r="L553" s="22" t="s">
        <v>67</v>
      </c>
      <c r="M553" s="22" t="s">
        <v>70</v>
      </c>
    </row>
    <row r="554" spans="1:13">
      <c r="A554" s="22" t="s">
        <v>1365</v>
      </c>
      <c r="B554" s="22" t="s">
        <v>1366</v>
      </c>
      <c r="C554" s="22" t="s">
        <v>204</v>
      </c>
      <c r="D554" s="22" t="s">
        <v>1353</v>
      </c>
      <c r="E554" s="22">
        <v>12</v>
      </c>
      <c r="F554" s="22">
        <v>7</v>
      </c>
      <c r="G554" s="22" t="s">
        <v>1354</v>
      </c>
      <c r="H554" s="22" t="s">
        <v>149</v>
      </c>
      <c r="I554" s="22" t="s">
        <v>226</v>
      </c>
      <c r="J554" s="22" t="s">
        <v>1353</v>
      </c>
      <c r="K554" s="22" t="s">
        <v>65</v>
      </c>
      <c r="L554" s="22" t="s">
        <v>67</v>
      </c>
      <c r="M554" s="22" t="s">
        <v>70</v>
      </c>
    </row>
    <row r="555" spans="1:13">
      <c r="A555" s="22" t="s">
        <v>1367</v>
      </c>
      <c r="B555" s="22" t="s">
        <v>1368</v>
      </c>
      <c r="C555" s="22" t="s">
        <v>204</v>
      </c>
      <c r="D555" s="22" t="s">
        <v>1353</v>
      </c>
      <c r="E555" s="22">
        <v>12</v>
      </c>
      <c r="F555" s="22">
        <v>18</v>
      </c>
      <c r="G555" s="22" t="s">
        <v>1354</v>
      </c>
      <c r="H555" s="22" t="s">
        <v>149</v>
      </c>
      <c r="I555" s="22" t="s">
        <v>229</v>
      </c>
      <c r="J555" s="22" t="s">
        <v>1353</v>
      </c>
      <c r="K555" s="22" t="s">
        <v>65</v>
      </c>
      <c r="L555" s="22" t="s">
        <v>67</v>
      </c>
      <c r="M555" s="22" t="s">
        <v>70</v>
      </c>
    </row>
    <row r="556" spans="1:13">
      <c r="A556" s="22" t="s">
        <v>1369</v>
      </c>
      <c r="B556" s="22" t="s">
        <v>1370</v>
      </c>
      <c r="C556" s="22" t="s">
        <v>204</v>
      </c>
      <c r="D556" s="22" t="s">
        <v>1353</v>
      </c>
      <c r="E556" s="22">
        <v>12</v>
      </c>
      <c r="F556" s="22">
        <v>37</v>
      </c>
      <c r="G556" s="22" t="s">
        <v>1354</v>
      </c>
      <c r="H556" s="22" t="s">
        <v>149</v>
      </c>
      <c r="I556" s="22" t="s">
        <v>232</v>
      </c>
      <c r="J556" s="22" t="s">
        <v>1353</v>
      </c>
      <c r="K556" s="22" t="s">
        <v>65</v>
      </c>
      <c r="L556" s="22" t="s">
        <v>67</v>
      </c>
      <c r="M556" s="22" t="s">
        <v>70</v>
      </c>
    </row>
    <row r="557" spans="1:13">
      <c r="A557" s="22" t="s">
        <v>1371</v>
      </c>
      <c r="B557" s="22" t="s">
        <v>1372</v>
      </c>
      <c r="C557" s="22" t="s">
        <v>213</v>
      </c>
      <c r="D557" s="22" t="s">
        <v>1353</v>
      </c>
      <c r="E557" s="22">
        <v>12</v>
      </c>
      <c r="F557" s="22">
        <v>53</v>
      </c>
      <c r="G557" s="22" t="s">
        <v>1354</v>
      </c>
      <c r="H557" s="22" t="s">
        <v>149</v>
      </c>
      <c r="I557" s="22" t="s">
        <v>235</v>
      </c>
      <c r="J557" s="22" t="s">
        <v>1353</v>
      </c>
      <c r="K557" s="22" t="s">
        <v>65</v>
      </c>
      <c r="L557" s="22" t="s">
        <v>67</v>
      </c>
      <c r="M557" s="22" t="s">
        <v>70</v>
      </c>
    </row>
    <row r="558" spans="1:13">
      <c r="A558" s="22" t="s">
        <v>1373</v>
      </c>
      <c r="B558" s="22" t="s">
        <v>1374</v>
      </c>
      <c r="C558" s="22" t="s">
        <v>204</v>
      </c>
      <c r="D558" s="22" t="s">
        <v>1353</v>
      </c>
      <c r="E558" s="22">
        <v>12</v>
      </c>
      <c r="F558" s="22">
        <v>31</v>
      </c>
      <c r="G558" s="22" t="s">
        <v>1354</v>
      </c>
      <c r="H558" s="22" t="s">
        <v>149</v>
      </c>
      <c r="I558" s="22" t="s">
        <v>238</v>
      </c>
      <c r="J558" s="22" t="s">
        <v>1353</v>
      </c>
      <c r="K558" s="22" t="s">
        <v>65</v>
      </c>
      <c r="L558" s="22" t="s">
        <v>67</v>
      </c>
      <c r="M558" s="22" t="s">
        <v>70</v>
      </c>
    </row>
    <row r="559" spans="1:13">
      <c r="A559" s="22" t="s">
        <v>1375</v>
      </c>
      <c r="B559" s="22" t="s">
        <v>1376</v>
      </c>
      <c r="C559" s="22" t="s">
        <v>213</v>
      </c>
      <c r="D559" s="22" t="s">
        <v>1353</v>
      </c>
      <c r="E559" s="22">
        <v>12</v>
      </c>
      <c r="F559" s="22">
        <v>16</v>
      </c>
      <c r="G559" s="22" t="s">
        <v>1354</v>
      </c>
      <c r="H559" s="22" t="s">
        <v>149</v>
      </c>
      <c r="I559" s="22" t="s">
        <v>241</v>
      </c>
      <c r="J559" s="22" t="s">
        <v>1353</v>
      </c>
      <c r="K559" s="22" t="s">
        <v>65</v>
      </c>
      <c r="L559" s="22" t="s">
        <v>67</v>
      </c>
      <c r="M559" s="22" t="s">
        <v>70</v>
      </c>
    </row>
    <row r="560" spans="1:13">
      <c r="A560" s="22" t="s">
        <v>1377</v>
      </c>
      <c r="B560" s="22" t="s">
        <v>1378</v>
      </c>
      <c r="C560" s="22" t="s">
        <v>213</v>
      </c>
      <c r="D560" s="22" t="s">
        <v>1353</v>
      </c>
      <c r="E560" s="22">
        <v>12</v>
      </c>
      <c r="F560" s="22">
        <v>49</v>
      </c>
      <c r="G560" s="22" t="s">
        <v>1354</v>
      </c>
      <c r="H560" s="22" t="s">
        <v>149</v>
      </c>
      <c r="I560" s="22" t="s">
        <v>244</v>
      </c>
      <c r="J560" s="22" t="s">
        <v>1353</v>
      </c>
      <c r="K560" s="22" t="s">
        <v>65</v>
      </c>
      <c r="L560" s="22" t="s">
        <v>67</v>
      </c>
      <c r="M560" s="22" t="s">
        <v>70</v>
      </c>
    </row>
    <row r="561" spans="1:13">
      <c r="A561" s="22" t="s">
        <v>1379</v>
      </c>
      <c r="B561" s="22" t="s">
        <v>1380</v>
      </c>
      <c r="C561" s="22" t="s">
        <v>204</v>
      </c>
      <c r="D561" s="22" t="s">
        <v>1353</v>
      </c>
      <c r="E561" s="22">
        <v>12</v>
      </c>
      <c r="F561" s="22">
        <v>44</v>
      </c>
      <c r="G561" s="22" t="s">
        <v>1354</v>
      </c>
      <c r="H561" s="22" t="s">
        <v>149</v>
      </c>
      <c r="I561" s="22" t="s">
        <v>247</v>
      </c>
      <c r="J561" s="22" t="s">
        <v>1353</v>
      </c>
      <c r="K561" s="22" t="s">
        <v>65</v>
      </c>
      <c r="L561" s="22" t="s">
        <v>67</v>
      </c>
      <c r="M561" s="22" t="s">
        <v>70</v>
      </c>
    </row>
    <row r="562" spans="1:13">
      <c r="A562" s="22" t="s">
        <v>1381</v>
      </c>
      <c r="B562" s="22" t="s">
        <v>1382</v>
      </c>
      <c r="C562" s="22" t="s">
        <v>213</v>
      </c>
      <c r="D562" s="22" t="s">
        <v>1353</v>
      </c>
      <c r="E562" s="22">
        <v>12</v>
      </c>
      <c r="F562" s="22">
        <v>46</v>
      </c>
      <c r="G562" s="22" t="s">
        <v>1354</v>
      </c>
      <c r="H562" s="22" t="s">
        <v>149</v>
      </c>
      <c r="I562" s="22" t="s">
        <v>250</v>
      </c>
      <c r="J562" s="22" t="s">
        <v>1353</v>
      </c>
      <c r="K562" s="22" t="s">
        <v>65</v>
      </c>
      <c r="L562" s="22" t="s">
        <v>67</v>
      </c>
      <c r="M562" s="22" t="s">
        <v>70</v>
      </c>
    </row>
    <row r="563" spans="1:13">
      <c r="A563" s="22" t="s">
        <v>1383</v>
      </c>
      <c r="B563" s="22" t="s">
        <v>1384</v>
      </c>
      <c r="C563" s="22" t="s">
        <v>204</v>
      </c>
      <c r="D563" s="22" t="s">
        <v>1353</v>
      </c>
      <c r="E563" s="22">
        <v>12</v>
      </c>
      <c r="F563" s="22">
        <v>23</v>
      </c>
      <c r="G563" s="22" t="s">
        <v>1354</v>
      </c>
      <c r="H563" s="22" t="s">
        <v>149</v>
      </c>
      <c r="I563" s="22" t="s">
        <v>253</v>
      </c>
      <c r="J563" s="22" t="s">
        <v>1353</v>
      </c>
      <c r="K563" s="22" t="s">
        <v>65</v>
      </c>
      <c r="L563" s="22" t="s">
        <v>67</v>
      </c>
      <c r="M563" s="22" t="s">
        <v>70</v>
      </c>
    </row>
    <row r="564" spans="1:13">
      <c r="A564" s="22" t="s">
        <v>1385</v>
      </c>
      <c r="B564" s="22" t="s">
        <v>1386</v>
      </c>
      <c r="C564" s="22" t="s">
        <v>204</v>
      </c>
      <c r="D564" s="22" t="s">
        <v>1353</v>
      </c>
      <c r="E564" s="22">
        <v>12</v>
      </c>
      <c r="F564" s="22">
        <v>54</v>
      </c>
      <c r="G564" s="22" t="s">
        <v>1354</v>
      </c>
      <c r="H564" s="22" t="s">
        <v>149</v>
      </c>
      <c r="I564" s="22" t="s">
        <v>256</v>
      </c>
      <c r="J564" s="22" t="s">
        <v>1353</v>
      </c>
      <c r="K564" s="22" t="s">
        <v>65</v>
      </c>
      <c r="L564" s="22" t="s">
        <v>67</v>
      </c>
      <c r="M564" s="22" t="s">
        <v>70</v>
      </c>
    </row>
    <row r="565" spans="1:13">
      <c r="A565" s="22" t="s">
        <v>1387</v>
      </c>
      <c r="B565" s="22" t="s">
        <v>1388</v>
      </c>
      <c r="C565" s="22" t="s">
        <v>213</v>
      </c>
      <c r="D565" s="22" t="s">
        <v>1353</v>
      </c>
      <c r="E565" s="22">
        <v>12</v>
      </c>
      <c r="F565" s="22">
        <v>45</v>
      </c>
      <c r="G565" s="22" t="s">
        <v>1354</v>
      </c>
      <c r="H565" s="22" t="s">
        <v>149</v>
      </c>
      <c r="I565" s="22" t="s">
        <v>259</v>
      </c>
      <c r="J565" s="22" t="s">
        <v>1353</v>
      </c>
      <c r="K565" s="22" t="s">
        <v>65</v>
      </c>
      <c r="L565" s="22" t="s">
        <v>67</v>
      </c>
      <c r="M565" s="22" t="s">
        <v>70</v>
      </c>
    </row>
    <row r="566" spans="1:13">
      <c r="A566" s="22" t="s">
        <v>1389</v>
      </c>
      <c r="B566" s="22" t="s">
        <v>1390</v>
      </c>
      <c r="C566" s="22" t="s">
        <v>213</v>
      </c>
      <c r="D566" s="22" t="s">
        <v>1353</v>
      </c>
      <c r="E566" s="22">
        <v>12</v>
      </c>
      <c r="F566" s="22">
        <v>34</v>
      </c>
      <c r="G566" s="22" t="s">
        <v>1354</v>
      </c>
      <c r="H566" s="22" t="s">
        <v>149</v>
      </c>
      <c r="I566" s="22" t="s">
        <v>262</v>
      </c>
      <c r="J566" s="22" t="s">
        <v>1353</v>
      </c>
      <c r="K566" s="22" t="s">
        <v>65</v>
      </c>
      <c r="L566" s="22" t="s">
        <v>67</v>
      </c>
      <c r="M566" s="22" t="s">
        <v>70</v>
      </c>
    </row>
    <row r="567" spans="1:13">
      <c r="A567" s="22" t="s">
        <v>1391</v>
      </c>
      <c r="B567" s="22" t="s">
        <v>1392</v>
      </c>
      <c r="C567" s="22" t="s">
        <v>213</v>
      </c>
      <c r="D567" s="22" t="s">
        <v>1353</v>
      </c>
      <c r="E567" s="22">
        <v>12</v>
      </c>
      <c r="F567" s="22">
        <v>12</v>
      </c>
      <c r="G567" s="22" t="s">
        <v>1354</v>
      </c>
      <c r="H567" s="22" t="s">
        <v>149</v>
      </c>
      <c r="I567" s="22" t="s">
        <v>265</v>
      </c>
      <c r="J567" s="22" t="s">
        <v>1353</v>
      </c>
      <c r="K567" s="22" t="s">
        <v>65</v>
      </c>
      <c r="L567" s="22" t="s">
        <v>67</v>
      </c>
      <c r="M567" s="22" t="s">
        <v>70</v>
      </c>
    </row>
    <row r="568" spans="1:13">
      <c r="A568" s="22" t="s">
        <v>1393</v>
      </c>
      <c r="B568" s="22" t="s">
        <v>1394</v>
      </c>
      <c r="C568" s="22" t="s">
        <v>213</v>
      </c>
      <c r="D568" s="22" t="s">
        <v>1353</v>
      </c>
      <c r="E568" s="22">
        <v>12</v>
      </c>
      <c r="F568" s="22">
        <v>43</v>
      </c>
      <c r="G568" s="22" t="s">
        <v>1354</v>
      </c>
      <c r="H568" s="22" t="s">
        <v>149</v>
      </c>
      <c r="I568" s="22" t="s">
        <v>268</v>
      </c>
      <c r="J568" s="22" t="s">
        <v>1353</v>
      </c>
      <c r="K568" s="22" t="s">
        <v>65</v>
      </c>
      <c r="L568" s="22" t="s">
        <v>67</v>
      </c>
      <c r="M568" s="22" t="s">
        <v>70</v>
      </c>
    </row>
    <row r="569" spans="1:13">
      <c r="A569" s="22" t="s">
        <v>1395</v>
      </c>
      <c r="B569" s="22" t="s">
        <v>1396</v>
      </c>
      <c r="C569" s="22" t="s">
        <v>213</v>
      </c>
      <c r="D569" s="22" t="s">
        <v>1353</v>
      </c>
      <c r="E569" s="22">
        <v>12</v>
      </c>
      <c r="F569" s="22">
        <v>14</v>
      </c>
      <c r="G569" s="22" t="s">
        <v>1354</v>
      </c>
      <c r="H569" s="22" t="s">
        <v>149</v>
      </c>
      <c r="I569" s="22" t="s">
        <v>271</v>
      </c>
      <c r="J569" s="22" t="s">
        <v>1353</v>
      </c>
      <c r="K569" s="22" t="s">
        <v>65</v>
      </c>
      <c r="L569" s="22" t="s">
        <v>67</v>
      </c>
      <c r="M569" s="22" t="s">
        <v>70</v>
      </c>
    </row>
    <row r="570" spans="1:13">
      <c r="A570" s="22" t="s">
        <v>1397</v>
      </c>
      <c r="B570" s="22" t="s">
        <v>1398</v>
      </c>
      <c r="C570" s="22" t="s">
        <v>213</v>
      </c>
      <c r="D570" s="22" t="s">
        <v>1353</v>
      </c>
      <c r="E570" s="22">
        <v>12</v>
      </c>
      <c r="F570" s="22">
        <v>20</v>
      </c>
      <c r="G570" s="22" t="s">
        <v>1354</v>
      </c>
      <c r="H570" s="22" t="s">
        <v>149</v>
      </c>
      <c r="I570" s="22" t="s">
        <v>274</v>
      </c>
      <c r="J570" s="22" t="s">
        <v>1353</v>
      </c>
      <c r="K570" s="22" t="s">
        <v>65</v>
      </c>
      <c r="L570" s="22" t="s">
        <v>67</v>
      </c>
      <c r="M570" s="22" t="s">
        <v>70</v>
      </c>
    </row>
    <row r="571" spans="1:13">
      <c r="A571" s="22" t="s">
        <v>1399</v>
      </c>
      <c r="B571" s="22" t="s">
        <v>1400</v>
      </c>
      <c r="C571" s="22" t="s">
        <v>204</v>
      </c>
      <c r="D571" s="22" t="s">
        <v>1353</v>
      </c>
      <c r="E571" s="22">
        <v>12</v>
      </c>
      <c r="F571" s="22">
        <v>5</v>
      </c>
      <c r="G571" s="22" t="s">
        <v>1354</v>
      </c>
      <c r="H571" s="22" t="s">
        <v>149</v>
      </c>
      <c r="I571" s="22" t="s">
        <v>277</v>
      </c>
      <c r="J571" s="22" t="s">
        <v>1353</v>
      </c>
      <c r="K571" s="22" t="s">
        <v>65</v>
      </c>
      <c r="L571" s="22" t="s">
        <v>67</v>
      </c>
      <c r="M571" s="22" t="s">
        <v>70</v>
      </c>
    </row>
    <row r="572" spans="1:13">
      <c r="A572" s="22" t="s">
        <v>1401</v>
      </c>
      <c r="B572" s="22" t="s">
        <v>1402</v>
      </c>
      <c r="C572" s="22" t="s">
        <v>213</v>
      </c>
      <c r="D572" s="22" t="s">
        <v>1353</v>
      </c>
      <c r="E572" s="22">
        <v>12</v>
      </c>
      <c r="F572" s="22">
        <v>38</v>
      </c>
      <c r="G572" s="22" t="s">
        <v>1354</v>
      </c>
      <c r="H572" s="22" t="s">
        <v>149</v>
      </c>
      <c r="I572" s="22" t="s">
        <v>280</v>
      </c>
      <c r="J572" s="22" t="s">
        <v>1353</v>
      </c>
      <c r="K572" s="22" t="s">
        <v>65</v>
      </c>
      <c r="L572" s="22" t="s">
        <v>67</v>
      </c>
      <c r="M572" s="22" t="s">
        <v>70</v>
      </c>
    </row>
    <row r="573" spans="1:13">
      <c r="A573" s="22" t="s">
        <v>1403</v>
      </c>
      <c r="B573" s="22" t="s">
        <v>1404</v>
      </c>
      <c r="C573" s="22" t="s">
        <v>213</v>
      </c>
      <c r="D573" s="22" t="s">
        <v>1353</v>
      </c>
      <c r="E573" s="22">
        <v>12</v>
      </c>
      <c r="F573" s="22">
        <v>39</v>
      </c>
      <c r="G573" s="22" t="s">
        <v>1354</v>
      </c>
      <c r="H573" s="22" t="s">
        <v>149</v>
      </c>
      <c r="I573" s="22" t="s">
        <v>283</v>
      </c>
      <c r="J573" s="22" t="s">
        <v>1353</v>
      </c>
      <c r="K573" s="22" t="s">
        <v>65</v>
      </c>
      <c r="L573" s="22" t="s">
        <v>67</v>
      </c>
      <c r="M573" s="22" t="s">
        <v>70</v>
      </c>
    </row>
    <row r="574" spans="1:13">
      <c r="A574" s="22" t="s">
        <v>1405</v>
      </c>
      <c r="B574" s="22" t="s">
        <v>1406</v>
      </c>
      <c r="C574" s="22" t="s">
        <v>204</v>
      </c>
      <c r="D574" s="22" t="s">
        <v>1353</v>
      </c>
      <c r="E574" s="22">
        <v>12</v>
      </c>
      <c r="F574" s="22">
        <v>42</v>
      </c>
      <c r="G574" s="22" t="s">
        <v>1354</v>
      </c>
      <c r="H574" s="22" t="s">
        <v>149</v>
      </c>
      <c r="I574" s="22" t="s">
        <v>286</v>
      </c>
      <c r="J574" s="22" t="s">
        <v>1353</v>
      </c>
      <c r="K574" s="22" t="s">
        <v>65</v>
      </c>
      <c r="L574" s="22" t="s">
        <v>67</v>
      </c>
      <c r="M574" s="22" t="s">
        <v>70</v>
      </c>
    </row>
    <row r="575" spans="1:13">
      <c r="A575" s="22" t="s">
        <v>1407</v>
      </c>
      <c r="B575" s="22" t="s">
        <v>1408</v>
      </c>
      <c r="C575" s="22" t="s">
        <v>204</v>
      </c>
      <c r="D575" s="22" t="s">
        <v>1353</v>
      </c>
      <c r="E575" s="22">
        <v>12</v>
      </c>
      <c r="F575" s="22">
        <v>19</v>
      </c>
      <c r="G575" s="22" t="s">
        <v>1354</v>
      </c>
      <c r="H575" s="22" t="s">
        <v>149</v>
      </c>
      <c r="I575" s="22" t="s">
        <v>289</v>
      </c>
      <c r="J575" s="22" t="s">
        <v>1353</v>
      </c>
      <c r="K575" s="22" t="s">
        <v>65</v>
      </c>
      <c r="L575" s="22" t="s">
        <v>67</v>
      </c>
      <c r="M575" s="22" t="s">
        <v>70</v>
      </c>
    </row>
    <row r="576" spans="1:13">
      <c r="A576" s="22" t="s">
        <v>1409</v>
      </c>
      <c r="B576" s="22" t="s">
        <v>1410</v>
      </c>
      <c r="C576" s="22" t="s">
        <v>204</v>
      </c>
      <c r="D576" s="22" t="s">
        <v>1353</v>
      </c>
      <c r="E576" s="22">
        <v>12</v>
      </c>
      <c r="F576" s="22">
        <v>21</v>
      </c>
      <c r="G576" s="22" t="s">
        <v>1354</v>
      </c>
      <c r="H576" s="22" t="s">
        <v>149</v>
      </c>
      <c r="I576" s="22" t="s">
        <v>292</v>
      </c>
      <c r="J576" s="22" t="s">
        <v>1353</v>
      </c>
      <c r="K576" s="22" t="s">
        <v>65</v>
      </c>
      <c r="L576" s="22" t="s">
        <v>67</v>
      </c>
      <c r="M576" s="22" t="s">
        <v>70</v>
      </c>
    </row>
    <row r="577" spans="1:13">
      <c r="A577" s="22" t="s">
        <v>1411</v>
      </c>
      <c r="B577" s="22" t="s">
        <v>1412</v>
      </c>
      <c r="C577" s="22" t="s">
        <v>204</v>
      </c>
      <c r="D577" s="22" t="s">
        <v>1353</v>
      </c>
      <c r="E577" s="22">
        <v>12</v>
      </c>
      <c r="F577" s="22">
        <v>26</v>
      </c>
      <c r="G577" s="22" t="s">
        <v>1354</v>
      </c>
      <c r="H577" s="22" t="s">
        <v>149</v>
      </c>
      <c r="I577" s="22" t="s">
        <v>295</v>
      </c>
      <c r="J577" s="22" t="s">
        <v>1353</v>
      </c>
      <c r="K577" s="22" t="s">
        <v>65</v>
      </c>
      <c r="L577" s="22" t="s">
        <v>67</v>
      </c>
      <c r="M577" s="22" t="s">
        <v>70</v>
      </c>
    </row>
    <row r="578" spans="1:13">
      <c r="A578" s="22" t="s">
        <v>1413</v>
      </c>
      <c r="B578" s="22" t="s">
        <v>1414</v>
      </c>
      <c r="C578" s="22" t="s">
        <v>204</v>
      </c>
      <c r="D578" s="22" t="s">
        <v>1353</v>
      </c>
      <c r="E578" s="22">
        <v>12</v>
      </c>
      <c r="F578" s="22">
        <v>50</v>
      </c>
      <c r="G578" s="22" t="s">
        <v>1354</v>
      </c>
      <c r="H578" s="22" t="s">
        <v>149</v>
      </c>
      <c r="I578" s="22" t="s">
        <v>298</v>
      </c>
      <c r="J578" s="22" t="s">
        <v>1353</v>
      </c>
      <c r="K578" s="22" t="s">
        <v>65</v>
      </c>
      <c r="L578" s="22" t="s">
        <v>67</v>
      </c>
      <c r="M578" s="22" t="s">
        <v>70</v>
      </c>
    </row>
    <row r="579" spans="1:13">
      <c r="A579" s="22" t="s">
        <v>1415</v>
      </c>
      <c r="B579" s="22" t="s">
        <v>1416</v>
      </c>
      <c r="C579" s="22" t="s">
        <v>204</v>
      </c>
      <c r="D579" s="22" t="s">
        <v>1353</v>
      </c>
      <c r="E579" s="22">
        <v>12</v>
      </c>
      <c r="F579" s="22">
        <v>8</v>
      </c>
      <c r="G579" s="22" t="s">
        <v>1354</v>
      </c>
      <c r="H579" s="22" t="s">
        <v>149</v>
      </c>
      <c r="I579" s="22" t="s">
        <v>301</v>
      </c>
      <c r="J579" s="22" t="s">
        <v>1353</v>
      </c>
      <c r="K579" s="22" t="s">
        <v>65</v>
      </c>
      <c r="L579" s="22" t="s">
        <v>67</v>
      </c>
      <c r="M579" s="22" t="s">
        <v>70</v>
      </c>
    </row>
    <row r="580" spans="1:13">
      <c r="A580" s="22" t="s">
        <v>1417</v>
      </c>
      <c r="B580" s="22" t="s">
        <v>1418</v>
      </c>
      <c r="C580" s="22" t="s">
        <v>204</v>
      </c>
      <c r="D580" s="22" t="s">
        <v>1353</v>
      </c>
      <c r="E580" s="22">
        <v>12</v>
      </c>
      <c r="F580" s="22">
        <v>29</v>
      </c>
      <c r="G580" s="22" t="s">
        <v>1354</v>
      </c>
      <c r="H580" s="22" t="s">
        <v>149</v>
      </c>
      <c r="I580" s="22" t="s">
        <v>304</v>
      </c>
      <c r="J580" s="22" t="s">
        <v>1353</v>
      </c>
      <c r="K580" s="22" t="s">
        <v>65</v>
      </c>
      <c r="L580" s="22" t="s">
        <v>67</v>
      </c>
      <c r="M580" s="22" t="s">
        <v>70</v>
      </c>
    </row>
    <row r="581" spans="1:13">
      <c r="A581" s="22" t="s">
        <v>1419</v>
      </c>
      <c r="B581" s="22" t="s">
        <v>1420</v>
      </c>
      <c r="C581" s="22" t="s">
        <v>204</v>
      </c>
      <c r="D581" s="22" t="s">
        <v>1353</v>
      </c>
      <c r="E581" s="22">
        <v>12</v>
      </c>
      <c r="F581" s="22">
        <v>3</v>
      </c>
      <c r="G581" s="22" t="s">
        <v>1354</v>
      </c>
      <c r="H581" s="22" t="s">
        <v>149</v>
      </c>
      <c r="I581" s="22" t="s">
        <v>307</v>
      </c>
      <c r="J581" s="22" t="s">
        <v>1353</v>
      </c>
      <c r="K581" s="22" t="s">
        <v>65</v>
      </c>
      <c r="L581" s="22" t="s">
        <v>67</v>
      </c>
      <c r="M581" s="22" t="s">
        <v>70</v>
      </c>
    </row>
    <row r="582" spans="1:13">
      <c r="A582" s="22" t="s">
        <v>1421</v>
      </c>
      <c r="B582" s="22" t="s">
        <v>1422</v>
      </c>
      <c r="C582" s="22" t="s">
        <v>204</v>
      </c>
      <c r="D582" s="22" t="s">
        <v>1353</v>
      </c>
      <c r="E582" s="22">
        <v>12</v>
      </c>
      <c r="F582" s="22">
        <v>15</v>
      </c>
      <c r="G582" s="22" t="s">
        <v>1354</v>
      </c>
      <c r="H582" s="22" t="s">
        <v>149</v>
      </c>
      <c r="I582" s="22" t="s">
        <v>310</v>
      </c>
      <c r="J582" s="22" t="s">
        <v>1353</v>
      </c>
      <c r="K582" s="22" t="s">
        <v>65</v>
      </c>
      <c r="L582" s="22" t="s">
        <v>67</v>
      </c>
      <c r="M582" s="22" t="s">
        <v>70</v>
      </c>
    </row>
    <row r="583" spans="1:13">
      <c r="A583" s="22" t="s">
        <v>1423</v>
      </c>
      <c r="B583" s="22" t="s">
        <v>1424</v>
      </c>
      <c r="C583" s="22" t="s">
        <v>213</v>
      </c>
      <c r="D583" s="22" t="s">
        <v>1353</v>
      </c>
      <c r="E583" s="22">
        <v>12</v>
      </c>
      <c r="F583" s="22">
        <v>1</v>
      </c>
      <c r="G583" s="22" t="s">
        <v>1354</v>
      </c>
      <c r="H583" s="22" t="s">
        <v>149</v>
      </c>
      <c r="I583" s="22" t="s">
        <v>313</v>
      </c>
      <c r="J583" s="22" t="s">
        <v>1353</v>
      </c>
      <c r="K583" s="22" t="s">
        <v>65</v>
      </c>
      <c r="L583" s="22" t="s">
        <v>67</v>
      </c>
      <c r="M583" s="22" t="s">
        <v>70</v>
      </c>
    </row>
    <row r="584" spans="1:13">
      <c r="A584" s="22" t="s">
        <v>1425</v>
      </c>
      <c r="B584" s="22" t="s">
        <v>1426</v>
      </c>
      <c r="C584" s="22" t="s">
        <v>204</v>
      </c>
      <c r="D584" s="22" t="s">
        <v>1353</v>
      </c>
      <c r="E584" s="22">
        <v>12</v>
      </c>
      <c r="F584" s="22">
        <v>30</v>
      </c>
      <c r="G584" s="22" t="s">
        <v>1354</v>
      </c>
      <c r="H584" s="22" t="s">
        <v>149</v>
      </c>
      <c r="I584" s="22" t="s">
        <v>316</v>
      </c>
      <c r="J584" s="22" t="s">
        <v>1353</v>
      </c>
      <c r="K584" s="22" t="s">
        <v>65</v>
      </c>
      <c r="L584" s="22" t="s">
        <v>67</v>
      </c>
      <c r="M584" s="22" t="s">
        <v>70</v>
      </c>
    </row>
    <row r="585" spans="1:13">
      <c r="A585" s="22" t="s">
        <v>1427</v>
      </c>
      <c r="B585" s="22" t="s">
        <v>1428</v>
      </c>
      <c r="C585" s="22" t="s">
        <v>204</v>
      </c>
      <c r="D585" s="22" t="s">
        <v>1353</v>
      </c>
      <c r="E585" s="22">
        <v>12</v>
      </c>
      <c r="F585" s="22">
        <v>52</v>
      </c>
      <c r="G585" s="22" t="s">
        <v>1354</v>
      </c>
      <c r="H585" s="22" t="s">
        <v>149</v>
      </c>
      <c r="I585" s="22" t="s">
        <v>319</v>
      </c>
      <c r="J585" s="22" t="s">
        <v>1353</v>
      </c>
      <c r="K585" s="22" t="s">
        <v>65</v>
      </c>
      <c r="L585" s="22" t="s">
        <v>67</v>
      </c>
      <c r="M585" s="22" t="s">
        <v>70</v>
      </c>
    </row>
    <row r="586" spans="1:13">
      <c r="A586" s="22" t="s">
        <v>1429</v>
      </c>
      <c r="B586" s="22" t="s">
        <v>1430</v>
      </c>
      <c r="C586" s="22" t="s">
        <v>204</v>
      </c>
      <c r="D586" s="22" t="s">
        <v>1353</v>
      </c>
      <c r="E586" s="22">
        <v>12</v>
      </c>
      <c r="F586" s="22">
        <v>17</v>
      </c>
      <c r="G586" s="22" t="s">
        <v>1354</v>
      </c>
      <c r="H586" s="22" t="s">
        <v>149</v>
      </c>
      <c r="I586" s="22" t="s">
        <v>322</v>
      </c>
      <c r="J586" s="22" t="s">
        <v>1353</v>
      </c>
      <c r="K586" s="22" t="s">
        <v>65</v>
      </c>
      <c r="L586" s="22" t="s">
        <v>67</v>
      </c>
      <c r="M586" s="22" t="s">
        <v>70</v>
      </c>
    </row>
    <row r="587" spans="1:13">
      <c r="A587" s="22" t="s">
        <v>1431</v>
      </c>
      <c r="B587" s="22" t="s">
        <v>1432</v>
      </c>
      <c r="C587" s="22" t="s">
        <v>204</v>
      </c>
      <c r="D587" s="22" t="s">
        <v>1353</v>
      </c>
      <c r="E587" s="22">
        <v>12</v>
      </c>
      <c r="F587" s="22">
        <v>51</v>
      </c>
      <c r="G587" s="22" t="s">
        <v>1354</v>
      </c>
      <c r="H587" s="22" t="s">
        <v>149</v>
      </c>
      <c r="I587" s="22" t="s">
        <v>325</v>
      </c>
      <c r="J587" s="22" t="s">
        <v>1353</v>
      </c>
      <c r="K587" s="22" t="s">
        <v>65</v>
      </c>
      <c r="L587" s="22" t="s">
        <v>67</v>
      </c>
      <c r="M587" s="22" t="s">
        <v>70</v>
      </c>
    </row>
    <row r="588" spans="1:13">
      <c r="A588" s="22" t="s">
        <v>1433</v>
      </c>
      <c r="B588" s="22" t="s">
        <v>1434</v>
      </c>
      <c r="C588" s="22" t="s">
        <v>204</v>
      </c>
      <c r="D588" s="22" t="s">
        <v>1353</v>
      </c>
      <c r="E588" s="22">
        <v>12</v>
      </c>
      <c r="F588" s="22">
        <v>4</v>
      </c>
      <c r="G588" s="22" t="s">
        <v>1354</v>
      </c>
      <c r="H588" s="22" t="s">
        <v>149</v>
      </c>
      <c r="I588" s="22" t="s">
        <v>328</v>
      </c>
      <c r="J588" s="22" t="s">
        <v>1353</v>
      </c>
      <c r="K588" s="22" t="s">
        <v>65</v>
      </c>
      <c r="L588" s="22" t="s">
        <v>67</v>
      </c>
      <c r="M588" s="22" t="s">
        <v>70</v>
      </c>
    </row>
    <row r="589" spans="1:13">
      <c r="A589" s="22" t="s">
        <v>1435</v>
      </c>
      <c r="B589" s="22" t="s">
        <v>1436</v>
      </c>
      <c r="C589" s="22" t="s">
        <v>213</v>
      </c>
      <c r="D589" s="22" t="s">
        <v>1353</v>
      </c>
      <c r="E589" s="22">
        <v>12</v>
      </c>
      <c r="F589" s="22">
        <v>11</v>
      </c>
      <c r="G589" s="22" t="s">
        <v>1354</v>
      </c>
      <c r="H589" s="22" t="s">
        <v>149</v>
      </c>
      <c r="I589" s="22" t="s">
        <v>331</v>
      </c>
      <c r="J589" s="22" t="s">
        <v>1353</v>
      </c>
      <c r="K589" s="22" t="s">
        <v>65</v>
      </c>
      <c r="L589" s="22" t="s">
        <v>67</v>
      </c>
      <c r="M589" s="22" t="s">
        <v>70</v>
      </c>
    </row>
    <row r="590" spans="1:13">
      <c r="A590" s="22" t="s">
        <v>1437</v>
      </c>
      <c r="B590" s="22" t="s">
        <v>1438</v>
      </c>
      <c r="C590" s="22" t="s">
        <v>204</v>
      </c>
      <c r="D590" s="22" t="s">
        <v>1439</v>
      </c>
      <c r="E590" s="22">
        <v>13</v>
      </c>
      <c r="F590" s="22">
        <v>11</v>
      </c>
      <c r="G590" s="22" t="s">
        <v>1440</v>
      </c>
      <c r="H590" s="22" t="s">
        <v>151</v>
      </c>
      <c r="I590" s="22" t="s">
        <v>207</v>
      </c>
      <c r="J590" s="22" t="s">
        <v>1439</v>
      </c>
      <c r="K590" s="22" t="s">
        <v>66</v>
      </c>
      <c r="L590" s="22" t="s">
        <v>70</v>
      </c>
      <c r="M590" s="22" t="s">
        <v>69</v>
      </c>
    </row>
    <row r="591" spans="1:13">
      <c r="A591" s="22" t="s">
        <v>1441</v>
      </c>
      <c r="B591" s="22" t="s">
        <v>1442</v>
      </c>
      <c r="C591" s="22" t="s">
        <v>213</v>
      </c>
      <c r="D591" s="22" t="s">
        <v>1439</v>
      </c>
      <c r="E591" s="22">
        <v>15</v>
      </c>
      <c r="F591" s="22">
        <v>34</v>
      </c>
      <c r="G591" s="22" t="s">
        <v>1440</v>
      </c>
      <c r="H591" s="22" t="s">
        <v>151</v>
      </c>
      <c r="I591" s="22" t="s">
        <v>210</v>
      </c>
      <c r="J591" s="22" t="s">
        <v>1439</v>
      </c>
      <c r="K591" s="22" t="s">
        <v>66</v>
      </c>
      <c r="L591" s="22" t="s">
        <v>70</v>
      </c>
      <c r="M591" s="22" t="s">
        <v>69</v>
      </c>
    </row>
    <row r="592" spans="1:13">
      <c r="A592" s="22" t="s">
        <v>1443</v>
      </c>
      <c r="B592" s="22" t="s">
        <v>1444</v>
      </c>
      <c r="C592" s="22" t="s">
        <v>213</v>
      </c>
      <c r="D592" s="22" t="s">
        <v>1439</v>
      </c>
      <c r="E592" s="22">
        <v>15</v>
      </c>
      <c r="F592" s="22">
        <v>48</v>
      </c>
      <c r="G592" s="22" t="s">
        <v>1440</v>
      </c>
      <c r="H592" s="22" t="s">
        <v>151</v>
      </c>
      <c r="I592" s="22" t="s">
        <v>214</v>
      </c>
      <c r="J592" s="22" t="s">
        <v>1439</v>
      </c>
      <c r="K592" s="22" t="s">
        <v>66</v>
      </c>
      <c r="L592" s="22" t="s">
        <v>70</v>
      </c>
      <c r="M592" s="22" t="s">
        <v>69</v>
      </c>
    </row>
    <row r="593" spans="1:13">
      <c r="A593" s="22" t="s">
        <v>1445</v>
      </c>
      <c r="B593" s="22" t="s">
        <v>1446</v>
      </c>
      <c r="C593" s="22" t="s">
        <v>204</v>
      </c>
      <c r="D593" s="22" t="s">
        <v>1439</v>
      </c>
      <c r="E593" s="22">
        <v>13</v>
      </c>
      <c r="F593" s="22">
        <v>29</v>
      </c>
      <c r="G593" s="22" t="s">
        <v>1440</v>
      </c>
      <c r="H593" s="22" t="s">
        <v>151</v>
      </c>
      <c r="I593" s="22" t="s">
        <v>217</v>
      </c>
      <c r="J593" s="22" t="s">
        <v>1439</v>
      </c>
      <c r="K593" s="22" t="s">
        <v>66</v>
      </c>
      <c r="L593" s="22" t="s">
        <v>70</v>
      </c>
      <c r="M593" s="22" t="s">
        <v>69</v>
      </c>
    </row>
    <row r="594" spans="1:13">
      <c r="A594" s="22" t="s">
        <v>1447</v>
      </c>
      <c r="B594" s="22" t="s">
        <v>1448</v>
      </c>
      <c r="C594" s="22" t="s">
        <v>204</v>
      </c>
      <c r="D594" s="22" t="s">
        <v>1439</v>
      </c>
      <c r="E594" s="22">
        <v>14</v>
      </c>
      <c r="F594" s="22">
        <v>8</v>
      </c>
      <c r="G594" s="22" t="s">
        <v>1440</v>
      </c>
      <c r="H594" s="22" t="s">
        <v>151</v>
      </c>
      <c r="I594" s="22" t="s">
        <v>220</v>
      </c>
      <c r="J594" s="22" t="s">
        <v>1439</v>
      </c>
      <c r="K594" s="22" t="s">
        <v>66</v>
      </c>
      <c r="L594" s="22" t="s">
        <v>70</v>
      </c>
      <c r="M594" s="22" t="s">
        <v>69</v>
      </c>
    </row>
    <row r="595" spans="1:13">
      <c r="A595" s="22" t="s">
        <v>1449</v>
      </c>
      <c r="B595" s="22" t="s">
        <v>1450</v>
      </c>
      <c r="C595" s="22" t="s">
        <v>213</v>
      </c>
      <c r="D595" s="22" t="s">
        <v>1439</v>
      </c>
      <c r="E595" s="22">
        <v>16</v>
      </c>
      <c r="F595" s="22">
        <v>31</v>
      </c>
      <c r="G595" s="22" t="s">
        <v>1440</v>
      </c>
      <c r="H595" s="22" t="s">
        <v>151</v>
      </c>
      <c r="I595" s="22" t="s">
        <v>223</v>
      </c>
      <c r="J595" s="22" t="s">
        <v>1439</v>
      </c>
      <c r="K595" s="22" t="s">
        <v>66</v>
      </c>
      <c r="L595" s="22" t="s">
        <v>70</v>
      </c>
      <c r="M595" s="22" t="s">
        <v>69</v>
      </c>
    </row>
    <row r="596" spans="1:13">
      <c r="A596" s="22" t="s">
        <v>1451</v>
      </c>
      <c r="B596" s="22" t="s">
        <v>1452</v>
      </c>
      <c r="C596" s="22" t="s">
        <v>204</v>
      </c>
      <c r="D596" s="22" t="s">
        <v>1439</v>
      </c>
      <c r="E596" s="22">
        <v>13</v>
      </c>
      <c r="F596" s="22">
        <v>4</v>
      </c>
      <c r="G596" s="22" t="s">
        <v>1440</v>
      </c>
      <c r="H596" s="22" t="s">
        <v>151</v>
      </c>
      <c r="I596" s="22" t="s">
        <v>226</v>
      </c>
      <c r="J596" s="22" t="s">
        <v>1439</v>
      </c>
      <c r="K596" s="22" t="s">
        <v>66</v>
      </c>
      <c r="L596" s="22" t="s">
        <v>70</v>
      </c>
      <c r="M596" s="22" t="s">
        <v>69</v>
      </c>
    </row>
    <row r="597" spans="1:13">
      <c r="A597" s="22" t="s">
        <v>1453</v>
      </c>
      <c r="B597" s="22" t="s">
        <v>1454</v>
      </c>
      <c r="C597" s="22" t="s">
        <v>204</v>
      </c>
      <c r="D597" s="22" t="s">
        <v>1439</v>
      </c>
      <c r="E597" s="22">
        <v>13</v>
      </c>
      <c r="F597" s="22">
        <v>17</v>
      </c>
      <c r="G597" s="22" t="s">
        <v>1440</v>
      </c>
      <c r="H597" s="22" t="s">
        <v>151</v>
      </c>
      <c r="I597" s="22" t="s">
        <v>229</v>
      </c>
      <c r="J597" s="22" t="s">
        <v>1439</v>
      </c>
      <c r="K597" s="22" t="s">
        <v>66</v>
      </c>
      <c r="L597" s="22" t="s">
        <v>70</v>
      </c>
      <c r="M597" s="22" t="s">
        <v>69</v>
      </c>
    </row>
    <row r="598" spans="1:13">
      <c r="A598" s="22" t="s">
        <v>1455</v>
      </c>
      <c r="B598" s="22" t="s">
        <v>1456</v>
      </c>
      <c r="C598" s="22" t="s">
        <v>213</v>
      </c>
      <c r="D598" s="22" t="s">
        <v>1439</v>
      </c>
      <c r="E598" s="22">
        <v>13</v>
      </c>
      <c r="F598" s="22">
        <v>23</v>
      </c>
      <c r="G598" s="22" t="s">
        <v>1440</v>
      </c>
      <c r="H598" s="22" t="s">
        <v>151</v>
      </c>
      <c r="I598" s="22" t="s">
        <v>232</v>
      </c>
      <c r="J598" s="22" t="s">
        <v>1439</v>
      </c>
      <c r="K598" s="22" t="s">
        <v>66</v>
      </c>
      <c r="L598" s="22" t="s">
        <v>70</v>
      </c>
      <c r="M598" s="22" t="s">
        <v>69</v>
      </c>
    </row>
    <row r="599" spans="1:13">
      <c r="A599" s="22" t="s">
        <v>1457</v>
      </c>
      <c r="B599" s="22" t="s">
        <v>1458</v>
      </c>
      <c r="C599" s="22" t="s">
        <v>204</v>
      </c>
      <c r="D599" s="22" t="s">
        <v>1439</v>
      </c>
      <c r="E599" s="22">
        <v>15</v>
      </c>
      <c r="F599" s="22">
        <v>26</v>
      </c>
      <c r="G599" s="22" t="s">
        <v>1440</v>
      </c>
      <c r="H599" s="22" t="s">
        <v>151</v>
      </c>
      <c r="I599" s="22" t="s">
        <v>235</v>
      </c>
      <c r="J599" s="22" t="s">
        <v>1439</v>
      </c>
      <c r="K599" s="22" t="s">
        <v>66</v>
      </c>
      <c r="L599" s="22" t="s">
        <v>70</v>
      </c>
      <c r="M599" s="22" t="s">
        <v>69</v>
      </c>
    </row>
    <row r="600" spans="1:13">
      <c r="A600" s="22" t="s">
        <v>1459</v>
      </c>
      <c r="B600" s="22" t="s">
        <v>1460</v>
      </c>
      <c r="C600" s="22" t="s">
        <v>204</v>
      </c>
      <c r="D600" s="22" t="s">
        <v>1439</v>
      </c>
      <c r="E600" s="22">
        <v>15</v>
      </c>
      <c r="F600" s="22">
        <v>24</v>
      </c>
      <c r="G600" s="22" t="s">
        <v>1440</v>
      </c>
      <c r="H600" s="22" t="s">
        <v>151</v>
      </c>
      <c r="I600" s="22" t="s">
        <v>238</v>
      </c>
      <c r="J600" s="22" t="s">
        <v>1439</v>
      </c>
      <c r="K600" s="22" t="s">
        <v>66</v>
      </c>
      <c r="L600" s="22" t="s">
        <v>70</v>
      </c>
      <c r="M600" s="22" t="s">
        <v>69</v>
      </c>
    </row>
    <row r="601" spans="1:13">
      <c r="A601" s="22" t="s">
        <v>1461</v>
      </c>
      <c r="B601" s="22" t="s">
        <v>1462</v>
      </c>
      <c r="C601" s="22" t="s">
        <v>204</v>
      </c>
      <c r="D601" s="22" t="s">
        <v>1439</v>
      </c>
      <c r="E601" s="22">
        <v>13</v>
      </c>
      <c r="F601" s="22">
        <v>37</v>
      </c>
      <c r="G601" s="22" t="s">
        <v>1440</v>
      </c>
      <c r="H601" s="22" t="s">
        <v>151</v>
      </c>
      <c r="I601" s="22" t="s">
        <v>241</v>
      </c>
      <c r="J601" s="22" t="s">
        <v>1439</v>
      </c>
      <c r="K601" s="22" t="s">
        <v>66</v>
      </c>
      <c r="L601" s="22" t="s">
        <v>70</v>
      </c>
      <c r="M601" s="22" t="s">
        <v>69</v>
      </c>
    </row>
    <row r="602" spans="1:13">
      <c r="A602" s="22" t="s">
        <v>1463</v>
      </c>
      <c r="B602" s="22" t="s">
        <v>1464</v>
      </c>
      <c r="C602" s="22" t="s">
        <v>213</v>
      </c>
      <c r="D602" s="22" t="s">
        <v>1439</v>
      </c>
      <c r="E602" s="22">
        <v>15</v>
      </c>
      <c r="F602" s="22">
        <v>12</v>
      </c>
      <c r="G602" s="22" t="s">
        <v>1440</v>
      </c>
      <c r="H602" s="22" t="s">
        <v>151</v>
      </c>
      <c r="I602" s="22" t="s">
        <v>244</v>
      </c>
      <c r="J602" s="22" t="s">
        <v>1439</v>
      </c>
      <c r="K602" s="22" t="s">
        <v>66</v>
      </c>
      <c r="L602" s="22" t="s">
        <v>70</v>
      </c>
      <c r="M602" s="22" t="s">
        <v>69</v>
      </c>
    </row>
    <row r="603" spans="1:13">
      <c r="A603" s="22" t="s">
        <v>1465</v>
      </c>
      <c r="B603" s="22" t="s">
        <v>1466</v>
      </c>
      <c r="C603" s="22" t="s">
        <v>204</v>
      </c>
      <c r="D603" s="22" t="s">
        <v>1439</v>
      </c>
      <c r="E603" s="22">
        <v>15</v>
      </c>
      <c r="F603" s="22">
        <v>4</v>
      </c>
      <c r="G603" s="22" t="s">
        <v>1440</v>
      </c>
      <c r="H603" s="22" t="s">
        <v>151</v>
      </c>
      <c r="I603" s="22" t="s">
        <v>247</v>
      </c>
      <c r="J603" s="22" t="s">
        <v>1439</v>
      </c>
      <c r="K603" s="22" t="s">
        <v>66</v>
      </c>
      <c r="L603" s="22" t="s">
        <v>70</v>
      </c>
      <c r="M603" s="22" t="s">
        <v>69</v>
      </c>
    </row>
    <row r="604" spans="1:13">
      <c r="A604" s="22" t="s">
        <v>1467</v>
      </c>
      <c r="B604" s="22" t="s">
        <v>1468</v>
      </c>
      <c r="C604" s="22" t="s">
        <v>204</v>
      </c>
      <c r="D604" s="22" t="s">
        <v>1439</v>
      </c>
      <c r="E604" s="22">
        <v>16</v>
      </c>
      <c r="F604" s="22">
        <v>19</v>
      </c>
      <c r="G604" s="22" t="s">
        <v>1440</v>
      </c>
      <c r="H604" s="22" t="s">
        <v>151</v>
      </c>
      <c r="I604" s="22" t="s">
        <v>250</v>
      </c>
      <c r="J604" s="22" t="s">
        <v>1439</v>
      </c>
      <c r="K604" s="22" t="s">
        <v>66</v>
      </c>
      <c r="L604" s="22" t="s">
        <v>70</v>
      </c>
      <c r="M604" s="22" t="s">
        <v>69</v>
      </c>
    </row>
    <row r="605" spans="1:13">
      <c r="A605" s="22" t="s">
        <v>1469</v>
      </c>
      <c r="B605" s="22" t="s">
        <v>1470</v>
      </c>
      <c r="C605" s="22" t="s">
        <v>204</v>
      </c>
      <c r="D605" s="22" t="s">
        <v>1439</v>
      </c>
      <c r="E605" s="22">
        <v>15</v>
      </c>
      <c r="F605" s="22">
        <v>15</v>
      </c>
      <c r="G605" s="22" t="s">
        <v>1440</v>
      </c>
      <c r="H605" s="22" t="s">
        <v>151</v>
      </c>
      <c r="I605" s="22" t="s">
        <v>253</v>
      </c>
      <c r="J605" s="22" t="s">
        <v>1439</v>
      </c>
      <c r="K605" s="22" t="s">
        <v>66</v>
      </c>
      <c r="L605" s="22" t="s">
        <v>70</v>
      </c>
      <c r="M605" s="22" t="s">
        <v>69</v>
      </c>
    </row>
    <row r="606" spans="1:13">
      <c r="A606" s="22" t="s">
        <v>1471</v>
      </c>
      <c r="B606" s="22" t="s">
        <v>1472</v>
      </c>
      <c r="C606" s="22" t="s">
        <v>204</v>
      </c>
      <c r="D606" s="22" t="s">
        <v>1439</v>
      </c>
      <c r="E606" s="22">
        <v>13</v>
      </c>
      <c r="F606" s="22">
        <v>14</v>
      </c>
      <c r="G606" s="22" t="s">
        <v>1440</v>
      </c>
      <c r="H606" s="22" t="s">
        <v>151</v>
      </c>
      <c r="I606" s="22" t="s">
        <v>256</v>
      </c>
      <c r="J606" s="22" t="s">
        <v>1439</v>
      </c>
      <c r="K606" s="22" t="s">
        <v>66</v>
      </c>
      <c r="L606" s="22" t="s">
        <v>70</v>
      </c>
      <c r="M606" s="22" t="s">
        <v>69</v>
      </c>
    </row>
    <row r="607" spans="1:13">
      <c r="A607" s="22" t="s">
        <v>1473</v>
      </c>
      <c r="B607" s="22" t="s">
        <v>1474</v>
      </c>
      <c r="C607" s="22" t="s">
        <v>204</v>
      </c>
      <c r="D607" s="22" t="s">
        <v>1439</v>
      </c>
      <c r="E607" s="22">
        <v>16</v>
      </c>
      <c r="F607" s="22">
        <v>29</v>
      </c>
      <c r="G607" s="22" t="s">
        <v>1440</v>
      </c>
      <c r="H607" s="22" t="s">
        <v>151</v>
      </c>
      <c r="I607" s="22" t="s">
        <v>259</v>
      </c>
      <c r="J607" s="22" t="s">
        <v>1439</v>
      </c>
      <c r="K607" s="22" t="s">
        <v>66</v>
      </c>
      <c r="L607" s="22" t="s">
        <v>70</v>
      </c>
      <c r="M607" s="22" t="s">
        <v>69</v>
      </c>
    </row>
    <row r="608" spans="1:13">
      <c r="A608" s="22" t="s">
        <v>1475</v>
      </c>
      <c r="B608" s="22" t="s">
        <v>1476</v>
      </c>
      <c r="C608" s="22" t="s">
        <v>204</v>
      </c>
      <c r="D608" s="22" t="s">
        <v>1439</v>
      </c>
      <c r="E608" s="22">
        <v>14</v>
      </c>
      <c r="F608" s="22">
        <v>1</v>
      </c>
      <c r="G608" s="22" t="s">
        <v>1440</v>
      </c>
      <c r="H608" s="22" t="s">
        <v>151</v>
      </c>
      <c r="I608" s="22" t="s">
        <v>262</v>
      </c>
      <c r="J608" s="22" t="s">
        <v>1439</v>
      </c>
      <c r="K608" s="22" t="s">
        <v>66</v>
      </c>
      <c r="L608" s="22" t="s">
        <v>70</v>
      </c>
      <c r="M608" s="22" t="s">
        <v>69</v>
      </c>
    </row>
    <row r="609" spans="1:13">
      <c r="A609" s="22" t="s">
        <v>1477</v>
      </c>
      <c r="B609" s="22" t="s">
        <v>1478</v>
      </c>
      <c r="C609" s="22" t="s">
        <v>213</v>
      </c>
      <c r="D609" s="22" t="s">
        <v>1439</v>
      </c>
      <c r="E609" s="22">
        <v>16</v>
      </c>
      <c r="F609" s="22">
        <v>39</v>
      </c>
      <c r="G609" s="22" t="s">
        <v>1440</v>
      </c>
      <c r="H609" s="22" t="s">
        <v>151</v>
      </c>
      <c r="I609" s="22" t="s">
        <v>265</v>
      </c>
      <c r="J609" s="22" t="s">
        <v>1439</v>
      </c>
      <c r="K609" s="22" t="s">
        <v>66</v>
      </c>
      <c r="L609" s="22" t="s">
        <v>70</v>
      </c>
      <c r="M609" s="22" t="s">
        <v>69</v>
      </c>
    </row>
    <row r="610" spans="1:13">
      <c r="A610" s="22" t="s">
        <v>1479</v>
      </c>
      <c r="B610" s="22" t="s">
        <v>1480</v>
      </c>
      <c r="C610" s="22" t="s">
        <v>213</v>
      </c>
      <c r="D610" s="22" t="s">
        <v>1439</v>
      </c>
      <c r="E610" s="22">
        <v>15</v>
      </c>
      <c r="F610" s="22">
        <v>45</v>
      </c>
      <c r="G610" s="22" t="s">
        <v>1440</v>
      </c>
      <c r="H610" s="22" t="s">
        <v>151</v>
      </c>
      <c r="I610" s="22" t="s">
        <v>268</v>
      </c>
      <c r="J610" s="22" t="s">
        <v>1439</v>
      </c>
      <c r="K610" s="22" t="s">
        <v>66</v>
      </c>
      <c r="L610" s="22" t="s">
        <v>70</v>
      </c>
      <c r="M610" s="22" t="s">
        <v>69</v>
      </c>
    </row>
    <row r="611" spans="1:13">
      <c r="A611" s="22" t="s">
        <v>1481</v>
      </c>
      <c r="B611" s="22" t="s">
        <v>1482</v>
      </c>
      <c r="C611" s="22" t="s">
        <v>204</v>
      </c>
      <c r="D611" s="22" t="s">
        <v>1439</v>
      </c>
      <c r="E611" s="22">
        <v>16</v>
      </c>
      <c r="F611" s="22">
        <v>22</v>
      </c>
      <c r="G611" s="22" t="s">
        <v>1440</v>
      </c>
      <c r="H611" s="22" t="s">
        <v>151</v>
      </c>
      <c r="I611" s="22" t="s">
        <v>271</v>
      </c>
      <c r="J611" s="22" t="s">
        <v>1439</v>
      </c>
      <c r="K611" s="22" t="s">
        <v>66</v>
      </c>
      <c r="L611" s="22" t="s">
        <v>70</v>
      </c>
      <c r="M611" s="22" t="s">
        <v>69</v>
      </c>
    </row>
    <row r="612" spans="1:13">
      <c r="A612" s="22" t="s">
        <v>1483</v>
      </c>
      <c r="B612" s="22" t="s">
        <v>1484</v>
      </c>
      <c r="C612" s="22" t="s">
        <v>213</v>
      </c>
      <c r="D612" s="22" t="s">
        <v>1439</v>
      </c>
      <c r="E612" s="22">
        <v>14</v>
      </c>
      <c r="F612" s="22">
        <v>18</v>
      </c>
      <c r="G612" s="22" t="s">
        <v>1440</v>
      </c>
      <c r="H612" s="22" t="s">
        <v>151</v>
      </c>
      <c r="I612" s="22" t="s">
        <v>274</v>
      </c>
      <c r="J612" s="22" t="s">
        <v>1439</v>
      </c>
      <c r="K612" s="22" t="s">
        <v>66</v>
      </c>
      <c r="L612" s="22" t="s">
        <v>70</v>
      </c>
      <c r="M612" s="22" t="s">
        <v>69</v>
      </c>
    </row>
    <row r="613" spans="1:13">
      <c r="A613" s="22" t="s">
        <v>1485</v>
      </c>
      <c r="B613" s="22" t="s">
        <v>1486</v>
      </c>
      <c r="C613" s="22" t="s">
        <v>213</v>
      </c>
      <c r="D613" s="22" t="s">
        <v>1439</v>
      </c>
      <c r="E613" s="22">
        <v>14</v>
      </c>
      <c r="F613" s="22">
        <v>27</v>
      </c>
      <c r="G613" s="22" t="s">
        <v>1440</v>
      </c>
      <c r="H613" s="22" t="s">
        <v>151</v>
      </c>
      <c r="I613" s="22" t="s">
        <v>277</v>
      </c>
      <c r="J613" s="22" t="s">
        <v>1439</v>
      </c>
      <c r="K613" s="22" t="s">
        <v>66</v>
      </c>
      <c r="L613" s="22" t="s">
        <v>70</v>
      </c>
      <c r="M613" s="22" t="s">
        <v>69</v>
      </c>
    </row>
    <row r="614" spans="1:13">
      <c r="A614" s="22" t="s">
        <v>1487</v>
      </c>
      <c r="B614" s="22" t="s">
        <v>1488</v>
      </c>
      <c r="C614" s="22" t="s">
        <v>204</v>
      </c>
      <c r="D614" s="22" t="s">
        <v>1439</v>
      </c>
      <c r="E614" s="22">
        <v>13</v>
      </c>
      <c r="F614" s="22">
        <v>20</v>
      </c>
      <c r="G614" s="22" t="s">
        <v>1440</v>
      </c>
      <c r="H614" s="22" t="s">
        <v>151</v>
      </c>
      <c r="I614" s="22" t="s">
        <v>280</v>
      </c>
      <c r="J614" s="22" t="s">
        <v>1439</v>
      </c>
      <c r="K614" s="22" t="s">
        <v>66</v>
      </c>
      <c r="L614" s="22" t="s">
        <v>70</v>
      </c>
      <c r="M614" s="22" t="s">
        <v>69</v>
      </c>
    </row>
    <row r="615" spans="1:13">
      <c r="A615" s="22" t="s">
        <v>1489</v>
      </c>
      <c r="B615" s="22" t="s">
        <v>1490</v>
      </c>
      <c r="C615" s="22" t="s">
        <v>204</v>
      </c>
      <c r="D615" s="22" t="s">
        <v>1439</v>
      </c>
      <c r="E615" s="22">
        <v>15</v>
      </c>
      <c r="F615" s="22">
        <v>39</v>
      </c>
      <c r="G615" s="22" t="s">
        <v>1440</v>
      </c>
      <c r="H615" s="22" t="s">
        <v>151</v>
      </c>
      <c r="I615" s="22" t="s">
        <v>283</v>
      </c>
      <c r="J615" s="22" t="s">
        <v>1439</v>
      </c>
      <c r="K615" s="22" t="s">
        <v>66</v>
      </c>
      <c r="L615" s="22" t="s">
        <v>70</v>
      </c>
      <c r="M615" s="22" t="s">
        <v>69</v>
      </c>
    </row>
    <row r="616" spans="1:13">
      <c r="A616" s="22" t="s">
        <v>1491</v>
      </c>
      <c r="B616" s="22" t="s">
        <v>1492</v>
      </c>
      <c r="C616" s="22" t="s">
        <v>213</v>
      </c>
      <c r="D616" s="22" t="s">
        <v>1439</v>
      </c>
      <c r="E616" s="22">
        <v>14</v>
      </c>
      <c r="F616" s="22">
        <v>2</v>
      </c>
      <c r="G616" s="22" t="s">
        <v>1440</v>
      </c>
      <c r="H616" s="22" t="s">
        <v>151</v>
      </c>
      <c r="I616" s="22" t="s">
        <v>286</v>
      </c>
      <c r="J616" s="22" t="s">
        <v>1439</v>
      </c>
      <c r="K616" s="22" t="s">
        <v>66</v>
      </c>
      <c r="L616" s="22" t="s">
        <v>70</v>
      </c>
      <c r="M616" s="22" t="s">
        <v>69</v>
      </c>
    </row>
    <row r="617" spans="1:13">
      <c r="A617" s="22" t="s">
        <v>1493</v>
      </c>
      <c r="B617" s="22" t="s">
        <v>1494</v>
      </c>
      <c r="C617" s="22" t="s">
        <v>204</v>
      </c>
      <c r="D617" s="22" t="s">
        <v>1439</v>
      </c>
      <c r="E617" s="22">
        <v>15</v>
      </c>
      <c r="F617" s="22">
        <v>28</v>
      </c>
      <c r="G617" s="22" t="s">
        <v>1440</v>
      </c>
      <c r="H617" s="22" t="s">
        <v>151</v>
      </c>
      <c r="I617" s="22" t="s">
        <v>289</v>
      </c>
      <c r="J617" s="22" t="s">
        <v>1439</v>
      </c>
      <c r="K617" s="22" t="s">
        <v>66</v>
      </c>
      <c r="L617" s="22" t="s">
        <v>70</v>
      </c>
      <c r="M617" s="22" t="s">
        <v>69</v>
      </c>
    </row>
    <row r="618" spans="1:13">
      <c r="A618" s="22" t="s">
        <v>1495</v>
      </c>
      <c r="B618" s="22" t="s">
        <v>1496</v>
      </c>
      <c r="C618" s="22" t="s">
        <v>204</v>
      </c>
      <c r="D618" s="22" t="s">
        <v>1439</v>
      </c>
      <c r="E618" s="22">
        <v>16</v>
      </c>
      <c r="F618" s="22">
        <v>48</v>
      </c>
      <c r="G618" s="22" t="s">
        <v>1440</v>
      </c>
      <c r="H618" s="22" t="s">
        <v>151</v>
      </c>
      <c r="I618" s="22" t="s">
        <v>292</v>
      </c>
      <c r="J618" s="22" t="s">
        <v>1439</v>
      </c>
      <c r="K618" s="22" t="s">
        <v>66</v>
      </c>
      <c r="L618" s="22" t="s">
        <v>70</v>
      </c>
      <c r="M618" s="22" t="s">
        <v>69</v>
      </c>
    </row>
    <row r="619" spans="1:13">
      <c r="A619" s="22" t="s">
        <v>1497</v>
      </c>
      <c r="B619" s="22" t="s">
        <v>1498</v>
      </c>
      <c r="C619" s="22" t="s">
        <v>204</v>
      </c>
      <c r="D619" s="22" t="s">
        <v>1439</v>
      </c>
      <c r="E619" s="22">
        <v>15</v>
      </c>
      <c r="F619" s="22">
        <v>10</v>
      </c>
      <c r="G619" s="22" t="s">
        <v>1440</v>
      </c>
      <c r="H619" s="22" t="s">
        <v>151</v>
      </c>
      <c r="I619" s="22" t="s">
        <v>295</v>
      </c>
      <c r="J619" s="22" t="s">
        <v>1439</v>
      </c>
      <c r="K619" s="22" t="s">
        <v>66</v>
      </c>
      <c r="L619" s="22" t="s">
        <v>70</v>
      </c>
      <c r="M619" s="22" t="s">
        <v>69</v>
      </c>
    </row>
    <row r="620" spans="1:13">
      <c r="A620" s="22" t="s">
        <v>1499</v>
      </c>
      <c r="B620" s="22" t="s">
        <v>1500</v>
      </c>
      <c r="C620" s="22" t="s">
        <v>204</v>
      </c>
      <c r="D620" s="22" t="s">
        <v>1439</v>
      </c>
      <c r="E620" s="22">
        <v>16</v>
      </c>
      <c r="F620" s="22">
        <v>28</v>
      </c>
      <c r="G620" s="22" t="s">
        <v>1440</v>
      </c>
      <c r="H620" s="22" t="s">
        <v>151</v>
      </c>
      <c r="I620" s="22" t="s">
        <v>298</v>
      </c>
      <c r="J620" s="22" t="s">
        <v>1439</v>
      </c>
      <c r="K620" s="22" t="s">
        <v>66</v>
      </c>
      <c r="L620" s="22" t="s">
        <v>70</v>
      </c>
      <c r="M620" s="22" t="s">
        <v>69</v>
      </c>
    </row>
    <row r="621" spans="1:13">
      <c r="A621" s="22" t="s">
        <v>1501</v>
      </c>
      <c r="B621" s="22" t="s">
        <v>1502</v>
      </c>
      <c r="C621" s="22" t="s">
        <v>213</v>
      </c>
      <c r="D621" s="22" t="s">
        <v>1439</v>
      </c>
      <c r="E621" s="22">
        <v>13</v>
      </c>
      <c r="F621" s="22">
        <v>18</v>
      </c>
      <c r="G621" s="22" t="s">
        <v>1440</v>
      </c>
      <c r="H621" s="22" t="s">
        <v>151</v>
      </c>
      <c r="I621" s="22" t="s">
        <v>301</v>
      </c>
      <c r="J621" s="22" t="s">
        <v>1439</v>
      </c>
      <c r="K621" s="22" t="s">
        <v>66</v>
      </c>
      <c r="L621" s="22" t="s">
        <v>70</v>
      </c>
      <c r="M621" s="22" t="s">
        <v>69</v>
      </c>
    </row>
    <row r="622" spans="1:13">
      <c r="A622" s="22" t="s">
        <v>1503</v>
      </c>
      <c r="B622" s="22" t="s">
        <v>1504</v>
      </c>
      <c r="C622" s="22" t="s">
        <v>204</v>
      </c>
      <c r="D622" s="22" t="s">
        <v>1439</v>
      </c>
      <c r="E622" s="22">
        <v>13</v>
      </c>
      <c r="F622" s="22">
        <v>8</v>
      </c>
      <c r="G622" s="22" t="s">
        <v>1440</v>
      </c>
      <c r="H622" s="22" t="s">
        <v>151</v>
      </c>
      <c r="I622" s="22" t="s">
        <v>304</v>
      </c>
      <c r="J622" s="22" t="s">
        <v>1439</v>
      </c>
      <c r="K622" s="22" t="s">
        <v>66</v>
      </c>
      <c r="L622" s="22" t="s">
        <v>70</v>
      </c>
      <c r="M622" s="22" t="s">
        <v>69</v>
      </c>
    </row>
    <row r="623" spans="1:13">
      <c r="A623" s="22" t="s">
        <v>1505</v>
      </c>
      <c r="B623" s="22" t="s">
        <v>1506</v>
      </c>
      <c r="C623" s="22" t="s">
        <v>213</v>
      </c>
      <c r="D623" s="22" t="s">
        <v>1439</v>
      </c>
      <c r="E623" s="22">
        <v>16</v>
      </c>
      <c r="F623" s="22">
        <v>42</v>
      </c>
      <c r="G623" s="22" t="s">
        <v>1440</v>
      </c>
      <c r="H623" s="22" t="s">
        <v>151</v>
      </c>
      <c r="I623" s="22" t="s">
        <v>307</v>
      </c>
      <c r="J623" s="22" t="s">
        <v>1439</v>
      </c>
      <c r="K623" s="22" t="s">
        <v>66</v>
      </c>
      <c r="L623" s="22" t="s">
        <v>70</v>
      </c>
      <c r="M623" s="22" t="s">
        <v>69</v>
      </c>
    </row>
    <row r="624" spans="1:13">
      <c r="A624" s="22" t="s">
        <v>1507</v>
      </c>
      <c r="B624" s="22" t="s">
        <v>1508</v>
      </c>
      <c r="C624" s="22" t="s">
        <v>204</v>
      </c>
      <c r="D624" s="22" t="s">
        <v>1439</v>
      </c>
      <c r="E624" s="22">
        <v>16</v>
      </c>
      <c r="F624" s="22">
        <v>44</v>
      </c>
      <c r="G624" s="22" t="s">
        <v>1440</v>
      </c>
      <c r="H624" s="22" t="s">
        <v>151</v>
      </c>
      <c r="I624" s="22" t="s">
        <v>310</v>
      </c>
      <c r="J624" s="22" t="s">
        <v>1439</v>
      </c>
      <c r="K624" s="22" t="s">
        <v>66</v>
      </c>
      <c r="L624" s="22" t="s">
        <v>70</v>
      </c>
      <c r="M624" s="22" t="s">
        <v>69</v>
      </c>
    </row>
    <row r="625" spans="1:13">
      <c r="A625" s="22" t="s">
        <v>1509</v>
      </c>
      <c r="B625" s="22" t="s">
        <v>1510</v>
      </c>
      <c r="C625" s="22" t="s">
        <v>204</v>
      </c>
      <c r="D625" s="22" t="s">
        <v>1439</v>
      </c>
      <c r="E625" s="22">
        <v>13</v>
      </c>
      <c r="F625" s="22">
        <v>6</v>
      </c>
      <c r="G625" s="22" t="s">
        <v>1440</v>
      </c>
      <c r="H625" s="22" t="s">
        <v>151</v>
      </c>
      <c r="I625" s="22" t="s">
        <v>313</v>
      </c>
      <c r="J625" s="22" t="s">
        <v>1439</v>
      </c>
      <c r="K625" s="22" t="s">
        <v>66</v>
      </c>
      <c r="L625" s="22" t="s">
        <v>70</v>
      </c>
      <c r="M625" s="22" t="s">
        <v>69</v>
      </c>
    </row>
    <row r="626" spans="1:13">
      <c r="A626" s="22" t="s">
        <v>1511</v>
      </c>
      <c r="B626" s="22" t="s">
        <v>1512</v>
      </c>
      <c r="C626" s="22" t="s">
        <v>204</v>
      </c>
      <c r="D626" s="22" t="s">
        <v>1439</v>
      </c>
      <c r="E626" s="22">
        <v>14</v>
      </c>
      <c r="F626" s="22">
        <v>14</v>
      </c>
      <c r="G626" s="22" t="s">
        <v>1440</v>
      </c>
      <c r="H626" s="22" t="s">
        <v>151</v>
      </c>
      <c r="I626" s="22" t="s">
        <v>316</v>
      </c>
      <c r="J626" s="22" t="s">
        <v>1439</v>
      </c>
      <c r="K626" s="22" t="s">
        <v>66</v>
      </c>
      <c r="L626" s="22" t="s">
        <v>70</v>
      </c>
      <c r="M626" s="22" t="s">
        <v>69</v>
      </c>
    </row>
    <row r="627" spans="1:13">
      <c r="A627" s="22" t="s">
        <v>1513</v>
      </c>
      <c r="B627" s="22" t="s">
        <v>1514</v>
      </c>
      <c r="C627" s="22" t="s">
        <v>204</v>
      </c>
      <c r="D627" s="22" t="s">
        <v>1439</v>
      </c>
      <c r="E627" s="22">
        <v>13</v>
      </c>
      <c r="F627" s="22">
        <v>13</v>
      </c>
      <c r="G627" s="22" t="s">
        <v>1440</v>
      </c>
      <c r="H627" s="22" t="s">
        <v>151</v>
      </c>
      <c r="I627" s="22" t="s">
        <v>319</v>
      </c>
      <c r="J627" s="22" t="s">
        <v>1439</v>
      </c>
      <c r="K627" s="22" t="s">
        <v>66</v>
      </c>
      <c r="L627" s="22" t="s">
        <v>70</v>
      </c>
      <c r="M627" s="22" t="s">
        <v>69</v>
      </c>
    </row>
    <row r="628" spans="1:13">
      <c r="A628" s="22" t="s">
        <v>1515</v>
      </c>
      <c r="B628" s="22" t="s">
        <v>1516</v>
      </c>
      <c r="C628" s="22" t="s">
        <v>213</v>
      </c>
      <c r="D628" s="22" t="s">
        <v>1439</v>
      </c>
      <c r="E628" s="22">
        <v>13</v>
      </c>
      <c r="F628" s="22">
        <v>38</v>
      </c>
      <c r="G628" s="22" t="s">
        <v>1440</v>
      </c>
      <c r="H628" s="22" t="s">
        <v>151</v>
      </c>
      <c r="I628" s="22" t="s">
        <v>322</v>
      </c>
      <c r="J628" s="22" t="s">
        <v>1439</v>
      </c>
      <c r="K628" s="22" t="s">
        <v>66</v>
      </c>
      <c r="L628" s="22" t="s">
        <v>70</v>
      </c>
      <c r="M628" s="22" t="s">
        <v>69</v>
      </c>
    </row>
    <row r="629" spans="1:13">
      <c r="A629" s="22" t="s">
        <v>1517</v>
      </c>
      <c r="B629" s="22" t="s">
        <v>1518</v>
      </c>
      <c r="C629" s="22" t="s">
        <v>213</v>
      </c>
      <c r="D629" s="22" t="s">
        <v>1439</v>
      </c>
      <c r="E629" s="22">
        <v>14</v>
      </c>
      <c r="F629" s="22">
        <v>38</v>
      </c>
      <c r="G629" s="22" t="s">
        <v>1440</v>
      </c>
      <c r="H629" s="22" t="s">
        <v>151</v>
      </c>
      <c r="I629" s="22" t="s">
        <v>325</v>
      </c>
      <c r="J629" s="22" t="s">
        <v>1439</v>
      </c>
      <c r="K629" s="22" t="s">
        <v>66</v>
      </c>
      <c r="L629" s="22" t="s">
        <v>70</v>
      </c>
      <c r="M629" s="22" t="s">
        <v>69</v>
      </c>
    </row>
    <row r="630" spans="1:13">
      <c r="A630" s="22" t="s">
        <v>1519</v>
      </c>
      <c r="B630" s="22" t="s">
        <v>1520</v>
      </c>
      <c r="C630" s="22" t="s">
        <v>204</v>
      </c>
      <c r="D630" s="22" t="s">
        <v>1439</v>
      </c>
      <c r="E630" s="22">
        <v>16</v>
      </c>
      <c r="F630" s="22">
        <v>45</v>
      </c>
      <c r="G630" s="22" t="s">
        <v>1440</v>
      </c>
      <c r="H630" s="22" t="s">
        <v>151</v>
      </c>
      <c r="I630" s="22" t="s">
        <v>328</v>
      </c>
      <c r="J630" s="22" t="s">
        <v>1439</v>
      </c>
      <c r="K630" s="22" t="s">
        <v>66</v>
      </c>
      <c r="L630" s="22" t="s">
        <v>70</v>
      </c>
      <c r="M630" s="22" t="s">
        <v>69</v>
      </c>
    </row>
    <row r="631" spans="1:13">
      <c r="A631" s="22" t="s">
        <v>1521</v>
      </c>
      <c r="B631" s="22" t="s">
        <v>1522</v>
      </c>
      <c r="C631" s="22" t="s">
        <v>204</v>
      </c>
      <c r="D631" s="22" t="s">
        <v>1439</v>
      </c>
      <c r="E631" s="22">
        <v>14</v>
      </c>
      <c r="F631" s="22">
        <v>9</v>
      </c>
      <c r="G631" s="22" t="s">
        <v>1440</v>
      </c>
      <c r="H631" s="22" t="s">
        <v>151</v>
      </c>
      <c r="I631" s="22" t="s">
        <v>331</v>
      </c>
      <c r="J631" s="22" t="s">
        <v>1439</v>
      </c>
      <c r="K631" s="22" t="s">
        <v>66</v>
      </c>
      <c r="L631" s="22" t="s">
        <v>70</v>
      </c>
      <c r="M631" s="22" t="s">
        <v>69</v>
      </c>
    </row>
    <row r="632" spans="1:13">
      <c r="A632" s="22" t="s">
        <v>1523</v>
      </c>
      <c r="B632" s="22" t="s">
        <v>1458</v>
      </c>
      <c r="C632" s="22" t="s">
        <v>204</v>
      </c>
      <c r="D632" s="22" t="s">
        <v>1439</v>
      </c>
      <c r="E632" s="22">
        <v>16</v>
      </c>
      <c r="F632" s="22">
        <v>49</v>
      </c>
      <c r="G632" s="22" t="s">
        <v>1524</v>
      </c>
      <c r="H632" s="22" t="s">
        <v>152</v>
      </c>
      <c r="I632" s="22" t="s">
        <v>207</v>
      </c>
      <c r="J632" s="22" t="s">
        <v>1439</v>
      </c>
      <c r="K632" s="22" t="s">
        <v>66</v>
      </c>
      <c r="L632" s="22" t="s">
        <v>70</v>
      </c>
      <c r="M632" s="22" t="s">
        <v>69</v>
      </c>
    </row>
    <row r="633" spans="1:13">
      <c r="A633" s="22" t="s">
        <v>1525</v>
      </c>
      <c r="B633" s="22" t="s">
        <v>1526</v>
      </c>
      <c r="C633" s="22" t="s">
        <v>204</v>
      </c>
      <c r="D633" s="22" t="s">
        <v>1439</v>
      </c>
      <c r="E633" s="22">
        <v>14</v>
      </c>
      <c r="F633" s="22">
        <v>46</v>
      </c>
      <c r="G633" s="22" t="s">
        <v>1524</v>
      </c>
      <c r="H633" s="22" t="s">
        <v>152</v>
      </c>
      <c r="I633" s="22" t="s">
        <v>210</v>
      </c>
      <c r="J633" s="22" t="s">
        <v>1439</v>
      </c>
      <c r="K633" s="22" t="s">
        <v>66</v>
      </c>
      <c r="L633" s="22" t="s">
        <v>70</v>
      </c>
      <c r="M633" s="22" t="s">
        <v>69</v>
      </c>
    </row>
    <row r="634" spans="1:13">
      <c r="A634" s="22" t="s">
        <v>1527</v>
      </c>
      <c r="B634" s="22" t="s">
        <v>1528</v>
      </c>
      <c r="C634" s="22" t="s">
        <v>204</v>
      </c>
      <c r="D634" s="22" t="s">
        <v>1439</v>
      </c>
      <c r="E634" s="22">
        <v>16</v>
      </c>
      <c r="F634" s="22">
        <v>35</v>
      </c>
      <c r="G634" s="22" t="s">
        <v>1524</v>
      </c>
      <c r="H634" s="22" t="s">
        <v>152</v>
      </c>
      <c r="I634" s="22" t="s">
        <v>214</v>
      </c>
      <c r="J634" s="22" t="s">
        <v>1439</v>
      </c>
      <c r="K634" s="22" t="s">
        <v>66</v>
      </c>
      <c r="L634" s="22" t="s">
        <v>70</v>
      </c>
      <c r="M634" s="22" t="s">
        <v>69</v>
      </c>
    </row>
    <row r="635" spans="1:13">
      <c r="A635" s="22" t="s">
        <v>1529</v>
      </c>
      <c r="B635" s="22" t="s">
        <v>1530</v>
      </c>
      <c r="C635" s="22" t="s">
        <v>213</v>
      </c>
      <c r="D635" s="22" t="s">
        <v>1439</v>
      </c>
      <c r="E635" s="22">
        <v>15</v>
      </c>
      <c r="F635" s="22">
        <v>21</v>
      </c>
      <c r="G635" s="22" t="s">
        <v>1524</v>
      </c>
      <c r="H635" s="22" t="s">
        <v>152</v>
      </c>
      <c r="I635" s="22" t="s">
        <v>217</v>
      </c>
      <c r="J635" s="22" t="s">
        <v>1439</v>
      </c>
      <c r="K635" s="22" t="s">
        <v>66</v>
      </c>
      <c r="L635" s="22" t="s">
        <v>70</v>
      </c>
      <c r="M635" s="22" t="s">
        <v>69</v>
      </c>
    </row>
    <row r="636" spans="1:13">
      <c r="A636" s="22" t="s">
        <v>1531</v>
      </c>
      <c r="B636" s="22" t="s">
        <v>1532</v>
      </c>
      <c r="C636" s="22" t="s">
        <v>213</v>
      </c>
      <c r="D636" s="22" t="s">
        <v>1439</v>
      </c>
      <c r="E636" s="22">
        <v>14</v>
      </c>
      <c r="F636" s="22">
        <v>29</v>
      </c>
      <c r="G636" s="22" t="s">
        <v>1524</v>
      </c>
      <c r="H636" s="22" t="s">
        <v>152</v>
      </c>
      <c r="I636" s="22" t="s">
        <v>220</v>
      </c>
      <c r="J636" s="22" t="s">
        <v>1439</v>
      </c>
      <c r="K636" s="22" t="s">
        <v>66</v>
      </c>
      <c r="L636" s="22" t="s">
        <v>70</v>
      </c>
      <c r="M636" s="22" t="s">
        <v>69</v>
      </c>
    </row>
    <row r="637" spans="1:13">
      <c r="A637" s="22" t="s">
        <v>1533</v>
      </c>
      <c r="B637" s="22" t="s">
        <v>1534</v>
      </c>
      <c r="C637" s="22" t="s">
        <v>204</v>
      </c>
      <c r="D637" s="22" t="s">
        <v>1439</v>
      </c>
      <c r="E637" s="22">
        <v>15</v>
      </c>
      <c r="F637" s="22">
        <v>30</v>
      </c>
      <c r="G637" s="22" t="s">
        <v>1524</v>
      </c>
      <c r="H637" s="22" t="s">
        <v>152</v>
      </c>
      <c r="I637" s="22" t="s">
        <v>223</v>
      </c>
      <c r="J637" s="22" t="s">
        <v>1439</v>
      </c>
      <c r="K637" s="22" t="s">
        <v>66</v>
      </c>
      <c r="L637" s="22" t="s">
        <v>70</v>
      </c>
      <c r="M637" s="22" t="s">
        <v>69</v>
      </c>
    </row>
    <row r="638" spans="1:13">
      <c r="A638" s="22" t="s">
        <v>1535</v>
      </c>
      <c r="B638" s="22" t="s">
        <v>1536</v>
      </c>
      <c r="C638" s="22" t="s">
        <v>204</v>
      </c>
      <c r="D638" s="22" t="s">
        <v>1439</v>
      </c>
      <c r="E638" s="22">
        <v>14</v>
      </c>
      <c r="F638" s="22">
        <v>43</v>
      </c>
      <c r="G638" s="22" t="s">
        <v>1524</v>
      </c>
      <c r="H638" s="22" t="s">
        <v>152</v>
      </c>
      <c r="I638" s="22" t="s">
        <v>226</v>
      </c>
      <c r="J638" s="22" t="s">
        <v>1439</v>
      </c>
      <c r="K638" s="22" t="s">
        <v>66</v>
      </c>
      <c r="L638" s="22" t="s">
        <v>70</v>
      </c>
      <c r="M638" s="22" t="s">
        <v>69</v>
      </c>
    </row>
    <row r="639" spans="1:13">
      <c r="A639" s="22" t="s">
        <v>1537</v>
      </c>
      <c r="B639" s="22" t="s">
        <v>1538</v>
      </c>
      <c r="C639" s="22" t="s">
        <v>204</v>
      </c>
      <c r="D639" s="22" t="s">
        <v>1439</v>
      </c>
      <c r="E639" s="22">
        <v>15</v>
      </c>
      <c r="F639" s="22">
        <v>31</v>
      </c>
      <c r="G639" s="22" t="s">
        <v>1524</v>
      </c>
      <c r="H639" s="22" t="s">
        <v>152</v>
      </c>
      <c r="I639" s="22" t="s">
        <v>229</v>
      </c>
      <c r="J639" s="22" t="s">
        <v>1439</v>
      </c>
      <c r="K639" s="22" t="s">
        <v>66</v>
      </c>
      <c r="L639" s="22" t="s">
        <v>70</v>
      </c>
      <c r="M639" s="22" t="s">
        <v>69</v>
      </c>
    </row>
    <row r="640" spans="1:13">
      <c r="A640" s="22" t="s">
        <v>1539</v>
      </c>
      <c r="B640" s="22" t="s">
        <v>1540</v>
      </c>
      <c r="C640" s="22" t="s">
        <v>204</v>
      </c>
      <c r="D640" s="22" t="s">
        <v>1439</v>
      </c>
      <c r="E640" s="22">
        <v>13</v>
      </c>
      <c r="F640" s="22">
        <v>2</v>
      </c>
      <c r="G640" s="22" t="s">
        <v>1524</v>
      </c>
      <c r="H640" s="22" t="s">
        <v>152</v>
      </c>
      <c r="I640" s="22" t="s">
        <v>232</v>
      </c>
      <c r="J640" s="22" t="s">
        <v>1439</v>
      </c>
      <c r="K640" s="22" t="s">
        <v>66</v>
      </c>
      <c r="L640" s="22" t="s">
        <v>70</v>
      </c>
      <c r="M640" s="22" t="s">
        <v>69</v>
      </c>
    </row>
    <row r="641" spans="1:13">
      <c r="A641" s="22" t="s">
        <v>1541</v>
      </c>
      <c r="B641" s="22" t="s">
        <v>1542</v>
      </c>
      <c r="C641" s="22" t="s">
        <v>204</v>
      </c>
      <c r="D641" s="22" t="s">
        <v>1439</v>
      </c>
      <c r="E641" s="22">
        <v>16</v>
      </c>
      <c r="F641" s="22">
        <v>30</v>
      </c>
      <c r="G641" s="22" t="s">
        <v>1524</v>
      </c>
      <c r="H641" s="22" t="s">
        <v>152</v>
      </c>
      <c r="I641" s="22" t="s">
        <v>235</v>
      </c>
      <c r="J641" s="22" t="s">
        <v>1439</v>
      </c>
      <c r="K641" s="22" t="s">
        <v>66</v>
      </c>
      <c r="L641" s="22" t="s">
        <v>70</v>
      </c>
      <c r="M641" s="22" t="s">
        <v>69</v>
      </c>
    </row>
    <row r="642" spans="1:13">
      <c r="A642" s="22" t="s">
        <v>1543</v>
      </c>
      <c r="B642" s="22" t="s">
        <v>1544</v>
      </c>
      <c r="C642" s="22" t="s">
        <v>213</v>
      </c>
      <c r="D642" s="22" t="s">
        <v>1439</v>
      </c>
      <c r="E642" s="22">
        <v>15</v>
      </c>
      <c r="F642" s="22">
        <v>20</v>
      </c>
      <c r="G642" s="22" t="s">
        <v>1524</v>
      </c>
      <c r="H642" s="22" t="s">
        <v>152</v>
      </c>
      <c r="I642" s="22" t="s">
        <v>238</v>
      </c>
      <c r="J642" s="22" t="s">
        <v>1439</v>
      </c>
      <c r="K642" s="22" t="s">
        <v>66</v>
      </c>
      <c r="L642" s="22" t="s">
        <v>70</v>
      </c>
      <c r="M642" s="22" t="s">
        <v>69</v>
      </c>
    </row>
    <row r="643" spans="1:13">
      <c r="A643" s="22" t="s">
        <v>1545</v>
      </c>
      <c r="B643" s="22" t="s">
        <v>1546</v>
      </c>
      <c r="C643" s="22" t="s">
        <v>204</v>
      </c>
      <c r="D643" s="22" t="s">
        <v>1439</v>
      </c>
      <c r="E643" s="22">
        <v>16</v>
      </c>
      <c r="F643" s="22">
        <v>7</v>
      </c>
      <c r="G643" s="22" t="s">
        <v>1524</v>
      </c>
      <c r="H643" s="22" t="s">
        <v>152</v>
      </c>
      <c r="I643" s="22" t="s">
        <v>241</v>
      </c>
      <c r="J643" s="22" t="s">
        <v>1439</v>
      </c>
      <c r="K643" s="22" t="s">
        <v>66</v>
      </c>
      <c r="L643" s="22" t="s">
        <v>70</v>
      </c>
      <c r="M643" s="22" t="s">
        <v>69</v>
      </c>
    </row>
    <row r="644" spans="1:13">
      <c r="A644" s="22" t="s">
        <v>1547</v>
      </c>
      <c r="B644" s="22" t="s">
        <v>1548</v>
      </c>
      <c r="C644" s="22" t="s">
        <v>213</v>
      </c>
      <c r="D644" s="22" t="s">
        <v>1439</v>
      </c>
      <c r="E644" s="22">
        <v>16</v>
      </c>
      <c r="F644" s="22">
        <v>21</v>
      </c>
      <c r="G644" s="22" t="s">
        <v>1524</v>
      </c>
      <c r="H644" s="22" t="s">
        <v>152</v>
      </c>
      <c r="I644" s="22" t="s">
        <v>244</v>
      </c>
      <c r="J644" s="22" t="s">
        <v>1439</v>
      </c>
      <c r="K644" s="22" t="s">
        <v>66</v>
      </c>
      <c r="L644" s="22" t="s">
        <v>70</v>
      </c>
      <c r="M644" s="22" t="s">
        <v>69</v>
      </c>
    </row>
    <row r="645" spans="1:13">
      <c r="A645" s="22" t="s">
        <v>1549</v>
      </c>
      <c r="B645" s="22" t="s">
        <v>1550</v>
      </c>
      <c r="C645" s="22" t="s">
        <v>213</v>
      </c>
      <c r="D645" s="22" t="s">
        <v>1439</v>
      </c>
      <c r="E645" s="22">
        <v>13</v>
      </c>
      <c r="F645" s="22">
        <v>27</v>
      </c>
      <c r="G645" s="22" t="s">
        <v>1524</v>
      </c>
      <c r="H645" s="22" t="s">
        <v>152</v>
      </c>
      <c r="I645" s="22" t="s">
        <v>247</v>
      </c>
      <c r="J645" s="22" t="s">
        <v>1439</v>
      </c>
      <c r="K645" s="22" t="s">
        <v>66</v>
      </c>
      <c r="L645" s="22" t="s">
        <v>70</v>
      </c>
      <c r="M645" s="22" t="s">
        <v>69</v>
      </c>
    </row>
    <row r="646" spans="1:13">
      <c r="A646" s="22" t="s">
        <v>1551</v>
      </c>
      <c r="B646" s="22" t="s">
        <v>1552</v>
      </c>
      <c r="C646" s="22" t="s">
        <v>204</v>
      </c>
      <c r="D646" s="22" t="s">
        <v>1439</v>
      </c>
      <c r="E646" s="22">
        <v>15</v>
      </c>
      <c r="F646" s="22">
        <v>16</v>
      </c>
      <c r="G646" s="22" t="s">
        <v>1524</v>
      </c>
      <c r="H646" s="22" t="s">
        <v>152</v>
      </c>
      <c r="I646" s="22" t="s">
        <v>250</v>
      </c>
      <c r="J646" s="22" t="s">
        <v>1439</v>
      </c>
      <c r="K646" s="22" t="s">
        <v>66</v>
      </c>
      <c r="L646" s="22" t="s">
        <v>70</v>
      </c>
      <c r="M646" s="22" t="s">
        <v>69</v>
      </c>
    </row>
    <row r="647" spans="1:13">
      <c r="A647" s="22" t="s">
        <v>1553</v>
      </c>
      <c r="B647" s="22" t="s">
        <v>1554</v>
      </c>
      <c r="C647" s="22" t="s">
        <v>204</v>
      </c>
      <c r="D647" s="22" t="s">
        <v>1439</v>
      </c>
      <c r="E647" s="22">
        <v>15</v>
      </c>
      <c r="F647" s="22">
        <v>38</v>
      </c>
      <c r="G647" s="22" t="s">
        <v>1524</v>
      </c>
      <c r="H647" s="22" t="s">
        <v>152</v>
      </c>
      <c r="I647" s="22" t="s">
        <v>253</v>
      </c>
      <c r="J647" s="22" t="s">
        <v>1439</v>
      </c>
      <c r="K647" s="22" t="s">
        <v>66</v>
      </c>
      <c r="L647" s="22" t="s">
        <v>70</v>
      </c>
      <c r="M647" s="22" t="s">
        <v>69</v>
      </c>
    </row>
    <row r="648" spans="1:13">
      <c r="A648" s="22" t="s">
        <v>1555</v>
      </c>
      <c r="B648" s="22" t="s">
        <v>1556</v>
      </c>
      <c r="C648" s="22" t="s">
        <v>204</v>
      </c>
      <c r="D648" s="22" t="s">
        <v>1439</v>
      </c>
      <c r="E648" s="22">
        <v>13</v>
      </c>
      <c r="F648" s="22">
        <v>33</v>
      </c>
      <c r="G648" s="22" t="s">
        <v>1524</v>
      </c>
      <c r="H648" s="22" t="s">
        <v>152</v>
      </c>
      <c r="I648" s="22" t="s">
        <v>256</v>
      </c>
      <c r="J648" s="22" t="s">
        <v>1439</v>
      </c>
      <c r="K648" s="22" t="s">
        <v>66</v>
      </c>
      <c r="L648" s="22" t="s">
        <v>70</v>
      </c>
      <c r="M648" s="22" t="s">
        <v>69</v>
      </c>
    </row>
    <row r="649" spans="1:13">
      <c r="A649" s="22" t="s">
        <v>1557</v>
      </c>
      <c r="B649" s="22" t="s">
        <v>1558</v>
      </c>
      <c r="C649" s="22" t="s">
        <v>204</v>
      </c>
      <c r="D649" s="22" t="s">
        <v>1439</v>
      </c>
      <c r="E649" s="22">
        <v>16</v>
      </c>
      <c r="F649" s="22">
        <v>13</v>
      </c>
      <c r="G649" s="22" t="s">
        <v>1524</v>
      </c>
      <c r="H649" s="22" t="s">
        <v>152</v>
      </c>
      <c r="I649" s="22" t="s">
        <v>259</v>
      </c>
      <c r="J649" s="22" t="s">
        <v>1439</v>
      </c>
      <c r="K649" s="22" t="s">
        <v>66</v>
      </c>
      <c r="L649" s="22" t="s">
        <v>70</v>
      </c>
      <c r="M649" s="22" t="s">
        <v>69</v>
      </c>
    </row>
    <row r="650" spans="1:13">
      <c r="A650" s="22" t="s">
        <v>1559</v>
      </c>
      <c r="B650" s="22" t="s">
        <v>1560</v>
      </c>
      <c r="C650" s="22" t="s">
        <v>204</v>
      </c>
      <c r="D650" s="22" t="s">
        <v>1439</v>
      </c>
      <c r="E650" s="22">
        <v>13</v>
      </c>
      <c r="F650" s="22">
        <v>9</v>
      </c>
      <c r="G650" s="22" t="s">
        <v>1524</v>
      </c>
      <c r="H650" s="22" t="s">
        <v>152</v>
      </c>
      <c r="I650" s="22" t="s">
        <v>262</v>
      </c>
      <c r="J650" s="22" t="s">
        <v>1439</v>
      </c>
      <c r="K650" s="22" t="s">
        <v>66</v>
      </c>
      <c r="L650" s="22" t="s">
        <v>70</v>
      </c>
      <c r="M650" s="22" t="s">
        <v>69</v>
      </c>
    </row>
    <row r="651" spans="1:13">
      <c r="A651" s="22" t="s">
        <v>1561</v>
      </c>
      <c r="B651" s="22" t="s">
        <v>1562</v>
      </c>
      <c r="C651" s="22" t="s">
        <v>213</v>
      </c>
      <c r="D651" s="22" t="s">
        <v>1439</v>
      </c>
      <c r="E651" s="22">
        <v>13</v>
      </c>
      <c r="F651" s="22">
        <v>28</v>
      </c>
      <c r="G651" s="22" t="s">
        <v>1524</v>
      </c>
      <c r="H651" s="22" t="s">
        <v>152</v>
      </c>
      <c r="I651" s="22" t="s">
        <v>265</v>
      </c>
      <c r="J651" s="22" t="s">
        <v>1439</v>
      </c>
      <c r="K651" s="22" t="s">
        <v>66</v>
      </c>
      <c r="L651" s="22" t="s">
        <v>70</v>
      </c>
      <c r="M651" s="22" t="s">
        <v>69</v>
      </c>
    </row>
    <row r="652" spans="1:13">
      <c r="A652" s="22" t="s">
        <v>1563</v>
      </c>
      <c r="B652" s="22" t="s">
        <v>1564</v>
      </c>
      <c r="C652" s="22" t="s">
        <v>204</v>
      </c>
      <c r="D652" s="22" t="s">
        <v>1439</v>
      </c>
      <c r="E652" s="22">
        <v>15</v>
      </c>
      <c r="F652" s="22">
        <v>23</v>
      </c>
      <c r="G652" s="22" t="s">
        <v>1524</v>
      </c>
      <c r="H652" s="22" t="s">
        <v>152</v>
      </c>
      <c r="I652" s="22" t="s">
        <v>268</v>
      </c>
      <c r="J652" s="22" t="s">
        <v>1439</v>
      </c>
      <c r="K652" s="22" t="s">
        <v>66</v>
      </c>
      <c r="L652" s="22" t="s">
        <v>70</v>
      </c>
      <c r="M652" s="22" t="s">
        <v>69</v>
      </c>
    </row>
    <row r="653" spans="1:13">
      <c r="A653" s="22" t="s">
        <v>1565</v>
      </c>
      <c r="B653" s="22" t="s">
        <v>1566</v>
      </c>
      <c r="C653" s="22" t="s">
        <v>204</v>
      </c>
      <c r="D653" s="22" t="s">
        <v>1439</v>
      </c>
      <c r="E653" s="22">
        <v>14</v>
      </c>
      <c r="F653" s="22">
        <v>24</v>
      </c>
      <c r="G653" s="22" t="s">
        <v>1524</v>
      </c>
      <c r="H653" s="22" t="s">
        <v>152</v>
      </c>
      <c r="I653" s="22" t="s">
        <v>271</v>
      </c>
      <c r="J653" s="22" t="s">
        <v>1439</v>
      </c>
      <c r="K653" s="22" t="s">
        <v>66</v>
      </c>
      <c r="L653" s="22" t="s">
        <v>70</v>
      </c>
      <c r="M653" s="22" t="s">
        <v>69</v>
      </c>
    </row>
    <row r="654" spans="1:13">
      <c r="A654" s="22" t="s">
        <v>1567</v>
      </c>
      <c r="B654" s="22" t="s">
        <v>1568</v>
      </c>
      <c r="C654" s="22" t="s">
        <v>213</v>
      </c>
      <c r="D654" s="22" t="s">
        <v>1439</v>
      </c>
      <c r="E654" s="22">
        <v>16</v>
      </c>
      <c r="F654" s="22">
        <v>17</v>
      </c>
      <c r="G654" s="22" t="s">
        <v>1524</v>
      </c>
      <c r="H654" s="22" t="s">
        <v>152</v>
      </c>
      <c r="I654" s="22" t="s">
        <v>274</v>
      </c>
      <c r="J654" s="22" t="s">
        <v>1439</v>
      </c>
      <c r="K654" s="22" t="s">
        <v>66</v>
      </c>
      <c r="L654" s="22" t="s">
        <v>70</v>
      </c>
      <c r="M654" s="22" t="s">
        <v>69</v>
      </c>
    </row>
    <row r="655" spans="1:13">
      <c r="A655" s="22" t="s">
        <v>1569</v>
      </c>
      <c r="B655" s="22" t="s">
        <v>1570</v>
      </c>
      <c r="C655" s="22" t="s">
        <v>204</v>
      </c>
      <c r="D655" s="22" t="s">
        <v>1439</v>
      </c>
      <c r="E655" s="22">
        <v>13</v>
      </c>
      <c r="F655" s="22">
        <v>16</v>
      </c>
      <c r="G655" s="22" t="s">
        <v>1524</v>
      </c>
      <c r="H655" s="22" t="s">
        <v>152</v>
      </c>
      <c r="I655" s="22" t="s">
        <v>277</v>
      </c>
      <c r="J655" s="22" t="s">
        <v>1439</v>
      </c>
      <c r="K655" s="22" t="s">
        <v>66</v>
      </c>
      <c r="L655" s="22" t="s">
        <v>70</v>
      </c>
      <c r="M655" s="22" t="s">
        <v>69</v>
      </c>
    </row>
    <row r="656" spans="1:13">
      <c r="A656" s="22" t="s">
        <v>1571</v>
      </c>
      <c r="B656" s="22" t="s">
        <v>1572</v>
      </c>
      <c r="C656" s="22" t="s">
        <v>204</v>
      </c>
      <c r="D656" s="22" t="s">
        <v>1439</v>
      </c>
      <c r="E656" s="22">
        <v>15</v>
      </c>
      <c r="F656" s="22">
        <v>11</v>
      </c>
      <c r="G656" s="22" t="s">
        <v>1524</v>
      </c>
      <c r="H656" s="22" t="s">
        <v>152</v>
      </c>
      <c r="I656" s="22" t="s">
        <v>280</v>
      </c>
      <c r="J656" s="22" t="s">
        <v>1439</v>
      </c>
      <c r="K656" s="22" t="s">
        <v>66</v>
      </c>
      <c r="L656" s="22" t="s">
        <v>70</v>
      </c>
      <c r="M656" s="22" t="s">
        <v>69</v>
      </c>
    </row>
    <row r="657" spans="1:13">
      <c r="A657" s="22" t="s">
        <v>1573</v>
      </c>
      <c r="B657" s="22" t="s">
        <v>1574</v>
      </c>
      <c r="C657" s="22" t="s">
        <v>204</v>
      </c>
      <c r="D657" s="22" t="s">
        <v>1439</v>
      </c>
      <c r="E657" s="22">
        <v>14</v>
      </c>
      <c r="F657" s="22">
        <v>49</v>
      </c>
      <c r="G657" s="22" t="s">
        <v>1524</v>
      </c>
      <c r="H657" s="22" t="s">
        <v>152</v>
      </c>
      <c r="I657" s="22" t="s">
        <v>283</v>
      </c>
      <c r="J657" s="22" t="s">
        <v>1439</v>
      </c>
      <c r="K657" s="22" t="s">
        <v>66</v>
      </c>
      <c r="L657" s="22" t="s">
        <v>70</v>
      </c>
      <c r="M657" s="22" t="s">
        <v>69</v>
      </c>
    </row>
    <row r="658" spans="1:13">
      <c r="A658" s="22" t="s">
        <v>1575</v>
      </c>
      <c r="B658" s="22" t="s">
        <v>1576</v>
      </c>
      <c r="C658" s="22" t="s">
        <v>204</v>
      </c>
      <c r="D658" s="22" t="s">
        <v>1439</v>
      </c>
      <c r="E658" s="22">
        <v>16</v>
      </c>
      <c r="F658" s="22">
        <v>14</v>
      </c>
      <c r="G658" s="22" t="s">
        <v>1524</v>
      </c>
      <c r="H658" s="22" t="s">
        <v>152</v>
      </c>
      <c r="I658" s="22" t="s">
        <v>286</v>
      </c>
      <c r="J658" s="22" t="s">
        <v>1439</v>
      </c>
      <c r="K658" s="22" t="s">
        <v>66</v>
      </c>
      <c r="L658" s="22" t="s">
        <v>70</v>
      </c>
      <c r="M658" s="22" t="s">
        <v>69</v>
      </c>
    </row>
    <row r="659" spans="1:13">
      <c r="A659" s="22" t="s">
        <v>1577</v>
      </c>
      <c r="B659" s="22" t="s">
        <v>1578</v>
      </c>
      <c r="C659" s="22" t="s">
        <v>204</v>
      </c>
      <c r="D659" s="22" t="s">
        <v>1439</v>
      </c>
      <c r="E659" s="22">
        <v>16</v>
      </c>
      <c r="F659" s="22">
        <v>3</v>
      </c>
      <c r="G659" s="22" t="s">
        <v>1524</v>
      </c>
      <c r="H659" s="22" t="s">
        <v>152</v>
      </c>
      <c r="I659" s="22" t="s">
        <v>289</v>
      </c>
      <c r="J659" s="22" t="s">
        <v>1439</v>
      </c>
      <c r="K659" s="22" t="s">
        <v>66</v>
      </c>
      <c r="L659" s="22" t="s">
        <v>70</v>
      </c>
      <c r="M659" s="22" t="s">
        <v>69</v>
      </c>
    </row>
    <row r="660" spans="1:13">
      <c r="A660" s="22" t="s">
        <v>1579</v>
      </c>
      <c r="B660" s="22" t="s">
        <v>1580</v>
      </c>
      <c r="C660" s="22" t="s">
        <v>204</v>
      </c>
      <c r="D660" s="22" t="s">
        <v>1439</v>
      </c>
      <c r="E660" s="22">
        <v>16</v>
      </c>
      <c r="F660" s="22">
        <v>9</v>
      </c>
      <c r="G660" s="22" t="s">
        <v>1524</v>
      </c>
      <c r="H660" s="22" t="s">
        <v>152</v>
      </c>
      <c r="I660" s="22" t="s">
        <v>292</v>
      </c>
      <c r="J660" s="22" t="s">
        <v>1439</v>
      </c>
      <c r="K660" s="22" t="s">
        <v>66</v>
      </c>
      <c r="L660" s="22" t="s">
        <v>70</v>
      </c>
      <c r="M660" s="22" t="s">
        <v>69</v>
      </c>
    </row>
    <row r="661" spans="1:13">
      <c r="A661" s="22" t="s">
        <v>1581</v>
      </c>
      <c r="B661" s="22" t="s">
        <v>1582</v>
      </c>
      <c r="C661" s="22" t="s">
        <v>204</v>
      </c>
      <c r="D661" s="22" t="s">
        <v>1439</v>
      </c>
      <c r="E661" s="22">
        <v>14</v>
      </c>
      <c r="F661" s="22">
        <v>40</v>
      </c>
      <c r="G661" s="22" t="s">
        <v>1524</v>
      </c>
      <c r="H661" s="22" t="s">
        <v>152</v>
      </c>
      <c r="I661" s="22" t="s">
        <v>295</v>
      </c>
      <c r="J661" s="22" t="s">
        <v>1439</v>
      </c>
      <c r="K661" s="22" t="s">
        <v>66</v>
      </c>
      <c r="L661" s="22" t="s">
        <v>70</v>
      </c>
      <c r="M661" s="22" t="s">
        <v>69</v>
      </c>
    </row>
    <row r="662" spans="1:13">
      <c r="A662" s="22" t="s">
        <v>1583</v>
      </c>
      <c r="B662" s="22" t="s">
        <v>1584</v>
      </c>
      <c r="C662" s="22" t="s">
        <v>204</v>
      </c>
      <c r="D662" s="22" t="s">
        <v>1439</v>
      </c>
      <c r="E662" s="22">
        <v>15</v>
      </c>
      <c r="F662" s="22">
        <v>3</v>
      </c>
      <c r="G662" s="22" t="s">
        <v>1524</v>
      </c>
      <c r="H662" s="22" t="s">
        <v>152</v>
      </c>
      <c r="I662" s="22" t="s">
        <v>298</v>
      </c>
      <c r="J662" s="22" t="s">
        <v>1439</v>
      </c>
      <c r="K662" s="22" t="s">
        <v>66</v>
      </c>
      <c r="L662" s="22" t="s">
        <v>70</v>
      </c>
      <c r="M662" s="22" t="s">
        <v>69</v>
      </c>
    </row>
    <row r="663" spans="1:13">
      <c r="A663" s="22" t="s">
        <v>1585</v>
      </c>
      <c r="B663" s="22" t="s">
        <v>1586</v>
      </c>
      <c r="C663" s="22" t="s">
        <v>213</v>
      </c>
      <c r="D663" s="22" t="s">
        <v>1439</v>
      </c>
      <c r="E663" s="22">
        <v>15</v>
      </c>
      <c r="F663" s="22">
        <v>2</v>
      </c>
      <c r="G663" s="22" t="s">
        <v>1524</v>
      </c>
      <c r="H663" s="22" t="s">
        <v>152</v>
      </c>
      <c r="I663" s="22" t="s">
        <v>301</v>
      </c>
      <c r="J663" s="22" t="s">
        <v>1439</v>
      </c>
      <c r="K663" s="22" t="s">
        <v>66</v>
      </c>
      <c r="L663" s="22" t="s">
        <v>70</v>
      </c>
      <c r="M663" s="22" t="s">
        <v>69</v>
      </c>
    </row>
    <row r="664" spans="1:13">
      <c r="A664" s="22" t="s">
        <v>1587</v>
      </c>
      <c r="B664" s="22" t="s">
        <v>1588</v>
      </c>
      <c r="C664" s="22" t="s">
        <v>213</v>
      </c>
      <c r="D664" s="22" t="s">
        <v>1439</v>
      </c>
      <c r="E664" s="22">
        <v>15</v>
      </c>
      <c r="F664" s="22">
        <v>43</v>
      </c>
      <c r="G664" s="22" t="s">
        <v>1524</v>
      </c>
      <c r="H664" s="22" t="s">
        <v>152</v>
      </c>
      <c r="I664" s="22" t="s">
        <v>304</v>
      </c>
      <c r="J664" s="22" t="s">
        <v>1439</v>
      </c>
      <c r="K664" s="22" t="s">
        <v>66</v>
      </c>
      <c r="L664" s="22" t="s">
        <v>70</v>
      </c>
      <c r="M664" s="22" t="s">
        <v>69</v>
      </c>
    </row>
    <row r="665" spans="1:13">
      <c r="A665" s="22" t="s">
        <v>1589</v>
      </c>
      <c r="B665" s="22" t="s">
        <v>1590</v>
      </c>
      <c r="C665" s="22" t="s">
        <v>204</v>
      </c>
      <c r="D665" s="22" t="s">
        <v>1439</v>
      </c>
      <c r="E665" s="22">
        <v>16</v>
      </c>
      <c r="F665" s="22">
        <v>10</v>
      </c>
      <c r="G665" s="22" t="s">
        <v>1524</v>
      </c>
      <c r="H665" s="22" t="s">
        <v>152</v>
      </c>
      <c r="I665" s="22" t="s">
        <v>307</v>
      </c>
      <c r="J665" s="22" t="s">
        <v>1439</v>
      </c>
      <c r="K665" s="22" t="s">
        <v>66</v>
      </c>
      <c r="L665" s="22" t="s">
        <v>70</v>
      </c>
      <c r="M665" s="22" t="s">
        <v>69</v>
      </c>
    </row>
    <row r="666" spans="1:13">
      <c r="A666" s="22" t="s">
        <v>1591</v>
      </c>
      <c r="B666" s="22" t="s">
        <v>1592</v>
      </c>
      <c r="C666" s="22" t="s">
        <v>204</v>
      </c>
      <c r="D666" s="22" t="s">
        <v>1439</v>
      </c>
      <c r="E666" s="22">
        <v>13</v>
      </c>
      <c r="F666" s="22">
        <v>24</v>
      </c>
      <c r="G666" s="22" t="s">
        <v>1524</v>
      </c>
      <c r="H666" s="22" t="s">
        <v>152</v>
      </c>
      <c r="I666" s="22" t="s">
        <v>310</v>
      </c>
      <c r="J666" s="22" t="s">
        <v>1439</v>
      </c>
      <c r="K666" s="22" t="s">
        <v>66</v>
      </c>
      <c r="L666" s="22" t="s">
        <v>70</v>
      </c>
      <c r="M666" s="22" t="s">
        <v>69</v>
      </c>
    </row>
    <row r="667" spans="1:13">
      <c r="A667" s="22" t="s">
        <v>1593</v>
      </c>
      <c r="B667" s="22" t="s">
        <v>1594</v>
      </c>
      <c r="C667" s="22" t="s">
        <v>213</v>
      </c>
      <c r="D667" s="22" t="s">
        <v>1439</v>
      </c>
      <c r="E667" s="22">
        <v>16</v>
      </c>
      <c r="F667" s="22">
        <v>40</v>
      </c>
      <c r="G667" s="22" t="s">
        <v>1524</v>
      </c>
      <c r="H667" s="22" t="s">
        <v>152</v>
      </c>
      <c r="I667" s="22" t="s">
        <v>313</v>
      </c>
      <c r="J667" s="22" t="s">
        <v>1439</v>
      </c>
      <c r="K667" s="22" t="s">
        <v>66</v>
      </c>
      <c r="L667" s="22" t="s">
        <v>70</v>
      </c>
      <c r="M667" s="22" t="s">
        <v>69</v>
      </c>
    </row>
    <row r="668" spans="1:13">
      <c r="A668" s="22" t="s">
        <v>1595</v>
      </c>
      <c r="B668" s="22" t="s">
        <v>1596</v>
      </c>
      <c r="C668" s="22" t="s">
        <v>204</v>
      </c>
      <c r="D668" s="22" t="s">
        <v>1439</v>
      </c>
      <c r="E668" s="22">
        <v>16</v>
      </c>
      <c r="F668" s="22">
        <v>47</v>
      </c>
      <c r="G668" s="22" t="s">
        <v>1524</v>
      </c>
      <c r="H668" s="22" t="s">
        <v>152</v>
      </c>
      <c r="I668" s="22" t="s">
        <v>316</v>
      </c>
      <c r="J668" s="22" t="s">
        <v>1439</v>
      </c>
      <c r="K668" s="22" t="s">
        <v>66</v>
      </c>
      <c r="L668" s="22" t="s">
        <v>70</v>
      </c>
      <c r="M668" s="22" t="s">
        <v>69</v>
      </c>
    </row>
    <row r="669" spans="1:13">
      <c r="A669" s="22" t="s">
        <v>1597</v>
      </c>
      <c r="B669" s="22" t="s">
        <v>1598</v>
      </c>
      <c r="C669" s="22" t="s">
        <v>204</v>
      </c>
      <c r="D669" s="22" t="s">
        <v>1439</v>
      </c>
      <c r="E669" s="22">
        <v>14</v>
      </c>
      <c r="F669" s="22">
        <v>3</v>
      </c>
      <c r="G669" s="22" t="s">
        <v>1524</v>
      </c>
      <c r="H669" s="22" t="s">
        <v>152</v>
      </c>
      <c r="I669" s="22" t="s">
        <v>319</v>
      </c>
      <c r="J669" s="22" t="s">
        <v>1439</v>
      </c>
      <c r="K669" s="22" t="s">
        <v>66</v>
      </c>
      <c r="L669" s="22" t="s">
        <v>70</v>
      </c>
      <c r="M669" s="22" t="s">
        <v>69</v>
      </c>
    </row>
    <row r="670" spans="1:13">
      <c r="A670" s="22" t="s">
        <v>1599</v>
      </c>
      <c r="B670" s="22" t="s">
        <v>1600</v>
      </c>
      <c r="C670" s="22" t="s">
        <v>204</v>
      </c>
      <c r="D670" s="22" t="s">
        <v>1439</v>
      </c>
      <c r="E670" s="22">
        <v>16</v>
      </c>
      <c r="F670" s="22">
        <v>43</v>
      </c>
      <c r="G670" s="22" t="s">
        <v>1524</v>
      </c>
      <c r="H670" s="22" t="s">
        <v>152</v>
      </c>
      <c r="I670" s="22" t="s">
        <v>322</v>
      </c>
      <c r="J670" s="22" t="s">
        <v>1439</v>
      </c>
      <c r="K670" s="22" t="s">
        <v>66</v>
      </c>
      <c r="L670" s="22" t="s">
        <v>70</v>
      </c>
      <c r="M670" s="22" t="s">
        <v>69</v>
      </c>
    </row>
    <row r="671" spans="1:13">
      <c r="A671" s="22" t="s">
        <v>1601</v>
      </c>
      <c r="B671" s="22" t="s">
        <v>1602</v>
      </c>
      <c r="C671" s="22" t="s">
        <v>213</v>
      </c>
      <c r="D671" s="22" t="s">
        <v>1439</v>
      </c>
      <c r="E671" s="22">
        <v>13</v>
      </c>
      <c r="F671" s="22">
        <v>47</v>
      </c>
      <c r="G671" s="22" t="s">
        <v>1524</v>
      </c>
      <c r="H671" s="22" t="s">
        <v>152</v>
      </c>
      <c r="I671" s="22" t="s">
        <v>325</v>
      </c>
      <c r="J671" s="22" t="s">
        <v>1439</v>
      </c>
      <c r="K671" s="22" t="s">
        <v>66</v>
      </c>
      <c r="L671" s="22" t="s">
        <v>70</v>
      </c>
      <c r="M671" s="22" t="s">
        <v>69</v>
      </c>
    </row>
    <row r="672" spans="1:13">
      <c r="A672" s="22" t="s">
        <v>1603</v>
      </c>
      <c r="B672" s="22" t="s">
        <v>1604</v>
      </c>
      <c r="C672" s="22" t="s">
        <v>204</v>
      </c>
      <c r="D672" s="22" t="s">
        <v>1439</v>
      </c>
      <c r="E672" s="22">
        <v>14</v>
      </c>
      <c r="F672" s="22">
        <v>35</v>
      </c>
      <c r="G672" s="22" t="s">
        <v>1524</v>
      </c>
      <c r="H672" s="22" t="s">
        <v>152</v>
      </c>
      <c r="I672" s="22" t="s">
        <v>328</v>
      </c>
      <c r="J672" s="22" t="s">
        <v>1439</v>
      </c>
      <c r="K672" s="22" t="s">
        <v>66</v>
      </c>
      <c r="L672" s="22" t="s">
        <v>70</v>
      </c>
      <c r="M672" s="22" t="s">
        <v>69</v>
      </c>
    </row>
    <row r="673" spans="1:13">
      <c r="A673" s="22" t="s">
        <v>1605</v>
      </c>
      <c r="B673" s="22" t="s">
        <v>1606</v>
      </c>
      <c r="C673" s="22" t="s">
        <v>204</v>
      </c>
      <c r="D673" s="22" t="s">
        <v>1439</v>
      </c>
      <c r="E673" s="22">
        <v>14</v>
      </c>
      <c r="F673" s="22">
        <v>30</v>
      </c>
      <c r="G673" s="22" t="s">
        <v>1524</v>
      </c>
      <c r="H673" s="22" t="s">
        <v>152</v>
      </c>
      <c r="I673" s="22" t="s">
        <v>331</v>
      </c>
      <c r="J673" s="22" t="s">
        <v>1439</v>
      </c>
      <c r="K673" s="22" t="s">
        <v>66</v>
      </c>
      <c r="L673" s="22" t="s">
        <v>70</v>
      </c>
      <c r="M673" s="22" t="s">
        <v>69</v>
      </c>
    </row>
    <row r="674" spans="1:13">
      <c r="A674" s="22" t="s">
        <v>1607</v>
      </c>
      <c r="B674" s="22" t="s">
        <v>1608</v>
      </c>
      <c r="C674" s="22" t="s">
        <v>204</v>
      </c>
      <c r="D674" s="22" t="s">
        <v>1439</v>
      </c>
      <c r="E674" s="22">
        <v>14</v>
      </c>
      <c r="F674" s="22">
        <v>32</v>
      </c>
      <c r="G674" s="22" t="s">
        <v>1609</v>
      </c>
      <c r="H674" s="22" t="s">
        <v>153</v>
      </c>
      <c r="I674" s="22" t="s">
        <v>207</v>
      </c>
      <c r="J674" s="22" t="s">
        <v>1439</v>
      </c>
      <c r="K674" s="22" t="s">
        <v>66</v>
      </c>
      <c r="L674" s="22" t="s">
        <v>70</v>
      </c>
      <c r="M674" s="22" t="s">
        <v>69</v>
      </c>
    </row>
    <row r="675" spans="1:13">
      <c r="A675" s="22" t="s">
        <v>1610</v>
      </c>
      <c r="B675" s="22" t="s">
        <v>1611</v>
      </c>
      <c r="C675" s="22" t="s">
        <v>204</v>
      </c>
      <c r="D675" s="22" t="s">
        <v>1439</v>
      </c>
      <c r="E675" s="22">
        <v>14</v>
      </c>
      <c r="F675" s="22">
        <v>42</v>
      </c>
      <c r="G675" s="22" t="s">
        <v>1609</v>
      </c>
      <c r="H675" s="22" t="s">
        <v>153</v>
      </c>
      <c r="I675" s="22" t="s">
        <v>210</v>
      </c>
      <c r="J675" s="22" t="s">
        <v>1439</v>
      </c>
      <c r="K675" s="22" t="s">
        <v>66</v>
      </c>
      <c r="L675" s="22" t="s">
        <v>70</v>
      </c>
      <c r="M675" s="22" t="s">
        <v>69</v>
      </c>
    </row>
    <row r="676" spans="1:13">
      <c r="A676" s="22" t="s">
        <v>1612</v>
      </c>
      <c r="B676" s="22" t="s">
        <v>1613</v>
      </c>
      <c r="C676" s="22" t="s">
        <v>213</v>
      </c>
      <c r="D676" s="22" t="s">
        <v>1439</v>
      </c>
      <c r="E676" s="22">
        <v>16</v>
      </c>
      <c r="F676" s="22">
        <v>36</v>
      </c>
      <c r="G676" s="22" t="s">
        <v>1609</v>
      </c>
      <c r="H676" s="22" t="s">
        <v>153</v>
      </c>
      <c r="I676" s="22" t="s">
        <v>214</v>
      </c>
      <c r="J676" s="22" t="s">
        <v>1439</v>
      </c>
      <c r="K676" s="22" t="s">
        <v>66</v>
      </c>
      <c r="L676" s="22" t="s">
        <v>70</v>
      </c>
      <c r="M676" s="22" t="s">
        <v>69</v>
      </c>
    </row>
    <row r="677" spans="1:13">
      <c r="A677" s="22" t="s">
        <v>1614</v>
      </c>
      <c r="B677" s="22" t="s">
        <v>1615</v>
      </c>
      <c r="C677" s="22" t="s">
        <v>204</v>
      </c>
      <c r="D677" s="22" t="s">
        <v>1439</v>
      </c>
      <c r="E677" s="22">
        <v>14</v>
      </c>
      <c r="F677" s="22">
        <v>12</v>
      </c>
      <c r="G677" s="22" t="s">
        <v>1609</v>
      </c>
      <c r="H677" s="22" t="s">
        <v>153</v>
      </c>
      <c r="I677" s="22" t="s">
        <v>217</v>
      </c>
      <c r="J677" s="22" t="s">
        <v>1439</v>
      </c>
      <c r="K677" s="22" t="s">
        <v>66</v>
      </c>
      <c r="L677" s="22" t="s">
        <v>70</v>
      </c>
      <c r="M677" s="22" t="s">
        <v>69</v>
      </c>
    </row>
    <row r="678" spans="1:13">
      <c r="A678" s="22" t="s">
        <v>1616</v>
      </c>
      <c r="B678" s="22" t="s">
        <v>1617</v>
      </c>
      <c r="C678" s="22" t="s">
        <v>213</v>
      </c>
      <c r="D678" s="22" t="s">
        <v>1439</v>
      </c>
      <c r="E678" s="22">
        <v>13</v>
      </c>
      <c r="F678" s="22">
        <v>21</v>
      </c>
      <c r="G678" s="22" t="s">
        <v>1609</v>
      </c>
      <c r="H678" s="22" t="s">
        <v>153</v>
      </c>
      <c r="I678" s="22" t="s">
        <v>220</v>
      </c>
      <c r="J678" s="22" t="s">
        <v>1439</v>
      </c>
      <c r="K678" s="22" t="s">
        <v>66</v>
      </c>
      <c r="L678" s="22" t="s">
        <v>70</v>
      </c>
      <c r="M678" s="22" t="s">
        <v>69</v>
      </c>
    </row>
    <row r="679" spans="1:13">
      <c r="A679" s="22" t="s">
        <v>1618</v>
      </c>
      <c r="B679" s="22" t="s">
        <v>1619</v>
      </c>
      <c r="C679" s="22" t="s">
        <v>204</v>
      </c>
      <c r="D679" s="22" t="s">
        <v>1439</v>
      </c>
      <c r="E679" s="22">
        <v>16</v>
      </c>
      <c r="F679" s="22">
        <v>24</v>
      </c>
      <c r="G679" s="22" t="s">
        <v>1609</v>
      </c>
      <c r="H679" s="22" t="s">
        <v>153</v>
      </c>
      <c r="I679" s="22" t="s">
        <v>223</v>
      </c>
      <c r="J679" s="22" t="s">
        <v>1439</v>
      </c>
      <c r="K679" s="22" t="s">
        <v>66</v>
      </c>
      <c r="L679" s="22" t="s">
        <v>70</v>
      </c>
      <c r="M679" s="22" t="s">
        <v>69</v>
      </c>
    </row>
    <row r="680" spans="1:13">
      <c r="A680" s="22" t="s">
        <v>1620</v>
      </c>
      <c r="B680" s="22" t="s">
        <v>1621</v>
      </c>
      <c r="C680" s="22" t="s">
        <v>204</v>
      </c>
      <c r="D680" s="22" t="s">
        <v>1439</v>
      </c>
      <c r="E680" s="22">
        <v>15</v>
      </c>
      <c r="F680" s="22">
        <v>19</v>
      </c>
      <c r="G680" s="22" t="s">
        <v>1609</v>
      </c>
      <c r="H680" s="22" t="s">
        <v>153</v>
      </c>
      <c r="I680" s="22" t="s">
        <v>226</v>
      </c>
      <c r="J680" s="22" t="s">
        <v>1439</v>
      </c>
      <c r="K680" s="22" t="s">
        <v>66</v>
      </c>
      <c r="L680" s="22" t="s">
        <v>70</v>
      </c>
      <c r="M680" s="22" t="s">
        <v>69</v>
      </c>
    </row>
    <row r="681" spans="1:13">
      <c r="A681" s="22" t="s">
        <v>1622</v>
      </c>
      <c r="B681" s="22" t="s">
        <v>1623</v>
      </c>
      <c r="C681" s="22" t="s">
        <v>204</v>
      </c>
      <c r="D681" s="22" t="s">
        <v>1439</v>
      </c>
      <c r="E681" s="22">
        <v>15</v>
      </c>
      <c r="F681" s="22">
        <v>14</v>
      </c>
      <c r="G681" s="22" t="s">
        <v>1609</v>
      </c>
      <c r="H681" s="22" t="s">
        <v>153</v>
      </c>
      <c r="I681" s="22" t="s">
        <v>229</v>
      </c>
      <c r="J681" s="22" t="s">
        <v>1439</v>
      </c>
      <c r="K681" s="22" t="s">
        <v>66</v>
      </c>
      <c r="L681" s="22" t="s">
        <v>70</v>
      </c>
      <c r="M681" s="22" t="s">
        <v>69</v>
      </c>
    </row>
    <row r="682" spans="1:13">
      <c r="A682" s="22" t="s">
        <v>1624</v>
      </c>
      <c r="B682" s="22" t="s">
        <v>1625</v>
      </c>
      <c r="C682" s="22" t="s">
        <v>204</v>
      </c>
      <c r="D682" s="22" t="s">
        <v>1439</v>
      </c>
      <c r="E682" s="22">
        <v>13</v>
      </c>
      <c r="F682" s="22">
        <v>45</v>
      </c>
      <c r="G682" s="22" t="s">
        <v>1609</v>
      </c>
      <c r="H682" s="22" t="s">
        <v>153</v>
      </c>
      <c r="I682" s="22" t="s">
        <v>232</v>
      </c>
      <c r="J682" s="22" t="s">
        <v>1439</v>
      </c>
      <c r="K682" s="22" t="s">
        <v>66</v>
      </c>
      <c r="L682" s="22" t="s">
        <v>70</v>
      </c>
      <c r="M682" s="22" t="s">
        <v>69</v>
      </c>
    </row>
    <row r="683" spans="1:13">
      <c r="A683" s="22" t="s">
        <v>1626</v>
      </c>
      <c r="B683" s="22" t="s">
        <v>1627</v>
      </c>
      <c r="C683" s="22" t="s">
        <v>204</v>
      </c>
      <c r="D683" s="22" t="s">
        <v>1439</v>
      </c>
      <c r="E683" s="22">
        <v>16</v>
      </c>
      <c r="F683" s="22">
        <v>12</v>
      </c>
      <c r="G683" s="22" t="s">
        <v>1609</v>
      </c>
      <c r="H683" s="22" t="s">
        <v>153</v>
      </c>
      <c r="I683" s="22" t="s">
        <v>235</v>
      </c>
      <c r="J683" s="22" t="s">
        <v>1439</v>
      </c>
      <c r="K683" s="22" t="s">
        <v>66</v>
      </c>
      <c r="L683" s="22" t="s">
        <v>70</v>
      </c>
      <c r="M683" s="22" t="s">
        <v>69</v>
      </c>
    </row>
    <row r="684" spans="1:13">
      <c r="A684" s="22" t="s">
        <v>1628</v>
      </c>
      <c r="B684" s="22" t="s">
        <v>1629</v>
      </c>
      <c r="C684" s="22" t="s">
        <v>204</v>
      </c>
      <c r="D684" s="22" t="s">
        <v>1439</v>
      </c>
      <c r="E684" s="22">
        <v>16</v>
      </c>
      <c r="F684" s="22">
        <v>27</v>
      </c>
      <c r="G684" s="22" t="s">
        <v>1609</v>
      </c>
      <c r="H684" s="22" t="s">
        <v>153</v>
      </c>
      <c r="I684" s="22" t="s">
        <v>238</v>
      </c>
      <c r="J684" s="22" t="s">
        <v>1439</v>
      </c>
      <c r="K684" s="22" t="s">
        <v>66</v>
      </c>
      <c r="L684" s="22" t="s">
        <v>70</v>
      </c>
      <c r="M684" s="22" t="s">
        <v>69</v>
      </c>
    </row>
    <row r="685" spans="1:13">
      <c r="A685" s="22" t="s">
        <v>1630</v>
      </c>
      <c r="B685" s="22" t="s">
        <v>1631</v>
      </c>
      <c r="C685" s="22" t="s">
        <v>204</v>
      </c>
      <c r="D685" s="22" t="s">
        <v>1439</v>
      </c>
      <c r="E685" s="22">
        <v>15</v>
      </c>
      <c r="F685" s="22">
        <v>7</v>
      </c>
      <c r="G685" s="22" t="s">
        <v>1609</v>
      </c>
      <c r="H685" s="22" t="s">
        <v>153</v>
      </c>
      <c r="I685" s="22" t="s">
        <v>241</v>
      </c>
      <c r="J685" s="22" t="s">
        <v>1439</v>
      </c>
      <c r="K685" s="22" t="s">
        <v>66</v>
      </c>
      <c r="L685" s="22" t="s">
        <v>70</v>
      </c>
      <c r="M685" s="22" t="s">
        <v>69</v>
      </c>
    </row>
    <row r="686" spans="1:13">
      <c r="A686" s="22" t="s">
        <v>1632</v>
      </c>
      <c r="B686" s="22" t="s">
        <v>1633</v>
      </c>
      <c r="C686" s="22" t="s">
        <v>204</v>
      </c>
      <c r="D686" s="22" t="s">
        <v>1439</v>
      </c>
      <c r="E686" s="22">
        <v>13</v>
      </c>
      <c r="F686" s="22">
        <v>48</v>
      </c>
      <c r="G686" s="22" t="s">
        <v>1609</v>
      </c>
      <c r="H686" s="22" t="s">
        <v>153</v>
      </c>
      <c r="I686" s="22" t="s">
        <v>244</v>
      </c>
      <c r="J686" s="22" t="s">
        <v>1439</v>
      </c>
      <c r="K686" s="22" t="s">
        <v>66</v>
      </c>
      <c r="L686" s="22" t="s">
        <v>70</v>
      </c>
      <c r="M686" s="22" t="s">
        <v>69</v>
      </c>
    </row>
    <row r="687" spans="1:13">
      <c r="A687" s="22" t="s">
        <v>1634</v>
      </c>
      <c r="B687" s="22" t="s">
        <v>1635</v>
      </c>
      <c r="C687" s="22" t="s">
        <v>204</v>
      </c>
      <c r="D687" s="22" t="s">
        <v>1439</v>
      </c>
      <c r="E687" s="22">
        <v>14</v>
      </c>
      <c r="F687" s="22">
        <v>48</v>
      </c>
      <c r="G687" s="22" t="s">
        <v>1609</v>
      </c>
      <c r="H687" s="22" t="s">
        <v>153</v>
      </c>
      <c r="I687" s="22" t="s">
        <v>247</v>
      </c>
      <c r="J687" s="22" t="s">
        <v>1439</v>
      </c>
      <c r="K687" s="22" t="s">
        <v>66</v>
      </c>
      <c r="L687" s="22" t="s">
        <v>70</v>
      </c>
      <c r="M687" s="22" t="s">
        <v>69</v>
      </c>
    </row>
    <row r="688" spans="1:13">
      <c r="A688" s="22" t="s">
        <v>1636</v>
      </c>
      <c r="B688" s="22" t="s">
        <v>1637</v>
      </c>
      <c r="C688" s="22" t="s">
        <v>204</v>
      </c>
      <c r="D688" s="22" t="s">
        <v>1439</v>
      </c>
      <c r="E688" s="22">
        <v>14</v>
      </c>
      <c r="F688" s="22">
        <v>13</v>
      </c>
      <c r="G688" s="22" t="s">
        <v>1609</v>
      </c>
      <c r="H688" s="22" t="s">
        <v>153</v>
      </c>
      <c r="I688" s="22" t="s">
        <v>250</v>
      </c>
      <c r="J688" s="22" t="s">
        <v>1439</v>
      </c>
      <c r="K688" s="22" t="s">
        <v>66</v>
      </c>
      <c r="L688" s="22" t="s">
        <v>70</v>
      </c>
      <c r="M688" s="22" t="s">
        <v>69</v>
      </c>
    </row>
    <row r="689" spans="1:13">
      <c r="A689" s="22" t="s">
        <v>1638</v>
      </c>
      <c r="B689" s="22" t="s">
        <v>1639</v>
      </c>
      <c r="C689" s="22" t="s">
        <v>204</v>
      </c>
      <c r="D689" s="22" t="s">
        <v>1439</v>
      </c>
      <c r="E689" s="22">
        <v>16</v>
      </c>
      <c r="F689" s="22">
        <v>25</v>
      </c>
      <c r="G689" s="22" t="s">
        <v>1609</v>
      </c>
      <c r="H689" s="22" t="s">
        <v>153</v>
      </c>
      <c r="I689" s="22" t="s">
        <v>253</v>
      </c>
      <c r="J689" s="22" t="s">
        <v>1439</v>
      </c>
      <c r="K689" s="22" t="s">
        <v>66</v>
      </c>
      <c r="L689" s="22" t="s">
        <v>70</v>
      </c>
      <c r="M689" s="22" t="s">
        <v>69</v>
      </c>
    </row>
    <row r="690" spans="1:13">
      <c r="A690" s="22" t="s">
        <v>1640</v>
      </c>
      <c r="B690" s="22" t="s">
        <v>1641</v>
      </c>
      <c r="C690" s="22" t="s">
        <v>204</v>
      </c>
      <c r="D690" s="22" t="s">
        <v>1439</v>
      </c>
      <c r="E690" s="22">
        <v>15</v>
      </c>
      <c r="F690" s="22">
        <v>27</v>
      </c>
      <c r="G690" s="22" t="s">
        <v>1609</v>
      </c>
      <c r="H690" s="22" t="s">
        <v>153</v>
      </c>
      <c r="I690" s="22" t="s">
        <v>256</v>
      </c>
      <c r="J690" s="22" t="s">
        <v>1439</v>
      </c>
      <c r="K690" s="22" t="s">
        <v>66</v>
      </c>
      <c r="L690" s="22" t="s">
        <v>70</v>
      </c>
      <c r="M690" s="22" t="s">
        <v>69</v>
      </c>
    </row>
    <row r="691" spans="1:13">
      <c r="A691" s="22" t="s">
        <v>1642</v>
      </c>
      <c r="B691" s="22" t="s">
        <v>1643</v>
      </c>
      <c r="C691" s="22" t="s">
        <v>204</v>
      </c>
      <c r="D691" s="22" t="s">
        <v>1439</v>
      </c>
      <c r="E691" s="22">
        <v>16</v>
      </c>
      <c r="F691" s="22">
        <v>38</v>
      </c>
      <c r="G691" s="22" t="s">
        <v>1609</v>
      </c>
      <c r="H691" s="22" t="s">
        <v>153</v>
      </c>
      <c r="I691" s="22" t="s">
        <v>259</v>
      </c>
      <c r="J691" s="22" t="s">
        <v>1439</v>
      </c>
      <c r="K691" s="22" t="s">
        <v>66</v>
      </c>
      <c r="L691" s="22" t="s">
        <v>70</v>
      </c>
      <c r="M691" s="22" t="s">
        <v>69</v>
      </c>
    </row>
    <row r="692" spans="1:13">
      <c r="A692" s="22" t="s">
        <v>1644</v>
      </c>
      <c r="B692" s="22" t="s">
        <v>1645</v>
      </c>
      <c r="C692" s="22" t="s">
        <v>204</v>
      </c>
      <c r="D692" s="22" t="s">
        <v>1439</v>
      </c>
      <c r="E692" s="22">
        <v>15</v>
      </c>
      <c r="F692" s="22">
        <v>22</v>
      </c>
      <c r="G692" s="22" t="s">
        <v>1609</v>
      </c>
      <c r="H692" s="22" t="s">
        <v>153</v>
      </c>
      <c r="I692" s="22" t="s">
        <v>262</v>
      </c>
      <c r="J692" s="22" t="s">
        <v>1439</v>
      </c>
      <c r="K692" s="22" t="s">
        <v>66</v>
      </c>
      <c r="L692" s="22" t="s">
        <v>70</v>
      </c>
      <c r="M692" s="22" t="s">
        <v>69</v>
      </c>
    </row>
    <row r="693" spans="1:13">
      <c r="A693" s="22" t="s">
        <v>1646</v>
      </c>
      <c r="B693" s="22" t="s">
        <v>1647</v>
      </c>
      <c r="C693" s="22" t="s">
        <v>204</v>
      </c>
      <c r="D693" s="22" t="s">
        <v>1439</v>
      </c>
      <c r="E693" s="22">
        <v>16</v>
      </c>
      <c r="F693" s="22">
        <v>41</v>
      </c>
      <c r="G693" s="22" t="s">
        <v>1609</v>
      </c>
      <c r="H693" s="22" t="s">
        <v>153</v>
      </c>
      <c r="I693" s="22" t="s">
        <v>265</v>
      </c>
      <c r="J693" s="22" t="s">
        <v>1439</v>
      </c>
      <c r="K693" s="22" t="s">
        <v>66</v>
      </c>
      <c r="L693" s="22" t="s">
        <v>70</v>
      </c>
      <c r="M693" s="22" t="s">
        <v>69</v>
      </c>
    </row>
    <row r="694" spans="1:13">
      <c r="A694" s="22" t="s">
        <v>1648</v>
      </c>
      <c r="B694" s="22" t="s">
        <v>1649</v>
      </c>
      <c r="C694" s="22" t="s">
        <v>213</v>
      </c>
      <c r="D694" s="22" t="s">
        <v>1439</v>
      </c>
      <c r="E694" s="22">
        <v>13</v>
      </c>
      <c r="F694" s="22">
        <v>39</v>
      </c>
      <c r="G694" s="22" t="s">
        <v>1609</v>
      </c>
      <c r="H694" s="22" t="s">
        <v>153</v>
      </c>
      <c r="I694" s="22" t="s">
        <v>268</v>
      </c>
      <c r="J694" s="22" t="s">
        <v>1439</v>
      </c>
      <c r="K694" s="22" t="s">
        <v>66</v>
      </c>
      <c r="L694" s="22" t="s">
        <v>70</v>
      </c>
      <c r="M694" s="22" t="s">
        <v>69</v>
      </c>
    </row>
    <row r="695" spans="1:13">
      <c r="A695" s="22" t="s">
        <v>1650</v>
      </c>
      <c r="B695" s="22" t="s">
        <v>1651</v>
      </c>
      <c r="C695" s="22" t="s">
        <v>204</v>
      </c>
      <c r="D695" s="22" t="s">
        <v>1439</v>
      </c>
      <c r="E695" s="22">
        <v>13</v>
      </c>
      <c r="F695" s="22">
        <v>19</v>
      </c>
      <c r="G695" s="22" t="s">
        <v>1609</v>
      </c>
      <c r="H695" s="22" t="s">
        <v>153</v>
      </c>
      <c r="I695" s="22" t="s">
        <v>271</v>
      </c>
      <c r="J695" s="22" t="s">
        <v>1439</v>
      </c>
      <c r="K695" s="22" t="s">
        <v>66</v>
      </c>
      <c r="L695" s="22" t="s">
        <v>70</v>
      </c>
      <c r="M695" s="22" t="s">
        <v>69</v>
      </c>
    </row>
    <row r="696" spans="1:13">
      <c r="A696" s="22" t="s">
        <v>1652</v>
      </c>
      <c r="B696" s="22" t="s">
        <v>1653</v>
      </c>
      <c r="C696" s="22" t="s">
        <v>204</v>
      </c>
      <c r="D696" s="22" t="s">
        <v>1439</v>
      </c>
      <c r="E696" s="22">
        <v>16</v>
      </c>
      <c r="F696" s="22">
        <v>23</v>
      </c>
      <c r="G696" s="22" t="s">
        <v>1609</v>
      </c>
      <c r="H696" s="22" t="s">
        <v>153</v>
      </c>
      <c r="I696" s="22" t="s">
        <v>274</v>
      </c>
      <c r="J696" s="22" t="s">
        <v>1439</v>
      </c>
      <c r="K696" s="22" t="s">
        <v>66</v>
      </c>
      <c r="L696" s="22" t="s">
        <v>70</v>
      </c>
      <c r="M696" s="22" t="s">
        <v>69</v>
      </c>
    </row>
    <row r="697" spans="1:13">
      <c r="A697" s="22" t="s">
        <v>1654</v>
      </c>
      <c r="B697" s="22" t="s">
        <v>1655</v>
      </c>
      <c r="C697" s="22" t="s">
        <v>213</v>
      </c>
      <c r="D697" s="22" t="s">
        <v>1439</v>
      </c>
      <c r="E697" s="22">
        <v>14</v>
      </c>
      <c r="F697" s="22">
        <v>44</v>
      </c>
      <c r="G697" s="22" t="s">
        <v>1609</v>
      </c>
      <c r="H697" s="22" t="s">
        <v>153</v>
      </c>
      <c r="I697" s="22" t="s">
        <v>277</v>
      </c>
      <c r="J697" s="22" t="s">
        <v>1439</v>
      </c>
      <c r="K697" s="22" t="s">
        <v>66</v>
      </c>
      <c r="L697" s="22" t="s">
        <v>70</v>
      </c>
      <c r="M697" s="22" t="s">
        <v>69</v>
      </c>
    </row>
    <row r="698" spans="1:13">
      <c r="A698" s="22" t="s">
        <v>1656</v>
      </c>
      <c r="B698" s="22" t="s">
        <v>1657</v>
      </c>
      <c r="C698" s="22" t="s">
        <v>204</v>
      </c>
      <c r="D698" s="22" t="s">
        <v>1439</v>
      </c>
      <c r="E698" s="22">
        <v>13</v>
      </c>
      <c r="F698" s="22">
        <v>7</v>
      </c>
      <c r="G698" s="22" t="s">
        <v>1609</v>
      </c>
      <c r="H698" s="22" t="s">
        <v>153</v>
      </c>
      <c r="I698" s="22" t="s">
        <v>280</v>
      </c>
      <c r="J698" s="22" t="s">
        <v>1439</v>
      </c>
      <c r="K698" s="22" t="s">
        <v>66</v>
      </c>
      <c r="L698" s="22" t="s">
        <v>70</v>
      </c>
      <c r="M698" s="22" t="s">
        <v>69</v>
      </c>
    </row>
    <row r="699" spans="1:13">
      <c r="A699" s="22" t="s">
        <v>1658</v>
      </c>
      <c r="B699" s="22" t="s">
        <v>1659</v>
      </c>
      <c r="C699" s="22" t="s">
        <v>204</v>
      </c>
      <c r="D699" s="22" t="s">
        <v>1439</v>
      </c>
      <c r="E699" s="22">
        <v>16</v>
      </c>
      <c r="F699" s="22">
        <v>20</v>
      </c>
      <c r="G699" s="22" t="s">
        <v>1609</v>
      </c>
      <c r="H699" s="22" t="s">
        <v>153</v>
      </c>
      <c r="I699" s="22" t="s">
        <v>283</v>
      </c>
      <c r="J699" s="22" t="s">
        <v>1439</v>
      </c>
      <c r="K699" s="22" t="s">
        <v>66</v>
      </c>
      <c r="L699" s="22" t="s">
        <v>70</v>
      </c>
      <c r="M699" s="22" t="s">
        <v>69</v>
      </c>
    </row>
    <row r="700" spans="1:13">
      <c r="A700" s="22" t="s">
        <v>1660</v>
      </c>
      <c r="B700" s="22" t="s">
        <v>1661</v>
      </c>
      <c r="C700" s="22" t="s">
        <v>204</v>
      </c>
      <c r="D700" s="22" t="s">
        <v>1439</v>
      </c>
      <c r="E700" s="22">
        <v>15</v>
      </c>
      <c r="F700" s="22">
        <v>35</v>
      </c>
      <c r="G700" s="22" t="s">
        <v>1609</v>
      </c>
      <c r="H700" s="22" t="s">
        <v>153</v>
      </c>
      <c r="I700" s="22" t="s">
        <v>286</v>
      </c>
      <c r="J700" s="22" t="s">
        <v>1439</v>
      </c>
      <c r="K700" s="22" t="s">
        <v>66</v>
      </c>
      <c r="L700" s="22" t="s">
        <v>70</v>
      </c>
      <c r="M700" s="22" t="s">
        <v>69</v>
      </c>
    </row>
    <row r="701" spans="1:13">
      <c r="A701" s="22" t="s">
        <v>1662</v>
      </c>
      <c r="B701" s="22" t="s">
        <v>1663</v>
      </c>
      <c r="C701" s="22" t="s">
        <v>204</v>
      </c>
      <c r="D701" s="22" t="s">
        <v>1439</v>
      </c>
      <c r="E701" s="22">
        <v>15</v>
      </c>
      <c r="F701" s="22">
        <v>13</v>
      </c>
      <c r="G701" s="22" t="s">
        <v>1609</v>
      </c>
      <c r="H701" s="22" t="s">
        <v>153</v>
      </c>
      <c r="I701" s="22" t="s">
        <v>289</v>
      </c>
      <c r="J701" s="22" t="s">
        <v>1439</v>
      </c>
      <c r="K701" s="22" t="s">
        <v>66</v>
      </c>
      <c r="L701" s="22" t="s">
        <v>70</v>
      </c>
      <c r="M701" s="22" t="s">
        <v>69</v>
      </c>
    </row>
    <row r="702" spans="1:13">
      <c r="A702" s="22" t="s">
        <v>1664</v>
      </c>
      <c r="B702" s="22" t="s">
        <v>1665</v>
      </c>
      <c r="C702" s="22" t="s">
        <v>204</v>
      </c>
      <c r="D702" s="22" t="s">
        <v>1439</v>
      </c>
      <c r="E702" s="22">
        <v>16</v>
      </c>
      <c r="F702" s="22">
        <v>33</v>
      </c>
      <c r="G702" s="22" t="s">
        <v>1609</v>
      </c>
      <c r="H702" s="22" t="s">
        <v>153</v>
      </c>
      <c r="I702" s="22" t="s">
        <v>292</v>
      </c>
      <c r="J702" s="22" t="s">
        <v>1439</v>
      </c>
      <c r="K702" s="22" t="s">
        <v>66</v>
      </c>
      <c r="L702" s="22" t="s">
        <v>70</v>
      </c>
      <c r="M702" s="22" t="s">
        <v>69</v>
      </c>
    </row>
    <row r="703" spans="1:13">
      <c r="A703" s="22" t="s">
        <v>1666</v>
      </c>
      <c r="B703" s="22" t="s">
        <v>1667</v>
      </c>
      <c r="C703" s="22" t="s">
        <v>204</v>
      </c>
      <c r="D703" s="22" t="s">
        <v>1439</v>
      </c>
      <c r="E703" s="22">
        <v>13</v>
      </c>
      <c r="F703" s="22">
        <v>41</v>
      </c>
      <c r="G703" s="22" t="s">
        <v>1609</v>
      </c>
      <c r="H703" s="22" t="s">
        <v>153</v>
      </c>
      <c r="I703" s="22" t="s">
        <v>295</v>
      </c>
      <c r="J703" s="22" t="s">
        <v>1439</v>
      </c>
      <c r="K703" s="22" t="s">
        <v>66</v>
      </c>
      <c r="L703" s="22" t="s">
        <v>70</v>
      </c>
      <c r="M703" s="22" t="s">
        <v>69</v>
      </c>
    </row>
    <row r="704" spans="1:13">
      <c r="A704" s="22" t="s">
        <v>1668</v>
      </c>
      <c r="B704" s="22" t="s">
        <v>1669</v>
      </c>
      <c r="C704" s="22" t="s">
        <v>204</v>
      </c>
      <c r="D704" s="22" t="s">
        <v>1439</v>
      </c>
      <c r="E704" s="22">
        <v>15</v>
      </c>
      <c r="F704" s="22">
        <v>6</v>
      </c>
      <c r="G704" s="22" t="s">
        <v>1609</v>
      </c>
      <c r="H704" s="22" t="s">
        <v>153</v>
      </c>
      <c r="I704" s="22" t="s">
        <v>298</v>
      </c>
      <c r="J704" s="22" t="s">
        <v>1439</v>
      </c>
      <c r="K704" s="22" t="s">
        <v>66</v>
      </c>
      <c r="L704" s="22" t="s">
        <v>70</v>
      </c>
      <c r="M704" s="22" t="s">
        <v>69</v>
      </c>
    </row>
    <row r="705" spans="1:13">
      <c r="A705" s="22" t="s">
        <v>1670</v>
      </c>
      <c r="B705" s="22" t="s">
        <v>1671</v>
      </c>
      <c r="C705" s="22" t="s">
        <v>204</v>
      </c>
      <c r="D705" s="22" t="s">
        <v>1439</v>
      </c>
      <c r="E705" s="22">
        <v>16</v>
      </c>
      <c r="F705" s="22">
        <v>34</v>
      </c>
      <c r="G705" s="22" t="s">
        <v>1609</v>
      </c>
      <c r="H705" s="22" t="s">
        <v>153</v>
      </c>
      <c r="I705" s="22" t="s">
        <v>301</v>
      </c>
      <c r="J705" s="22" t="s">
        <v>1439</v>
      </c>
      <c r="K705" s="22" t="s">
        <v>66</v>
      </c>
      <c r="L705" s="22" t="s">
        <v>70</v>
      </c>
      <c r="M705" s="22" t="s">
        <v>69</v>
      </c>
    </row>
    <row r="706" spans="1:13">
      <c r="A706" s="22" t="s">
        <v>1672</v>
      </c>
      <c r="B706" s="22" t="s">
        <v>1673</v>
      </c>
      <c r="C706" s="22" t="s">
        <v>204</v>
      </c>
      <c r="D706" s="22" t="s">
        <v>1439</v>
      </c>
      <c r="E706" s="22">
        <v>13</v>
      </c>
      <c r="F706" s="22">
        <v>35</v>
      </c>
      <c r="G706" s="22" t="s">
        <v>1609</v>
      </c>
      <c r="H706" s="22" t="s">
        <v>153</v>
      </c>
      <c r="I706" s="22" t="s">
        <v>304</v>
      </c>
      <c r="J706" s="22" t="s">
        <v>1439</v>
      </c>
      <c r="K706" s="22" t="s">
        <v>66</v>
      </c>
      <c r="L706" s="22" t="s">
        <v>70</v>
      </c>
      <c r="M706" s="22" t="s">
        <v>69</v>
      </c>
    </row>
    <row r="707" spans="1:13">
      <c r="A707" s="22" t="s">
        <v>1674</v>
      </c>
      <c r="B707" s="22" t="s">
        <v>1675</v>
      </c>
      <c r="C707" s="22" t="s">
        <v>204</v>
      </c>
      <c r="D707" s="22" t="s">
        <v>1439</v>
      </c>
      <c r="E707" s="22">
        <v>16</v>
      </c>
      <c r="F707" s="22">
        <v>5</v>
      </c>
      <c r="G707" s="22" t="s">
        <v>1609</v>
      </c>
      <c r="H707" s="22" t="s">
        <v>153</v>
      </c>
      <c r="I707" s="22" t="s">
        <v>307</v>
      </c>
      <c r="J707" s="22" t="s">
        <v>1439</v>
      </c>
      <c r="K707" s="22" t="s">
        <v>66</v>
      </c>
      <c r="L707" s="22" t="s">
        <v>70</v>
      </c>
      <c r="M707" s="22" t="s">
        <v>69</v>
      </c>
    </row>
    <row r="708" spans="1:13">
      <c r="A708" s="22" t="s">
        <v>1676</v>
      </c>
      <c r="B708" s="22" t="s">
        <v>1677</v>
      </c>
      <c r="C708" s="22" t="s">
        <v>204</v>
      </c>
      <c r="D708" s="22" t="s">
        <v>1439</v>
      </c>
      <c r="E708" s="22">
        <v>15</v>
      </c>
      <c r="F708" s="22">
        <v>17</v>
      </c>
      <c r="G708" s="22" t="s">
        <v>1609</v>
      </c>
      <c r="H708" s="22" t="s">
        <v>153</v>
      </c>
      <c r="I708" s="22" t="s">
        <v>310</v>
      </c>
      <c r="J708" s="22" t="s">
        <v>1439</v>
      </c>
      <c r="K708" s="22" t="s">
        <v>66</v>
      </c>
      <c r="L708" s="22" t="s">
        <v>70</v>
      </c>
      <c r="M708" s="22" t="s">
        <v>69</v>
      </c>
    </row>
    <row r="709" spans="1:13">
      <c r="A709" s="22" t="s">
        <v>1678</v>
      </c>
      <c r="B709" s="22" t="s">
        <v>1679</v>
      </c>
      <c r="C709" s="22" t="s">
        <v>213</v>
      </c>
      <c r="D709" s="22" t="s">
        <v>1439</v>
      </c>
      <c r="E709" s="22">
        <v>13</v>
      </c>
      <c r="F709" s="22">
        <v>44</v>
      </c>
      <c r="G709" s="22" t="s">
        <v>1609</v>
      </c>
      <c r="H709" s="22" t="s">
        <v>153</v>
      </c>
      <c r="I709" s="22" t="s">
        <v>313</v>
      </c>
      <c r="J709" s="22" t="s">
        <v>1439</v>
      </c>
      <c r="K709" s="22" t="s">
        <v>66</v>
      </c>
      <c r="L709" s="22" t="s">
        <v>70</v>
      </c>
      <c r="M709" s="22" t="s">
        <v>69</v>
      </c>
    </row>
    <row r="710" spans="1:13">
      <c r="A710" s="22" t="s">
        <v>1680</v>
      </c>
      <c r="B710" s="22" t="s">
        <v>1681</v>
      </c>
      <c r="C710" s="22" t="s">
        <v>204</v>
      </c>
      <c r="D710" s="22" t="s">
        <v>1439</v>
      </c>
      <c r="E710" s="22">
        <v>16</v>
      </c>
      <c r="F710" s="22">
        <v>15</v>
      </c>
      <c r="G710" s="22" t="s">
        <v>1609</v>
      </c>
      <c r="H710" s="22" t="s">
        <v>153</v>
      </c>
      <c r="I710" s="22" t="s">
        <v>316</v>
      </c>
      <c r="J710" s="22" t="s">
        <v>1439</v>
      </c>
      <c r="K710" s="22" t="s">
        <v>66</v>
      </c>
      <c r="L710" s="22" t="s">
        <v>70</v>
      </c>
      <c r="M710" s="22" t="s">
        <v>69</v>
      </c>
    </row>
    <row r="711" spans="1:13">
      <c r="A711" s="22" t="s">
        <v>1682</v>
      </c>
      <c r="B711" s="22" t="s">
        <v>1683</v>
      </c>
      <c r="C711" s="22" t="s">
        <v>204</v>
      </c>
      <c r="D711" s="22" t="s">
        <v>1439</v>
      </c>
      <c r="E711" s="22">
        <v>16</v>
      </c>
      <c r="F711" s="22">
        <v>6</v>
      </c>
      <c r="G711" s="22" t="s">
        <v>1609</v>
      </c>
      <c r="H711" s="22" t="s">
        <v>153</v>
      </c>
      <c r="I711" s="22" t="s">
        <v>319</v>
      </c>
      <c r="J711" s="22" t="s">
        <v>1439</v>
      </c>
      <c r="K711" s="22" t="s">
        <v>66</v>
      </c>
      <c r="L711" s="22" t="s">
        <v>70</v>
      </c>
      <c r="M711" s="22" t="s">
        <v>69</v>
      </c>
    </row>
    <row r="712" spans="1:13">
      <c r="A712" s="22" t="s">
        <v>1684</v>
      </c>
      <c r="B712" s="22" t="s">
        <v>1685</v>
      </c>
      <c r="C712" s="22" t="s">
        <v>204</v>
      </c>
      <c r="D712" s="22" t="s">
        <v>1439</v>
      </c>
      <c r="E712" s="22">
        <v>16</v>
      </c>
      <c r="F712" s="22">
        <v>32</v>
      </c>
      <c r="G712" s="22" t="s">
        <v>1609</v>
      </c>
      <c r="H712" s="22" t="s">
        <v>153</v>
      </c>
      <c r="I712" s="22" t="s">
        <v>322</v>
      </c>
      <c r="J712" s="22" t="s">
        <v>1439</v>
      </c>
      <c r="K712" s="22" t="s">
        <v>66</v>
      </c>
      <c r="L712" s="22" t="s">
        <v>70</v>
      </c>
      <c r="M712" s="22" t="s">
        <v>69</v>
      </c>
    </row>
    <row r="713" spans="1:13">
      <c r="A713" s="22" t="s">
        <v>1686</v>
      </c>
      <c r="B713" s="22" t="s">
        <v>1687</v>
      </c>
      <c r="C713" s="22" t="s">
        <v>204</v>
      </c>
      <c r="D713" s="22" t="s">
        <v>1439</v>
      </c>
      <c r="E713" s="22">
        <v>15</v>
      </c>
      <c r="F713" s="22">
        <v>29</v>
      </c>
      <c r="G713" s="22" t="s">
        <v>1609</v>
      </c>
      <c r="H713" s="22" t="s">
        <v>153</v>
      </c>
      <c r="I713" s="22" t="s">
        <v>325</v>
      </c>
      <c r="J713" s="22" t="s">
        <v>1439</v>
      </c>
      <c r="K713" s="22" t="s">
        <v>66</v>
      </c>
      <c r="L713" s="22" t="s">
        <v>70</v>
      </c>
      <c r="M713" s="22" t="s">
        <v>69</v>
      </c>
    </row>
    <row r="714" spans="1:13">
      <c r="A714" s="22" t="s">
        <v>1688</v>
      </c>
      <c r="B714" s="22" t="s">
        <v>1689</v>
      </c>
      <c r="C714" s="22" t="s">
        <v>204</v>
      </c>
      <c r="D714" s="22" t="s">
        <v>1439</v>
      </c>
      <c r="E714" s="22">
        <v>14</v>
      </c>
      <c r="F714" s="22">
        <v>20</v>
      </c>
      <c r="G714" s="22" t="s">
        <v>1609</v>
      </c>
      <c r="H714" s="22" t="s">
        <v>153</v>
      </c>
      <c r="I714" s="22" t="s">
        <v>328</v>
      </c>
      <c r="J714" s="22" t="s">
        <v>1439</v>
      </c>
      <c r="K714" s="22" t="s">
        <v>66</v>
      </c>
      <c r="L714" s="22" t="s">
        <v>70</v>
      </c>
      <c r="M714" s="22" t="s">
        <v>69</v>
      </c>
    </row>
    <row r="715" spans="1:13">
      <c r="A715" s="22" t="s">
        <v>1690</v>
      </c>
      <c r="B715" s="22" t="s">
        <v>1691</v>
      </c>
      <c r="C715" s="22" t="s">
        <v>204</v>
      </c>
      <c r="D715" s="22" t="s">
        <v>1439</v>
      </c>
      <c r="E715" s="22">
        <v>14</v>
      </c>
      <c r="F715" s="22">
        <v>36</v>
      </c>
      <c r="G715" s="22" t="s">
        <v>1609</v>
      </c>
      <c r="H715" s="22" t="s">
        <v>153</v>
      </c>
      <c r="I715" s="22" t="s">
        <v>331</v>
      </c>
      <c r="J715" s="22" t="s">
        <v>1439</v>
      </c>
      <c r="K715" s="22" t="s">
        <v>66</v>
      </c>
      <c r="L715" s="22" t="s">
        <v>70</v>
      </c>
      <c r="M715" s="22" t="s">
        <v>69</v>
      </c>
    </row>
    <row r="716" spans="1:13">
      <c r="A716" s="22" t="s">
        <v>1692</v>
      </c>
      <c r="B716" s="22" t="s">
        <v>1693</v>
      </c>
      <c r="C716" s="22" t="s">
        <v>204</v>
      </c>
      <c r="D716" s="22" t="s">
        <v>1439</v>
      </c>
      <c r="E716" s="22">
        <v>13</v>
      </c>
      <c r="F716" s="22">
        <v>25</v>
      </c>
      <c r="G716" s="22" t="s">
        <v>1694</v>
      </c>
      <c r="H716" s="22" t="s">
        <v>154</v>
      </c>
      <c r="I716" s="22" t="s">
        <v>207</v>
      </c>
      <c r="J716" s="22" t="s">
        <v>1439</v>
      </c>
      <c r="K716" s="22" t="s">
        <v>66</v>
      </c>
      <c r="L716" s="22" t="s">
        <v>70</v>
      </c>
      <c r="M716" s="22" t="s">
        <v>69</v>
      </c>
    </row>
    <row r="717" spans="1:13">
      <c r="A717" s="22" t="s">
        <v>1695</v>
      </c>
      <c r="B717" s="22" t="s">
        <v>1696</v>
      </c>
      <c r="C717" s="22" t="s">
        <v>204</v>
      </c>
      <c r="D717" s="22" t="s">
        <v>1439</v>
      </c>
      <c r="E717" s="22">
        <v>14</v>
      </c>
      <c r="F717" s="22">
        <v>10</v>
      </c>
      <c r="G717" s="22" t="s">
        <v>1694</v>
      </c>
      <c r="H717" s="22" t="s">
        <v>154</v>
      </c>
      <c r="I717" s="22" t="s">
        <v>210</v>
      </c>
      <c r="J717" s="22" t="s">
        <v>1439</v>
      </c>
      <c r="K717" s="22" t="s">
        <v>66</v>
      </c>
      <c r="L717" s="22" t="s">
        <v>70</v>
      </c>
      <c r="M717" s="22" t="s">
        <v>69</v>
      </c>
    </row>
    <row r="718" spans="1:13">
      <c r="A718" s="22" t="s">
        <v>1697</v>
      </c>
      <c r="B718" s="22" t="s">
        <v>1698</v>
      </c>
      <c r="C718" s="22" t="s">
        <v>204</v>
      </c>
      <c r="D718" s="22" t="s">
        <v>1439</v>
      </c>
      <c r="E718" s="22">
        <v>15</v>
      </c>
      <c r="F718" s="22">
        <v>9</v>
      </c>
      <c r="G718" s="22" t="s">
        <v>1694</v>
      </c>
      <c r="H718" s="22" t="s">
        <v>154</v>
      </c>
      <c r="I718" s="22" t="s">
        <v>214</v>
      </c>
      <c r="J718" s="22" t="s">
        <v>1439</v>
      </c>
      <c r="K718" s="22" t="s">
        <v>66</v>
      </c>
      <c r="L718" s="22" t="s">
        <v>70</v>
      </c>
      <c r="M718" s="22" t="s">
        <v>69</v>
      </c>
    </row>
    <row r="719" spans="1:13">
      <c r="A719" s="22" t="s">
        <v>1699</v>
      </c>
      <c r="B719" s="22" t="s">
        <v>1700</v>
      </c>
      <c r="C719" s="22" t="s">
        <v>204</v>
      </c>
      <c r="D719" s="22" t="s">
        <v>1439</v>
      </c>
      <c r="E719" s="22">
        <v>15</v>
      </c>
      <c r="F719" s="22">
        <v>46</v>
      </c>
      <c r="G719" s="22" t="s">
        <v>1694</v>
      </c>
      <c r="H719" s="22" t="s">
        <v>154</v>
      </c>
      <c r="I719" s="22" t="s">
        <v>217</v>
      </c>
      <c r="J719" s="22" t="s">
        <v>1439</v>
      </c>
      <c r="K719" s="22" t="s">
        <v>66</v>
      </c>
      <c r="L719" s="22" t="s">
        <v>70</v>
      </c>
      <c r="M719" s="22" t="s">
        <v>69</v>
      </c>
    </row>
    <row r="720" spans="1:13">
      <c r="A720" s="22" t="s">
        <v>1701</v>
      </c>
      <c r="B720" s="22" t="s">
        <v>1702</v>
      </c>
      <c r="C720" s="22" t="s">
        <v>213</v>
      </c>
      <c r="D720" s="22" t="s">
        <v>1439</v>
      </c>
      <c r="E720" s="22">
        <v>14</v>
      </c>
      <c r="F720" s="22">
        <v>23</v>
      </c>
      <c r="G720" s="22" t="s">
        <v>1694</v>
      </c>
      <c r="H720" s="22" t="s">
        <v>154</v>
      </c>
      <c r="I720" s="22" t="s">
        <v>220</v>
      </c>
      <c r="J720" s="22" t="s">
        <v>1439</v>
      </c>
      <c r="K720" s="22" t="s">
        <v>66</v>
      </c>
      <c r="L720" s="22" t="s">
        <v>70</v>
      </c>
      <c r="M720" s="22" t="s">
        <v>69</v>
      </c>
    </row>
    <row r="721" spans="1:13">
      <c r="A721" s="22" t="s">
        <v>1703</v>
      </c>
      <c r="B721" s="22" t="s">
        <v>1704</v>
      </c>
      <c r="C721" s="22" t="s">
        <v>204</v>
      </c>
      <c r="D721" s="22" t="s">
        <v>1439</v>
      </c>
      <c r="E721" s="22">
        <v>13</v>
      </c>
      <c r="F721" s="22">
        <v>34</v>
      </c>
      <c r="G721" s="22" t="s">
        <v>1694</v>
      </c>
      <c r="H721" s="22" t="s">
        <v>154</v>
      </c>
      <c r="I721" s="22" t="s">
        <v>223</v>
      </c>
      <c r="J721" s="22" t="s">
        <v>1439</v>
      </c>
      <c r="K721" s="22" t="s">
        <v>66</v>
      </c>
      <c r="L721" s="22" t="s">
        <v>70</v>
      </c>
      <c r="M721" s="22" t="s">
        <v>69</v>
      </c>
    </row>
    <row r="722" spans="1:13">
      <c r="A722" s="22" t="s">
        <v>1705</v>
      </c>
      <c r="B722" s="22" t="s">
        <v>1706</v>
      </c>
      <c r="C722" s="22" t="s">
        <v>204</v>
      </c>
      <c r="D722" s="22" t="s">
        <v>1439</v>
      </c>
      <c r="E722" s="22">
        <v>14</v>
      </c>
      <c r="F722" s="22">
        <v>7</v>
      </c>
      <c r="G722" s="22" t="s">
        <v>1694</v>
      </c>
      <c r="H722" s="22" t="s">
        <v>154</v>
      </c>
      <c r="I722" s="22" t="s">
        <v>226</v>
      </c>
      <c r="J722" s="22" t="s">
        <v>1439</v>
      </c>
      <c r="K722" s="22" t="s">
        <v>66</v>
      </c>
      <c r="L722" s="22" t="s">
        <v>70</v>
      </c>
      <c r="M722" s="22" t="s">
        <v>69</v>
      </c>
    </row>
    <row r="723" spans="1:13">
      <c r="A723" s="22" t="s">
        <v>1707</v>
      </c>
      <c r="B723" s="22" t="s">
        <v>1708</v>
      </c>
      <c r="C723" s="22" t="s">
        <v>213</v>
      </c>
      <c r="D723" s="22" t="s">
        <v>1439</v>
      </c>
      <c r="E723" s="22">
        <v>14</v>
      </c>
      <c r="F723" s="22">
        <v>15</v>
      </c>
      <c r="G723" s="22" t="s">
        <v>1694</v>
      </c>
      <c r="H723" s="22" t="s">
        <v>154</v>
      </c>
      <c r="I723" s="22" t="s">
        <v>229</v>
      </c>
      <c r="J723" s="22" t="s">
        <v>1439</v>
      </c>
      <c r="K723" s="22" t="s">
        <v>66</v>
      </c>
      <c r="L723" s="22" t="s">
        <v>70</v>
      </c>
      <c r="M723" s="22" t="s">
        <v>69</v>
      </c>
    </row>
    <row r="724" spans="1:13">
      <c r="A724" s="22" t="s">
        <v>1709</v>
      </c>
      <c r="B724" s="22" t="s">
        <v>1710</v>
      </c>
      <c r="C724" s="22" t="s">
        <v>213</v>
      </c>
      <c r="D724" s="22" t="s">
        <v>1439</v>
      </c>
      <c r="E724" s="22">
        <v>15</v>
      </c>
      <c r="F724" s="22">
        <v>42</v>
      </c>
      <c r="G724" s="22" t="s">
        <v>1694</v>
      </c>
      <c r="H724" s="22" t="s">
        <v>154</v>
      </c>
      <c r="I724" s="22" t="s">
        <v>232</v>
      </c>
      <c r="J724" s="22" t="s">
        <v>1439</v>
      </c>
      <c r="K724" s="22" t="s">
        <v>66</v>
      </c>
      <c r="L724" s="22" t="s">
        <v>70</v>
      </c>
      <c r="M724" s="22" t="s">
        <v>69</v>
      </c>
    </row>
    <row r="725" spans="1:13">
      <c r="A725" s="22" t="s">
        <v>1711</v>
      </c>
      <c r="B725" s="22" t="s">
        <v>1712</v>
      </c>
      <c r="C725" s="22" t="s">
        <v>213</v>
      </c>
      <c r="D725" s="22" t="s">
        <v>1439</v>
      </c>
      <c r="E725" s="22">
        <v>14</v>
      </c>
      <c r="F725" s="22">
        <v>19</v>
      </c>
      <c r="G725" s="22" t="s">
        <v>1694</v>
      </c>
      <c r="H725" s="22" t="s">
        <v>154</v>
      </c>
      <c r="I725" s="22" t="s">
        <v>235</v>
      </c>
      <c r="J725" s="22" t="s">
        <v>1439</v>
      </c>
      <c r="K725" s="22" t="s">
        <v>66</v>
      </c>
      <c r="L725" s="22" t="s">
        <v>70</v>
      </c>
      <c r="M725" s="22" t="s">
        <v>69</v>
      </c>
    </row>
    <row r="726" spans="1:13">
      <c r="A726" s="22" t="s">
        <v>1713</v>
      </c>
      <c r="B726" s="22" t="s">
        <v>1714</v>
      </c>
      <c r="C726" s="22" t="s">
        <v>213</v>
      </c>
      <c r="D726" s="22" t="s">
        <v>1439</v>
      </c>
      <c r="E726" s="22">
        <v>15</v>
      </c>
      <c r="F726" s="22">
        <v>18</v>
      </c>
      <c r="G726" s="22" t="s">
        <v>1694</v>
      </c>
      <c r="H726" s="22" t="s">
        <v>154</v>
      </c>
      <c r="I726" s="22" t="s">
        <v>238</v>
      </c>
      <c r="J726" s="22" t="s">
        <v>1439</v>
      </c>
      <c r="K726" s="22" t="s">
        <v>66</v>
      </c>
      <c r="L726" s="22" t="s">
        <v>70</v>
      </c>
      <c r="M726" s="22" t="s">
        <v>69</v>
      </c>
    </row>
    <row r="727" spans="1:13">
      <c r="A727" s="22" t="s">
        <v>1715</v>
      </c>
      <c r="B727" s="22" t="s">
        <v>1716</v>
      </c>
      <c r="C727" s="22" t="s">
        <v>204</v>
      </c>
      <c r="D727" s="22" t="s">
        <v>1439</v>
      </c>
      <c r="E727" s="22">
        <v>16</v>
      </c>
      <c r="F727" s="22">
        <v>2</v>
      </c>
      <c r="G727" s="22" t="s">
        <v>1694</v>
      </c>
      <c r="H727" s="22" t="s">
        <v>154</v>
      </c>
      <c r="I727" s="22" t="s">
        <v>241</v>
      </c>
      <c r="J727" s="22" t="s">
        <v>1439</v>
      </c>
      <c r="K727" s="22" t="s">
        <v>66</v>
      </c>
      <c r="L727" s="22" t="s">
        <v>70</v>
      </c>
      <c r="M727" s="22" t="s">
        <v>69</v>
      </c>
    </row>
    <row r="728" spans="1:13">
      <c r="A728" s="22" t="s">
        <v>1717</v>
      </c>
      <c r="B728" s="22" t="s">
        <v>1718</v>
      </c>
      <c r="C728" s="22" t="s">
        <v>204</v>
      </c>
      <c r="D728" s="22" t="s">
        <v>1439</v>
      </c>
      <c r="E728" s="22">
        <v>16</v>
      </c>
      <c r="F728" s="22">
        <v>37</v>
      </c>
      <c r="G728" s="22" t="s">
        <v>1694</v>
      </c>
      <c r="H728" s="22" t="s">
        <v>154</v>
      </c>
      <c r="I728" s="22" t="s">
        <v>244</v>
      </c>
      <c r="J728" s="22" t="s">
        <v>1439</v>
      </c>
      <c r="K728" s="22" t="s">
        <v>66</v>
      </c>
      <c r="L728" s="22" t="s">
        <v>70</v>
      </c>
      <c r="M728" s="22" t="s">
        <v>69</v>
      </c>
    </row>
    <row r="729" spans="1:13">
      <c r="A729" s="22" t="s">
        <v>1719</v>
      </c>
      <c r="B729" s="22" t="s">
        <v>1720</v>
      </c>
      <c r="C729" s="22" t="s">
        <v>213</v>
      </c>
      <c r="D729" s="22" t="s">
        <v>1439</v>
      </c>
      <c r="E729" s="22">
        <v>14</v>
      </c>
      <c r="F729" s="22">
        <v>5</v>
      </c>
      <c r="G729" s="22" t="s">
        <v>1694</v>
      </c>
      <c r="H729" s="22" t="s">
        <v>154</v>
      </c>
      <c r="I729" s="22" t="s">
        <v>247</v>
      </c>
      <c r="J729" s="22" t="s">
        <v>1439</v>
      </c>
      <c r="K729" s="22" t="s">
        <v>66</v>
      </c>
      <c r="L729" s="22" t="s">
        <v>70</v>
      </c>
      <c r="M729" s="22" t="s">
        <v>69</v>
      </c>
    </row>
    <row r="730" spans="1:13">
      <c r="A730" s="22" t="s">
        <v>1721</v>
      </c>
      <c r="B730" s="22" t="s">
        <v>1722</v>
      </c>
      <c r="C730" s="22" t="s">
        <v>204</v>
      </c>
      <c r="D730" s="22" t="s">
        <v>1439</v>
      </c>
      <c r="E730" s="22">
        <v>16</v>
      </c>
      <c r="F730" s="22">
        <v>1</v>
      </c>
      <c r="G730" s="22" t="s">
        <v>1694</v>
      </c>
      <c r="H730" s="22" t="s">
        <v>154</v>
      </c>
      <c r="I730" s="22" t="s">
        <v>250</v>
      </c>
      <c r="J730" s="22" t="s">
        <v>1439</v>
      </c>
      <c r="K730" s="22" t="s">
        <v>66</v>
      </c>
      <c r="L730" s="22" t="s">
        <v>70</v>
      </c>
      <c r="M730" s="22" t="s">
        <v>69</v>
      </c>
    </row>
    <row r="731" spans="1:13">
      <c r="A731" s="22" t="s">
        <v>1723</v>
      </c>
      <c r="B731" s="22" t="s">
        <v>1724</v>
      </c>
      <c r="C731" s="22" t="s">
        <v>213</v>
      </c>
      <c r="D731" s="22" t="s">
        <v>1439</v>
      </c>
      <c r="E731" s="22">
        <v>15</v>
      </c>
      <c r="F731" s="22">
        <v>36</v>
      </c>
      <c r="G731" s="22" t="s">
        <v>1694</v>
      </c>
      <c r="H731" s="22" t="s">
        <v>154</v>
      </c>
      <c r="I731" s="22" t="s">
        <v>253</v>
      </c>
      <c r="J731" s="22" t="s">
        <v>1439</v>
      </c>
      <c r="K731" s="22" t="s">
        <v>66</v>
      </c>
      <c r="L731" s="22" t="s">
        <v>70</v>
      </c>
      <c r="M731" s="22" t="s">
        <v>69</v>
      </c>
    </row>
    <row r="732" spans="1:13">
      <c r="A732" s="22" t="s">
        <v>1725</v>
      </c>
      <c r="B732" s="22" t="s">
        <v>1726</v>
      </c>
      <c r="C732" s="22" t="s">
        <v>204</v>
      </c>
      <c r="D732" s="22" t="s">
        <v>1439</v>
      </c>
      <c r="E732" s="22">
        <v>14</v>
      </c>
      <c r="F732" s="22">
        <v>22</v>
      </c>
      <c r="G732" s="22" t="s">
        <v>1694</v>
      </c>
      <c r="H732" s="22" t="s">
        <v>154</v>
      </c>
      <c r="I732" s="22" t="s">
        <v>256</v>
      </c>
      <c r="J732" s="22" t="s">
        <v>1439</v>
      </c>
      <c r="K732" s="22" t="s">
        <v>66</v>
      </c>
      <c r="L732" s="22" t="s">
        <v>70</v>
      </c>
      <c r="M732" s="22" t="s">
        <v>69</v>
      </c>
    </row>
    <row r="733" spans="1:13">
      <c r="A733" s="22" t="s">
        <v>1727</v>
      </c>
      <c r="B733" s="22" t="s">
        <v>1728</v>
      </c>
      <c r="C733" s="22" t="s">
        <v>204</v>
      </c>
      <c r="D733" s="22" t="s">
        <v>1439</v>
      </c>
      <c r="E733" s="22">
        <v>13</v>
      </c>
      <c r="F733" s="22">
        <v>26</v>
      </c>
      <c r="G733" s="22" t="s">
        <v>1694</v>
      </c>
      <c r="H733" s="22" t="s">
        <v>154</v>
      </c>
      <c r="I733" s="22" t="s">
        <v>259</v>
      </c>
      <c r="J733" s="22" t="s">
        <v>1439</v>
      </c>
      <c r="K733" s="22" t="s">
        <v>66</v>
      </c>
      <c r="L733" s="22" t="s">
        <v>70</v>
      </c>
      <c r="M733" s="22" t="s">
        <v>69</v>
      </c>
    </row>
    <row r="734" spans="1:13">
      <c r="A734" s="22" t="s">
        <v>1729</v>
      </c>
      <c r="B734" s="22" t="s">
        <v>1730</v>
      </c>
      <c r="C734" s="22" t="s">
        <v>204</v>
      </c>
      <c r="D734" s="22" t="s">
        <v>1439</v>
      </c>
      <c r="E734" s="22">
        <v>13</v>
      </c>
      <c r="F734" s="22">
        <v>1</v>
      </c>
      <c r="G734" s="22" t="s">
        <v>1694</v>
      </c>
      <c r="H734" s="22" t="s">
        <v>154</v>
      </c>
      <c r="I734" s="22" t="s">
        <v>262</v>
      </c>
      <c r="J734" s="22" t="s">
        <v>1439</v>
      </c>
      <c r="K734" s="22" t="s">
        <v>66</v>
      </c>
      <c r="L734" s="22" t="s">
        <v>70</v>
      </c>
      <c r="M734" s="22" t="s">
        <v>69</v>
      </c>
    </row>
    <row r="735" spans="1:13">
      <c r="A735" s="22" t="s">
        <v>1731</v>
      </c>
      <c r="B735" s="22" t="s">
        <v>1732</v>
      </c>
      <c r="C735" s="22" t="s">
        <v>204</v>
      </c>
      <c r="D735" s="22" t="s">
        <v>1439</v>
      </c>
      <c r="E735" s="22">
        <v>13</v>
      </c>
      <c r="F735" s="22">
        <v>42</v>
      </c>
      <c r="G735" s="22" t="s">
        <v>1694</v>
      </c>
      <c r="H735" s="22" t="s">
        <v>154</v>
      </c>
      <c r="I735" s="22" t="s">
        <v>265</v>
      </c>
      <c r="J735" s="22" t="s">
        <v>1439</v>
      </c>
      <c r="K735" s="22" t="s">
        <v>66</v>
      </c>
      <c r="L735" s="22" t="s">
        <v>70</v>
      </c>
      <c r="M735" s="22" t="s">
        <v>69</v>
      </c>
    </row>
    <row r="736" spans="1:13">
      <c r="A736" s="22" t="s">
        <v>1733</v>
      </c>
      <c r="B736" s="22" t="s">
        <v>1734</v>
      </c>
      <c r="C736" s="22" t="s">
        <v>204</v>
      </c>
      <c r="D736" s="22" t="s">
        <v>1439</v>
      </c>
      <c r="E736" s="22">
        <v>13</v>
      </c>
      <c r="F736" s="22">
        <v>32</v>
      </c>
      <c r="G736" s="22" t="s">
        <v>1694</v>
      </c>
      <c r="H736" s="22" t="s">
        <v>154</v>
      </c>
      <c r="I736" s="22" t="s">
        <v>268</v>
      </c>
      <c r="J736" s="22" t="s">
        <v>1439</v>
      </c>
      <c r="K736" s="22" t="s">
        <v>66</v>
      </c>
      <c r="L736" s="22" t="s">
        <v>70</v>
      </c>
      <c r="M736" s="22" t="s">
        <v>69</v>
      </c>
    </row>
    <row r="737" spans="1:13">
      <c r="A737" s="22" t="s">
        <v>1735</v>
      </c>
      <c r="B737" s="22" t="s">
        <v>1736</v>
      </c>
      <c r="C737" s="22" t="s">
        <v>204</v>
      </c>
      <c r="D737" s="22" t="s">
        <v>1439</v>
      </c>
      <c r="E737" s="22">
        <v>15</v>
      </c>
      <c r="F737" s="22">
        <v>37</v>
      </c>
      <c r="G737" s="22" t="s">
        <v>1694</v>
      </c>
      <c r="H737" s="22" t="s">
        <v>154</v>
      </c>
      <c r="I737" s="22" t="s">
        <v>271</v>
      </c>
      <c r="J737" s="22" t="s">
        <v>1439</v>
      </c>
      <c r="K737" s="22" t="s">
        <v>66</v>
      </c>
      <c r="L737" s="22" t="s">
        <v>70</v>
      </c>
      <c r="M737" s="22" t="s">
        <v>69</v>
      </c>
    </row>
    <row r="738" spans="1:13">
      <c r="A738" s="22" t="s">
        <v>1737</v>
      </c>
      <c r="B738" s="22" t="s">
        <v>1738</v>
      </c>
      <c r="C738" s="22" t="s">
        <v>204</v>
      </c>
      <c r="D738" s="22" t="s">
        <v>1439</v>
      </c>
      <c r="E738" s="22">
        <v>14</v>
      </c>
      <c r="F738" s="22">
        <v>39</v>
      </c>
      <c r="G738" s="22" t="s">
        <v>1694</v>
      </c>
      <c r="H738" s="22" t="s">
        <v>154</v>
      </c>
      <c r="I738" s="22" t="s">
        <v>274</v>
      </c>
      <c r="J738" s="22" t="s">
        <v>1439</v>
      </c>
      <c r="K738" s="22" t="s">
        <v>66</v>
      </c>
      <c r="L738" s="22" t="s">
        <v>70</v>
      </c>
      <c r="M738" s="22" t="s">
        <v>69</v>
      </c>
    </row>
    <row r="739" spans="1:13">
      <c r="A739" s="22" t="s">
        <v>1739</v>
      </c>
      <c r="B739" s="22" t="s">
        <v>1740</v>
      </c>
      <c r="C739" s="22" t="s">
        <v>204</v>
      </c>
      <c r="D739" s="22" t="s">
        <v>1439</v>
      </c>
      <c r="E739" s="22">
        <v>16</v>
      </c>
      <c r="F739" s="22">
        <v>18</v>
      </c>
      <c r="G739" s="22" t="s">
        <v>1694</v>
      </c>
      <c r="H739" s="22" t="s">
        <v>154</v>
      </c>
      <c r="I739" s="22" t="s">
        <v>277</v>
      </c>
      <c r="J739" s="22" t="s">
        <v>1439</v>
      </c>
      <c r="K739" s="22" t="s">
        <v>66</v>
      </c>
      <c r="L739" s="22" t="s">
        <v>70</v>
      </c>
      <c r="M739" s="22" t="s">
        <v>69</v>
      </c>
    </row>
    <row r="740" spans="1:13">
      <c r="A740" s="22" t="s">
        <v>1741</v>
      </c>
      <c r="B740" s="22" t="s">
        <v>1742</v>
      </c>
      <c r="C740" s="22" t="s">
        <v>204</v>
      </c>
      <c r="D740" s="22" t="s">
        <v>1439</v>
      </c>
      <c r="E740" s="22">
        <v>15</v>
      </c>
      <c r="F740" s="22">
        <v>47</v>
      </c>
      <c r="G740" s="22" t="s">
        <v>1694</v>
      </c>
      <c r="H740" s="22" t="s">
        <v>154</v>
      </c>
      <c r="I740" s="22" t="s">
        <v>280</v>
      </c>
      <c r="J740" s="22" t="s">
        <v>1439</v>
      </c>
      <c r="K740" s="22" t="s">
        <v>66</v>
      </c>
      <c r="L740" s="22" t="s">
        <v>70</v>
      </c>
      <c r="M740" s="22" t="s">
        <v>69</v>
      </c>
    </row>
    <row r="741" spans="1:13">
      <c r="A741" s="22" t="s">
        <v>1743</v>
      </c>
      <c r="B741" s="22" t="s">
        <v>1744</v>
      </c>
      <c r="C741" s="22" t="s">
        <v>213</v>
      </c>
      <c r="D741" s="22" t="s">
        <v>1439</v>
      </c>
      <c r="E741" s="22">
        <v>13</v>
      </c>
      <c r="F741" s="22">
        <v>12</v>
      </c>
      <c r="G741" s="22" t="s">
        <v>1694</v>
      </c>
      <c r="H741" s="22" t="s">
        <v>154</v>
      </c>
      <c r="I741" s="22" t="s">
        <v>283</v>
      </c>
      <c r="J741" s="22" t="s">
        <v>1439</v>
      </c>
      <c r="K741" s="22" t="s">
        <v>66</v>
      </c>
      <c r="L741" s="22" t="s">
        <v>70</v>
      </c>
      <c r="M741" s="22" t="s">
        <v>69</v>
      </c>
    </row>
    <row r="742" spans="1:13">
      <c r="A742" s="22" t="s">
        <v>1745</v>
      </c>
      <c r="B742" s="22" t="s">
        <v>1746</v>
      </c>
      <c r="C742" s="22" t="s">
        <v>213</v>
      </c>
      <c r="D742" s="22" t="s">
        <v>1439</v>
      </c>
      <c r="E742" s="22">
        <v>14</v>
      </c>
      <c r="F742" s="22">
        <v>47</v>
      </c>
      <c r="G742" s="22" t="s">
        <v>1694</v>
      </c>
      <c r="H742" s="22" t="s">
        <v>154</v>
      </c>
      <c r="I742" s="22" t="s">
        <v>286</v>
      </c>
      <c r="J742" s="22" t="s">
        <v>1439</v>
      </c>
      <c r="K742" s="22" t="s">
        <v>66</v>
      </c>
      <c r="L742" s="22" t="s">
        <v>70</v>
      </c>
      <c r="M742" s="22" t="s">
        <v>69</v>
      </c>
    </row>
    <row r="743" spans="1:13">
      <c r="A743" s="22" t="s">
        <v>1747</v>
      </c>
      <c r="B743" s="22" t="s">
        <v>1748</v>
      </c>
      <c r="C743" s="22" t="s">
        <v>204</v>
      </c>
      <c r="D743" s="22" t="s">
        <v>1439</v>
      </c>
      <c r="E743" s="22">
        <v>14</v>
      </c>
      <c r="F743" s="22">
        <v>25</v>
      </c>
      <c r="G743" s="22" t="s">
        <v>1694</v>
      </c>
      <c r="H743" s="22" t="s">
        <v>154</v>
      </c>
      <c r="I743" s="22" t="s">
        <v>289</v>
      </c>
      <c r="J743" s="22" t="s">
        <v>1439</v>
      </c>
      <c r="K743" s="22" t="s">
        <v>66</v>
      </c>
      <c r="L743" s="22" t="s">
        <v>70</v>
      </c>
      <c r="M743" s="22" t="s">
        <v>69</v>
      </c>
    </row>
    <row r="744" spans="1:13">
      <c r="A744" s="22" t="s">
        <v>1749</v>
      </c>
      <c r="B744" s="22" t="s">
        <v>1750</v>
      </c>
      <c r="C744" s="22" t="s">
        <v>204</v>
      </c>
      <c r="D744" s="22" t="s">
        <v>1439</v>
      </c>
      <c r="E744" s="22">
        <v>14</v>
      </c>
      <c r="F744" s="22">
        <v>26</v>
      </c>
      <c r="G744" s="22" t="s">
        <v>1694</v>
      </c>
      <c r="H744" s="22" t="s">
        <v>154</v>
      </c>
      <c r="I744" s="22" t="s">
        <v>292</v>
      </c>
      <c r="J744" s="22" t="s">
        <v>1439</v>
      </c>
      <c r="K744" s="22" t="s">
        <v>66</v>
      </c>
      <c r="L744" s="22" t="s">
        <v>70</v>
      </c>
      <c r="M744" s="22" t="s">
        <v>69</v>
      </c>
    </row>
    <row r="745" spans="1:13">
      <c r="A745" s="22" t="s">
        <v>1751</v>
      </c>
      <c r="B745" s="22" t="s">
        <v>1752</v>
      </c>
      <c r="C745" s="22" t="s">
        <v>204</v>
      </c>
      <c r="D745" s="22" t="s">
        <v>1439</v>
      </c>
      <c r="E745" s="22">
        <v>16</v>
      </c>
      <c r="F745" s="22">
        <v>8</v>
      </c>
      <c r="G745" s="22" t="s">
        <v>1694</v>
      </c>
      <c r="H745" s="22" t="s">
        <v>154</v>
      </c>
      <c r="I745" s="22" t="s">
        <v>295</v>
      </c>
      <c r="J745" s="22" t="s">
        <v>1439</v>
      </c>
      <c r="K745" s="22" t="s">
        <v>66</v>
      </c>
      <c r="L745" s="22" t="s">
        <v>70</v>
      </c>
      <c r="M745" s="22" t="s">
        <v>69</v>
      </c>
    </row>
    <row r="746" spans="1:13">
      <c r="A746" s="22" t="s">
        <v>1753</v>
      </c>
      <c r="B746" s="22" t="s">
        <v>1754</v>
      </c>
      <c r="C746" s="22" t="s">
        <v>204</v>
      </c>
      <c r="D746" s="22" t="s">
        <v>1439</v>
      </c>
      <c r="E746" s="22">
        <v>13</v>
      </c>
      <c r="F746" s="22">
        <v>5</v>
      </c>
      <c r="G746" s="22" t="s">
        <v>1694</v>
      </c>
      <c r="H746" s="22" t="s">
        <v>154</v>
      </c>
      <c r="I746" s="22" t="s">
        <v>298</v>
      </c>
      <c r="J746" s="22" t="s">
        <v>1439</v>
      </c>
      <c r="K746" s="22" t="s">
        <v>66</v>
      </c>
      <c r="L746" s="22" t="s">
        <v>70</v>
      </c>
      <c r="M746" s="22" t="s">
        <v>69</v>
      </c>
    </row>
    <row r="747" spans="1:13">
      <c r="A747" s="22" t="s">
        <v>1755</v>
      </c>
      <c r="B747" s="22" t="s">
        <v>1756</v>
      </c>
      <c r="C747" s="22" t="s">
        <v>213</v>
      </c>
      <c r="D747" s="22" t="s">
        <v>1439</v>
      </c>
      <c r="E747" s="22">
        <v>16</v>
      </c>
      <c r="F747" s="22">
        <v>11</v>
      </c>
      <c r="G747" s="22" t="s">
        <v>1694</v>
      </c>
      <c r="H747" s="22" t="s">
        <v>154</v>
      </c>
      <c r="I747" s="22" t="s">
        <v>301</v>
      </c>
      <c r="J747" s="22" t="s">
        <v>1439</v>
      </c>
      <c r="K747" s="22" t="s">
        <v>66</v>
      </c>
      <c r="L747" s="22" t="s">
        <v>70</v>
      </c>
      <c r="M747" s="22" t="s">
        <v>69</v>
      </c>
    </row>
    <row r="748" spans="1:13">
      <c r="A748" s="22" t="s">
        <v>1757</v>
      </c>
      <c r="B748" s="22" t="s">
        <v>1758</v>
      </c>
      <c r="C748" s="22" t="s">
        <v>204</v>
      </c>
      <c r="D748" s="22" t="s">
        <v>1439</v>
      </c>
      <c r="E748" s="22">
        <v>14</v>
      </c>
      <c r="F748" s="22">
        <v>45</v>
      </c>
      <c r="G748" s="22" t="s">
        <v>1694</v>
      </c>
      <c r="H748" s="22" t="s">
        <v>154</v>
      </c>
      <c r="I748" s="22" t="s">
        <v>304</v>
      </c>
      <c r="J748" s="22" t="s">
        <v>1439</v>
      </c>
      <c r="K748" s="22" t="s">
        <v>66</v>
      </c>
      <c r="L748" s="22" t="s">
        <v>70</v>
      </c>
      <c r="M748" s="22" t="s">
        <v>69</v>
      </c>
    </row>
    <row r="749" spans="1:13">
      <c r="A749" s="22" t="s">
        <v>1759</v>
      </c>
      <c r="B749" s="22" t="s">
        <v>1760</v>
      </c>
      <c r="C749" s="22" t="s">
        <v>204</v>
      </c>
      <c r="D749" s="22" t="s">
        <v>1439</v>
      </c>
      <c r="E749" s="22">
        <v>13</v>
      </c>
      <c r="F749" s="22">
        <v>22</v>
      </c>
      <c r="G749" s="22" t="s">
        <v>1694</v>
      </c>
      <c r="H749" s="22" t="s">
        <v>154</v>
      </c>
      <c r="I749" s="22" t="s">
        <v>307</v>
      </c>
      <c r="J749" s="22" t="s">
        <v>1439</v>
      </c>
      <c r="K749" s="22" t="s">
        <v>66</v>
      </c>
      <c r="L749" s="22" t="s">
        <v>70</v>
      </c>
      <c r="M749" s="22" t="s">
        <v>69</v>
      </c>
    </row>
    <row r="750" spans="1:13">
      <c r="A750" s="22" t="s">
        <v>1761</v>
      </c>
      <c r="B750" s="22" t="s">
        <v>1762</v>
      </c>
      <c r="C750" s="22" t="s">
        <v>213</v>
      </c>
      <c r="D750" s="22" t="s">
        <v>1439</v>
      </c>
      <c r="E750" s="22">
        <v>15</v>
      </c>
      <c r="F750" s="22">
        <v>8</v>
      </c>
      <c r="G750" s="22" t="s">
        <v>1694</v>
      </c>
      <c r="H750" s="22" t="s">
        <v>154</v>
      </c>
      <c r="I750" s="22" t="s">
        <v>310</v>
      </c>
      <c r="J750" s="22" t="s">
        <v>1439</v>
      </c>
      <c r="K750" s="22" t="s">
        <v>66</v>
      </c>
      <c r="L750" s="22" t="s">
        <v>70</v>
      </c>
      <c r="M750" s="22" t="s">
        <v>69</v>
      </c>
    </row>
    <row r="751" spans="1:13">
      <c r="A751" s="22" t="s">
        <v>1763</v>
      </c>
      <c r="B751" s="22" t="s">
        <v>1764</v>
      </c>
      <c r="C751" s="22" t="s">
        <v>204</v>
      </c>
      <c r="D751" s="22" t="s">
        <v>1439</v>
      </c>
      <c r="E751" s="22">
        <v>14</v>
      </c>
      <c r="F751" s="22">
        <v>34</v>
      </c>
      <c r="G751" s="22" t="s">
        <v>1694</v>
      </c>
      <c r="H751" s="22" t="s">
        <v>154</v>
      </c>
      <c r="I751" s="22" t="s">
        <v>313</v>
      </c>
      <c r="J751" s="22" t="s">
        <v>1439</v>
      </c>
      <c r="K751" s="22" t="s">
        <v>66</v>
      </c>
      <c r="L751" s="22" t="s">
        <v>70</v>
      </c>
      <c r="M751" s="22" t="s">
        <v>69</v>
      </c>
    </row>
    <row r="752" spans="1:13">
      <c r="A752" s="22" t="s">
        <v>1765</v>
      </c>
      <c r="B752" s="22" t="s">
        <v>1766</v>
      </c>
      <c r="C752" s="22" t="s">
        <v>213</v>
      </c>
      <c r="D752" s="22" t="s">
        <v>1439</v>
      </c>
      <c r="E752" s="22">
        <v>13</v>
      </c>
      <c r="F752" s="22">
        <v>30</v>
      </c>
      <c r="G752" s="22" t="s">
        <v>1694</v>
      </c>
      <c r="H752" s="22" t="s">
        <v>154</v>
      </c>
      <c r="I752" s="22" t="s">
        <v>316</v>
      </c>
      <c r="J752" s="22" t="s">
        <v>1439</v>
      </c>
      <c r="K752" s="22" t="s">
        <v>66</v>
      </c>
      <c r="L752" s="22" t="s">
        <v>70</v>
      </c>
      <c r="M752" s="22" t="s">
        <v>69</v>
      </c>
    </row>
    <row r="753" spans="1:13">
      <c r="A753" s="22" t="s">
        <v>1767</v>
      </c>
      <c r="B753" s="22" t="s">
        <v>1768</v>
      </c>
      <c r="C753" s="22" t="s">
        <v>204</v>
      </c>
      <c r="D753" s="22" t="s">
        <v>1439</v>
      </c>
      <c r="E753" s="22">
        <v>15</v>
      </c>
      <c r="F753" s="22">
        <v>33</v>
      </c>
      <c r="G753" s="22" t="s">
        <v>1694</v>
      </c>
      <c r="H753" s="22" t="s">
        <v>154</v>
      </c>
      <c r="I753" s="22" t="s">
        <v>319</v>
      </c>
      <c r="J753" s="22" t="s">
        <v>1439</v>
      </c>
      <c r="K753" s="22" t="s">
        <v>66</v>
      </c>
      <c r="L753" s="22" t="s">
        <v>70</v>
      </c>
      <c r="M753" s="22" t="s">
        <v>69</v>
      </c>
    </row>
    <row r="754" spans="1:13">
      <c r="A754" s="22" t="s">
        <v>1769</v>
      </c>
      <c r="B754" s="22" t="s">
        <v>1770</v>
      </c>
      <c r="C754" s="22" t="s">
        <v>204</v>
      </c>
      <c r="D754" s="22" t="s">
        <v>1439</v>
      </c>
      <c r="E754" s="22">
        <v>13</v>
      </c>
      <c r="F754" s="22">
        <v>3</v>
      </c>
      <c r="G754" s="22" t="s">
        <v>1694</v>
      </c>
      <c r="H754" s="22" t="s">
        <v>154</v>
      </c>
      <c r="I754" s="22" t="s">
        <v>322</v>
      </c>
      <c r="J754" s="22" t="s">
        <v>1439</v>
      </c>
      <c r="K754" s="22" t="s">
        <v>66</v>
      </c>
      <c r="L754" s="22" t="s">
        <v>70</v>
      </c>
      <c r="M754" s="22" t="s">
        <v>69</v>
      </c>
    </row>
    <row r="755" spans="1:13">
      <c r="A755" s="22" t="s">
        <v>1771</v>
      </c>
      <c r="B755" s="22" t="s">
        <v>1772</v>
      </c>
      <c r="C755" s="22" t="s">
        <v>204</v>
      </c>
      <c r="D755" s="22" t="s">
        <v>1439</v>
      </c>
      <c r="E755" s="22">
        <v>14</v>
      </c>
      <c r="F755" s="22">
        <v>41</v>
      </c>
      <c r="G755" s="22" t="s">
        <v>1694</v>
      </c>
      <c r="H755" s="22" t="s">
        <v>154</v>
      </c>
      <c r="I755" s="22" t="s">
        <v>325</v>
      </c>
      <c r="J755" s="22" t="s">
        <v>1439</v>
      </c>
      <c r="K755" s="22" t="s">
        <v>66</v>
      </c>
      <c r="L755" s="22" t="s">
        <v>70</v>
      </c>
      <c r="M755" s="22" t="s">
        <v>69</v>
      </c>
    </row>
    <row r="756" spans="1:13">
      <c r="A756" s="22" t="s">
        <v>1773</v>
      </c>
      <c r="B756" s="22" t="s">
        <v>1774</v>
      </c>
      <c r="C756" s="22" t="s">
        <v>213</v>
      </c>
      <c r="D756" s="22" t="s">
        <v>1439</v>
      </c>
      <c r="E756" s="22">
        <v>13</v>
      </c>
      <c r="F756" s="22">
        <v>31</v>
      </c>
      <c r="G756" s="22" t="s">
        <v>1694</v>
      </c>
      <c r="H756" s="22" t="s">
        <v>154</v>
      </c>
      <c r="I756" s="22" t="s">
        <v>328</v>
      </c>
      <c r="J756" s="22" t="s">
        <v>1439</v>
      </c>
      <c r="K756" s="22" t="s">
        <v>66</v>
      </c>
      <c r="L756" s="22" t="s">
        <v>70</v>
      </c>
      <c r="M756" s="22" t="s">
        <v>69</v>
      </c>
    </row>
    <row r="757" spans="1:13">
      <c r="A757" s="22" t="s">
        <v>1775</v>
      </c>
      <c r="B757" s="22" t="s">
        <v>1776</v>
      </c>
      <c r="C757" s="22" t="s">
        <v>204</v>
      </c>
      <c r="D757" s="22" t="s">
        <v>1439</v>
      </c>
      <c r="E757" s="22">
        <v>16</v>
      </c>
      <c r="F757" s="22">
        <v>4</v>
      </c>
      <c r="G757" s="22" t="s">
        <v>1694</v>
      </c>
      <c r="H757" s="22" t="s">
        <v>154</v>
      </c>
      <c r="I757" s="22" t="s">
        <v>331</v>
      </c>
      <c r="J757" s="22" t="s">
        <v>1439</v>
      </c>
      <c r="K757" s="22" t="s">
        <v>66</v>
      </c>
      <c r="L757" s="22" t="s">
        <v>70</v>
      </c>
      <c r="M757" s="22" t="s">
        <v>69</v>
      </c>
    </row>
    <row r="758" spans="1:13">
      <c r="A758" s="22" t="s">
        <v>1777</v>
      </c>
      <c r="B758" s="22" t="s">
        <v>1778</v>
      </c>
      <c r="C758" s="22" t="s">
        <v>213</v>
      </c>
      <c r="D758" s="22" t="s">
        <v>1183</v>
      </c>
      <c r="E758" s="22">
        <v>11</v>
      </c>
      <c r="F758" s="22">
        <v>14</v>
      </c>
      <c r="G758" s="22" t="s">
        <v>1779</v>
      </c>
      <c r="H758" s="22" t="s">
        <v>155</v>
      </c>
      <c r="I758" s="22" t="s">
        <v>207</v>
      </c>
      <c r="J758" s="22" t="s">
        <v>1780</v>
      </c>
      <c r="K758" s="22" t="s">
        <v>65</v>
      </c>
      <c r="L758" s="22" t="s">
        <v>67</v>
      </c>
      <c r="M758" s="22" t="s">
        <v>69</v>
      </c>
    </row>
    <row r="759" spans="1:13">
      <c r="A759" s="22" t="s">
        <v>1781</v>
      </c>
      <c r="B759" s="22" t="s">
        <v>1782</v>
      </c>
      <c r="C759" s="22" t="s">
        <v>213</v>
      </c>
      <c r="D759" s="22" t="s">
        <v>1183</v>
      </c>
      <c r="E759" s="22">
        <v>11</v>
      </c>
      <c r="F759" s="22">
        <v>7</v>
      </c>
      <c r="G759" s="22" t="s">
        <v>1779</v>
      </c>
      <c r="H759" s="22" t="s">
        <v>155</v>
      </c>
      <c r="I759" s="22" t="s">
        <v>210</v>
      </c>
      <c r="J759" s="22" t="s">
        <v>1780</v>
      </c>
      <c r="K759" s="22" t="s">
        <v>65</v>
      </c>
      <c r="L759" s="22" t="s">
        <v>67</v>
      </c>
      <c r="M759" s="22" t="s">
        <v>69</v>
      </c>
    </row>
    <row r="760" spans="1:13">
      <c r="A760" s="22" t="s">
        <v>1783</v>
      </c>
      <c r="B760" s="22" t="s">
        <v>1784</v>
      </c>
      <c r="C760" s="22" t="s">
        <v>213</v>
      </c>
      <c r="D760" s="22" t="s">
        <v>1183</v>
      </c>
      <c r="E760" s="22">
        <v>11</v>
      </c>
      <c r="F760" s="22">
        <v>26</v>
      </c>
      <c r="G760" s="22" t="s">
        <v>1779</v>
      </c>
      <c r="H760" s="22" t="s">
        <v>155</v>
      </c>
      <c r="I760" s="22" t="s">
        <v>214</v>
      </c>
      <c r="J760" s="22" t="s">
        <v>1780</v>
      </c>
      <c r="K760" s="22" t="s">
        <v>65</v>
      </c>
      <c r="L760" s="22" t="s">
        <v>67</v>
      </c>
      <c r="M760" s="22" t="s">
        <v>69</v>
      </c>
    </row>
    <row r="761" spans="1:13">
      <c r="A761" s="22" t="s">
        <v>1785</v>
      </c>
      <c r="B761" s="22" t="s">
        <v>1786</v>
      </c>
      <c r="C761" s="22" t="s">
        <v>213</v>
      </c>
      <c r="D761" s="22" t="s">
        <v>1183</v>
      </c>
      <c r="E761" s="22">
        <v>11</v>
      </c>
      <c r="F761" s="22">
        <v>42</v>
      </c>
      <c r="G761" s="22" t="s">
        <v>1779</v>
      </c>
      <c r="H761" s="22" t="s">
        <v>155</v>
      </c>
      <c r="I761" s="22" t="s">
        <v>217</v>
      </c>
      <c r="J761" s="22" t="s">
        <v>1780</v>
      </c>
      <c r="K761" s="22" t="s">
        <v>65</v>
      </c>
      <c r="L761" s="22" t="s">
        <v>67</v>
      </c>
      <c r="M761" s="22" t="s">
        <v>69</v>
      </c>
    </row>
    <row r="762" spans="1:13">
      <c r="A762" s="22" t="s">
        <v>1787</v>
      </c>
      <c r="B762" s="22" t="s">
        <v>1788</v>
      </c>
      <c r="C762" s="22" t="s">
        <v>204</v>
      </c>
      <c r="D762" s="22" t="s">
        <v>1183</v>
      </c>
      <c r="E762" s="22">
        <v>11</v>
      </c>
      <c r="F762" s="22">
        <v>41</v>
      </c>
      <c r="G762" s="22" t="s">
        <v>1779</v>
      </c>
      <c r="H762" s="22" t="s">
        <v>155</v>
      </c>
      <c r="I762" s="22" t="s">
        <v>220</v>
      </c>
      <c r="J762" s="22" t="s">
        <v>1780</v>
      </c>
      <c r="K762" s="22" t="s">
        <v>65</v>
      </c>
      <c r="L762" s="22" t="s">
        <v>67</v>
      </c>
      <c r="M762" s="22" t="s">
        <v>69</v>
      </c>
    </row>
    <row r="763" spans="1:13">
      <c r="A763" s="22" t="s">
        <v>1789</v>
      </c>
      <c r="B763" s="22" t="s">
        <v>1790</v>
      </c>
      <c r="C763" s="22" t="s">
        <v>213</v>
      </c>
      <c r="D763" s="22" t="s">
        <v>1183</v>
      </c>
      <c r="E763" s="22">
        <v>11</v>
      </c>
      <c r="F763" s="22">
        <v>9</v>
      </c>
      <c r="G763" s="22" t="s">
        <v>1779</v>
      </c>
      <c r="H763" s="22" t="s">
        <v>155</v>
      </c>
      <c r="I763" s="22" t="s">
        <v>223</v>
      </c>
      <c r="J763" s="22" t="s">
        <v>1780</v>
      </c>
      <c r="K763" s="22" t="s">
        <v>65</v>
      </c>
      <c r="L763" s="22" t="s">
        <v>67</v>
      </c>
      <c r="M763" s="22" t="s">
        <v>69</v>
      </c>
    </row>
    <row r="764" spans="1:13">
      <c r="A764" s="22" t="s">
        <v>1791</v>
      </c>
      <c r="B764" s="22" t="s">
        <v>1792</v>
      </c>
      <c r="C764" s="22" t="s">
        <v>213</v>
      </c>
      <c r="D764" s="22" t="s">
        <v>1183</v>
      </c>
      <c r="E764" s="22">
        <v>11</v>
      </c>
      <c r="F764" s="22">
        <v>24</v>
      </c>
      <c r="G764" s="22" t="s">
        <v>1779</v>
      </c>
      <c r="H764" s="22" t="s">
        <v>155</v>
      </c>
      <c r="I764" s="22" t="s">
        <v>226</v>
      </c>
      <c r="J764" s="22" t="s">
        <v>1780</v>
      </c>
      <c r="K764" s="22" t="s">
        <v>65</v>
      </c>
      <c r="L764" s="22" t="s">
        <v>67</v>
      </c>
      <c r="M764" s="22" t="s">
        <v>69</v>
      </c>
    </row>
    <row r="765" spans="1:13">
      <c r="A765" s="22" t="s">
        <v>1793</v>
      </c>
      <c r="B765" s="22" t="s">
        <v>1794</v>
      </c>
      <c r="C765" s="22" t="s">
        <v>204</v>
      </c>
      <c r="D765" s="22" t="s">
        <v>1183</v>
      </c>
      <c r="E765" s="22">
        <v>10</v>
      </c>
      <c r="F765" s="22">
        <v>22</v>
      </c>
      <c r="G765" s="22" t="s">
        <v>1779</v>
      </c>
      <c r="H765" s="22" t="s">
        <v>155</v>
      </c>
      <c r="I765" s="22" t="s">
        <v>229</v>
      </c>
      <c r="J765" s="22" t="s">
        <v>1780</v>
      </c>
      <c r="K765" s="22" t="s">
        <v>65</v>
      </c>
      <c r="L765" s="22" t="s">
        <v>67</v>
      </c>
      <c r="M765" s="22" t="s">
        <v>69</v>
      </c>
    </row>
    <row r="766" spans="1:13">
      <c r="A766" s="22" t="s">
        <v>1795</v>
      </c>
      <c r="B766" s="22" t="s">
        <v>1796</v>
      </c>
      <c r="C766" s="22" t="s">
        <v>204</v>
      </c>
      <c r="D766" s="22" t="s">
        <v>1183</v>
      </c>
      <c r="E766" s="22">
        <v>11</v>
      </c>
      <c r="F766" s="22">
        <v>39</v>
      </c>
      <c r="G766" s="22" t="s">
        <v>1779</v>
      </c>
      <c r="H766" s="22" t="s">
        <v>155</v>
      </c>
      <c r="I766" s="22" t="s">
        <v>232</v>
      </c>
      <c r="J766" s="22" t="s">
        <v>1780</v>
      </c>
      <c r="K766" s="22" t="s">
        <v>65</v>
      </c>
      <c r="L766" s="22" t="s">
        <v>67</v>
      </c>
      <c r="M766" s="22" t="s">
        <v>69</v>
      </c>
    </row>
    <row r="767" spans="1:13">
      <c r="A767" s="22" t="s">
        <v>1797</v>
      </c>
      <c r="B767" s="22" t="s">
        <v>1798</v>
      </c>
      <c r="C767" s="22" t="s">
        <v>213</v>
      </c>
      <c r="D767" s="22" t="s">
        <v>1183</v>
      </c>
      <c r="E767" s="22">
        <v>11</v>
      </c>
      <c r="F767" s="22">
        <v>2</v>
      </c>
      <c r="G767" s="22" t="s">
        <v>1779</v>
      </c>
      <c r="H767" s="22" t="s">
        <v>155</v>
      </c>
      <c r="I767" s="22" t="s">
        <v>235</v>
      </c>
      <c r="J767" s="22" t="s">
        <v>1780</v>
      </c>
      <c r="K767" s="22" t="s">
        <v>65</v>
      </c>
      <c r="L767" s="22" t="s">
        <v>67</v>
      </c>
      <c r="M767" s="22" t="s">
        <v>69</v>
      </c>
    </row>
    <row r="768" spans="1:13">
      <c r="A768" s="22" t="s">
        <v>1799</v>
      </c>
      <c r="B768" s="22" t="s">
        <v>1800</v>
      </c>
      <c r="C768" s="22" t="s">
        <v>204</v>
      </c>
      <c r="D768" s="22" t="s">
        <v>1183</v>
      </c>
      <c r="E768" s="22">
        <v>11</v>
      </c>
      <c r="F768" s="22">
        <v>4</v>
      </c>
      <c r="G768" s="22" t="s">
        <v>1779</v>
      </c>
      <c r="H768" s="22" t="s">
        <v>155</v>
      </c>
      <c r="I768" s="22" t="s">
        <v>238</v>
      </c>
      <c r="J768" s="22" t="s">
        <v>1780</v>
      </c>
      <c r="K768" s="22" t="s">
        <v>65</v>
      </c>
      <c r="L768" s="22" t="s">
        <v>67</v>
      </c>
      <c r="M768" s="22" t="s">
        <v>69</v>
      </c>
    </row>
    <row r="769" spans="1:13">
      <c r="A769" s="22" t="s">
        <v>1801</v>
      </c>
      <c r="B769" s="22" t="s">
        <v>1802</v>
      </c>
      <c r="C769" s="22" t="s">
        <v>213</v>
      </c>
      <c r="D769" s="22" t="s">
        <v>1183</v>
      </c>
      <c r="E769" s="22">
        <v>10</v>
      </c>
      <c r="F769" s="22">
        <v>35</v>
      </c>
      <c r="G769" s="22" t="s">
        <v>1779</v>
      </c>
      <c r="H769" s="22" t="s">
        <v>155</v>
      </c>
      <c r="I769" s="22" t="s">
        <v>241</v>
      </c>
      <c r="J769" s="22" t="s">
        <v>1780</v>
      </c>
      <c r="K769" s="22" t="s">
        <v>65</v>
      </c>
      <c r="L769" s="22" t="s">
        <v>67</v>
      </c>
      <c r="M769" s="22" t="s">
        <v>69</v>
      </c>
    </row>
    <row r="770" spans="1:13">
      <c r="A770" s="22" t="s">
        <v>1803</v>
      </c>
      <c r="B770" s="22" t="s">
        <v>1804</v>
      </c>
      <c r="C770" s="22" t="s">
        <v>204</v>
      </c>
      <c r="D770" s="22" t="s">
        <v>1183</v>
      </c>
      <c r="E770" s="22">
        <v>11</v>
      </c>
      <c r="F770" s="22">
        <v>21</v>
      </c>
      <c r="G770" s="22" t="s">
        <v>1779</v>
      </c>
      <c r="H770" s="22" t="s">
        <v>155</v>
      </c>
      <c r="I770" s="22" t="s">
        <v>244</v>
      </c>
      <c r="J770" s="22" t="s">
        <v>1780</v>
      </c>
      <c r="K770" s="22" t="s">
        <v>65</v>
      </c>
      <c r="L770" s="22" t="s">
        <v>67</v>
      </c>
      <c r="M770" s="22" t="s">
        <v>69</v>
      </c>
    </row>
    <row r="771" spans="1:13">
      <c r="A771" s="22" t="s">
        <v>1805</v>
      </c>
      <c r="B771" s="22" t="s">
        <v>1806</v>
      </c>
      <c r="C771" s="22" t="s">
        <v>204</v>
      </c>
      <c r="D771" s="22" t="s">
        <v>1183</v>
      </c>
      <c r="E771" s="22">
        <v>10</v>
      </c>
      <c r="F771" s="22">
        <v>32</v>
      </c>
      <c r="G771" s="22" t="s">
        <v>1779</v>
      </c>
      <c r="H771" s="22" t="s">
        <v>155</v>
      </c>
      <c r="I771" s="22" t="s">
        <v>247</v>
      </c>
      <c r="J771" s="22" t="s">
        <v>1780</v>
      </c>
      <c r="K771" s="22" t="s">
        <v>65</v>
      </c>
      <c r="L771" s="22" t="s">
        <v>67</v>
      </c>
      <c r="M771" s="22" t="s">
        <v>69</v>
      </c>
    </row>
    <row r="772" spans="1:13">
      <c r="A772" s="22" t="s">
        <v>1807</v>
      </c>
      <c r="B772" s="22" t="s">
        <v>1808</v>
      </c>
      <c r="C772" s="22" t="s">
        <v>213</v>
      </c>
      <c r="D772" s="22" t="s">
        <v>1183</v>
      </c>
      <c r="E772" s="22">
        <v>11</v>
      </c>
      <c r="F772" s="22">
        <v>1</v>
      </c>
      <c r="G772" s="22" t="s">
        <v>1779</v>
      </c>
      <c r="H772" s="22" t="s">
        <v>155</v>
      </c>
      <c r="I772" s="22" t="s">
        <v>250</v>
      </c>
      <c r="J772" s="22" t="s">
        <v>1780</v>
      </c>
      <c r="K772" s="22" t="s">
        <v>65</v>
      </c>
      <c r="L772" s="22" t="s">
        <v>67</v>
      </c>
      <c r="M772" s="22" t="s">
        <v>69</v>
      </c>
    </row>
    <row r="773" spans="1:13">
      <c r="A773" s="22" t="s">
        <v>1809</v>
      </c>
      <c r="B773" s="22" t="s">
        <v>1810</v>
      </c>
      <c r="C773" s="22" t="s">
        <v>213</v>
      </c>
      <c r="D773" s="22" t="s">
        <v>1183</v>
      </c>
      <c r="E773" s="22">
        <v>10</v>
      </c>
      <c r="F773" s="22">
        <v>2</v>
      </c>
      <c r="G773" s="22" t="s">
        <v>1779</v>
      </c>
      <c r="H773" s="22" t="s">
        <v>155</v>
      </c>
      <c r="I773" s="22" t="s">
        <v>253</v>
      </c>
      <c r="J773" s="22" t="s">
        <v>1780</v>
      </c>
      <c r="K773" s="22" t="s">
        <v>65</v>
      </c>
      <c r="L773" s="22" t="s">
        <v>67</v>
      </c>
      <c r="M773" s="22" t="s">
        <v>69</v>
      </c>
    </row>
    <row r="774" spans="1:13">
      <c r="A774" s="22" t="s">
        <v>1811</v>
      </c>
      <c r="B774" s="22" t="s">
        <v>1812</v>
      </c>
      <c r="C774" s="22" t="s">
        <v>204</v>
      </c>
      <c r="D774" s="22" t="s">
        <v>1183</v>
      </c>
      <c r="E774" s="22">
        <v>10</v>
      </c>
      <c r="F774" s="22">
        <v>10</v>
      </c>
      <c r="G774" s="22" t="s">
        <v>1779</v>
      </c>
      <c r="H774" s="22" t="s">
        <v>155</v>
      </c>
      <c r="I774" s="22" t="s">
        <v>256</v>
      </c>
      <c r="J774" s="22" t="s">
        <v>1780</v>
      </c>
      <c r="K774" s="22" t="s">
        <v>65</v>
      </c>
      <c r="L774" s="22" t="s">
        <v>67</v>
      </c>
      <c r="M774" s="22" t="s">
        <v>69</v>
      </c>
    </row>
    <row r="775" spans="1:13">
      <c r="A775" s="22" t="s">
        <v>1813</v>
      </c>
      <c r="B775" s="22" t="s">
        <v>1814</v>
      </c>
      <c r="C775" s="22" t="s">
        <v>213</v>
      </c>
      <c r="D775" s="22" t="s">
        <v>1353</v>
      </c>
      <c r="E775" s="22">
        <v>12</v>
      </c>
      <c r="F775" s="22">
        <v>32</v>
      </c>
      <c r="G775" s="22" t="s">
        <v>1779</v>
      </c>
      <c r="H775" s="22" t="s">
        <v>155</v>
      </c>
      <c r="I775" s="22" t="s">
        <v>259</v>
      </c>
      <c r="J775" s="22" t="s">
        <v>1780</v>
      </c>
      <c r="K775" s="22" t="s">
        <v>65</v>
      </c>
      <c r="L775" s="22" t="s">
        <v>67</v>
      </c>
      <c r="M775" s="22" t="s">
        <v>70</v>
      </c>
    </row>
    <row r="776" spans="1:13">
      <c r="A776" s="22" t="s">
        <v>1815</v>
      </c>
      <c r="B776" s="22" t="s">
        <v>1816</v>
      </c>
      <c r="C776" s="22" t="s">
        <v>213</v>
      </c>
      <c r="D776" s="22" t="s">
        <v>1353</v>
      </c>
      <c r="E776" s="22">
        <v>12</v>
      </c>
      <c r="F776" s="22">
        <v>28</v>
      </c>
      <c r="G776" s="22" t="s">
        <v>1779</v>
      </c>
      <c r="H776" s="22" t="s">
        <v>155</v>
      </c>
      <c r="I776" s="22" t="s">
        <v>262</v>
      </c>
      <c r="J776" s="22" t="s">
        <v>1780</v>
      </c>
      <c r="K776" s="22" t="s">
        <v>65</v>
      </c>
      <c r="L776" s="22" t="s">
        <v>67</v>
      </c>
      <c r="M776" s="22" t="s">
        <v>70</v>
      </c>
    </row>
    <row r="777" spans="1:13">
      <c r="A777" s="22" t="s">
        <v>1817</v>
      </c>
      <c r="B777" s="22" t="s">
        <v>1818</v>
      </c>
      <c r="C777" s="22" t="s">
        <v>204</v>
      </c>
      <c r="D777" s="22" t="s">
        <v>1353</v>
      </c>
      <c r="E777" s="22">
        <v>12</v>
      </c>
      <c r="F777" s="22">
        <v>24</v>
      </c>
      <c r="G777" s="22" t="s">
        <v>1779</v>
      </c>
      <c r="H777" s="22" t="s">
        <v>155</v>
      </c>
      <c r="I777" s="22" t="s">
        <v>265</v>
      </c>
      <c r="J777" s="22" t="s">
        <v>1780</v>
      </c>
      <c r="K777" s="22" t="s">
        <v>65</v>
      </c>
      <c r="L777" s="22" t="s">
        <v>67</v>
      </c>
      <c r="M777" s="22" t="s">
        <v>70</v>
      </c>
    </row>
    <row r="778" spans="1:13">
      <c r="A778" s="22" t="s">
        <v>1819</v>
      </c>
      <c r="B778" s="22" t="s">
        <v>1820</v>
      </c>
      <c r="C778" s="22" t="s">
        <v>204</v>
      </c>
      <c r="D778" s="22" t="s">
        <v>1353</v>
      </c>
      <c r="E778" s="22">
        <v>12</v>
      </c>
      <c r="F778" s="22">
        <v>25</v>
      </c>
      <c r="G778" s="22" t="s">
        <v>1779</v>
      </c>
      <c r="H778" s="22" t="s">
        <v>155</v>
      </c>
      <c r="I778" s="22" t="s">
        <v>268</v>
      </c>
      <c r="J778" s="22" t="s">
        <v>1780</v>
      </c>
      <c r="K778" s="22" t="s">
        <v>65</v>
      </c>
      <c r="L778" s="22" t="s">
        <v>67</v>
      </c>
      <c r="M778" s="22" t="s">
        <v>70</v>
      </c>
    </row>
    <row r="779" spans="1:13">
      <c r="A779" s="22" t="s">
        <v>1821</v>
      </c>
      <c r="B779" s="22" t="s">
        <v>1822</v>
      </c>
      <c r="C779" s="22" t="s">
        <v>204</v>
      </c>
      <c r="D779" s="22" t="s">
        <v>1353</v>
      </c>
      <c r="E779" s="22">
        <v>12</v>
      </c>
      <c r="F779" s="22">
        <v>10</v>
      </c>
      <c r="G779" s="22" t="s">
        <v>1779</v>
      </c>
      <c r="H779" s="22" t="s">
        <v>155</v>
      </c>
      <c r="I779" s="22" t="s">
        <v>271</v>
      </c>
      <c r="J779" s="22" t="s">
        <v>1780</v>
      </c>
      <c r="K779" s="22" t="s">
        <v>65</v>
      </c>
      <c r="L779" s="22" t="s">
        <v>67</v>
      </c>
      <c r="M779" s="22" t="s">
        <v>70</v>
      </c>
    </row>
    <row r="780" spans="1:13">
      <c r="A780" s="22" t="s">
        <v>1823</v>
      </c>
      <c r="B780" s="22" t="s">
        <v>1824</v>
      </c>
      <c r="C780" s="22" t="s">
        <v>204</v>
      </c>
      <c r="D780" s="22" t="s">
        <v>1353</v>
      </c>
      <c r="E780" s="22">
        <v>12</v>
      </c>
      <c r="F780" s="22">
        <v>47</v>
      </c>
      <c r="G780" s="22" t="s">
        <v>1779</v>
      </c>
      <c r="H780" s="22" t="s">
        <v>155</v>
      </c>
      <c r="I780" s="22" t="s">
        <v>274</v>
      </c>
      <c r="J780" s="22" t="s">
        <v>1780</v>
      </c>
      <c r="K780" s="22" t="s">
        <v>65</v>
      </c>
      <c r="L780" s="22" t="s">
        <v>67</v>
      </c>
      <c r="M780" s="22" t="s">
        <v>70</v>
      </c>
    </row>
    <row r="781" spans="1:13">
      <c r="A781" s="22" t="s">
        <v>1825</v>
      </c>
      <c r="B781" s="22" t="s">
        <v>1826</v>
      </c>
      <c r="C781" s="22" t="s">
        <v>213</v>
      </c>
      <c r="D781" s="22" t="s">
        <v>1353</v>
      </c>
      <c r="E781" s="22">
        <v>12</v>
      </c>
      <c r="F781" s="22">
        <v>2</v>
      </c>
      <c r="G781" s="22" t="s">
        <v>1779</v>
      </c>
      <c r="H781" s="22" t="s">
        <v>155</v>
      </c>
      <c r="I781" s="22" t="s">
        <v>277</v>
      </c>
      <c r="J781" s="22" t="s">
        <v>1780</v>
      </c>
      <c r="K781" s="22" t="s">
        <v>65</v>
      </c>
      <c r="L781" s="22" t="s">
        <v>67</v>
      </c>
      <c r="M781" s="22" t="s">
        <v>70</v>
      </c>
    </row>
    <row r="782" spans="1:13">
      <c r="A782" s="22" t="s">
        <v>1827</v>
      </c>
      <c r="B782" s="22" t="s">
        <v>1828</v>
      </c>
      <c r="C782" s="22" t="s">
        <v>204</v>
      </c>
      <c r="D782" s="22" t="s">
        <v>1353</v>
      </c>
      <c r="E782" s="22">
        <v>12</v>
      </c>
      <c r="F782" s="22">
        <v>35</v>
      </c>
      <c r="G782" s="22" t="s">
        <v>1779</v>
      </c>
      <c r="H782" s="22" t="s">
        <v>155</v>
      </c>
      <c r="I782" s="22" t="s">
        <v>280</v>
      </c>
      <c r="J782" s="22" t="s">
        <v>1780</v>
      </c>
      <c r="K782" s="22" t="s">
        <v>65</v>
      </c>
      <c r="L782" s="22" t="s">
        <v>67</v>
      </c>
      <c r="M782" s="22" t="s">
        <v>70</v>
      </c>
    </row>
    <row r="783" spans="1:13">
      <c r="A783" s="22" t="s">
        <v>1829</v>
      </c>
      <c r="B783" s="22" t="s">
        <v>1830</v>
      </c>
      <c r="C783" s="22" t="s">
        <v>204</v>
      </c>
      <c r="D783" s="22" t="s">
        <v>1353</v>
      </c>
      <c r="E783" s="22">
        <v>12</v>
      </c>
      <c r="F783" s="22">
        <v>9</v>
      </c>
      <c r="G783" s="22" t="s">
        <v>1779</v>
      </c>
      <c r="H783" s="22" t="s">
        <v>155</v>
      </c>
      <c r="I783" s="22" t="s">
        <v>283</v>
      </c>
      <c r="J783" s="22" t="s">
        <v>1780</v>
      </c>
      <c r="K783" s="22" t="s">
        <v>65</v>
      </c>
      <c r="L783" s="22" t="s">
        <v>67</v>
      </c>
      <c r="M783" s="22" t="s">
        <v>70</v>
      </c>
    </row>
    <row r="784" spans="1:13">
      <c r="A784" s="22" t="s">
        <v>1831</v>
      </c>
      <c r="B784" s="22" t="s">
        <v>1832</v>
      </c>
      <c r="C784" s="22" t="s">
        <v>213</v>
      </c>
      <c r="D784" s="22" t="s">
        <v>1353</v>
      </c>
      <c r="E784" s="22">
        <v>12</v>
      </c>
      <c r="F784" s="22">
        <v>22</v>
      </c>
      <c r="G784" s="22" t="s">
        <v>1779</v>
      </c>
      <c r="H784" s="22" t="s">
        <v>155</v>
      </c>
      <c r="I784" s="22" t="s">
        <v>286</v>
      </c>
      <c r="J784" s="22" t="s">
        <v>1780</v>
      </c>
      <c r="K784" s="22" t="s">
        <v>65</v>
      </c>
      <c r="L784" s="22" t="s">
        <v>67</v>
      </c>
      <c r="M784" s="22" t="s">
        <v>70</v>
      </c>
    </row>
    <row r="785" spans="1:13">
      <c r="A785" s="22" t="s">
        <v>1833</v>
      </c>
      <c r="B785" s="22" t="s">
        <v>1834</v>
      </c>
      <c r="C785" s="22" t="s">
        <v>213</v>
      </c>
      <c r="D785" s="22" t="s">
        <v>1353</v>
      </c>
      <c r="E785" s="22">
        <v>12</v>
      </c>
      <c r="F785" s="22">
        <v>6</v>
      </c>
      <c r="G785" s="22" t="s">
        <v>1779</v>
      </c>
      <c r="H785" s="22" t="s">
        <v>155</v>
      </c>
      <c r="I785" s="22" t="s">
        <v>289</v>
      </c>
      <c r="J785" s="22" t="s">
        <v>1780</v>
      </c>
      <c r="K785" s="22" t="s">
        <v>65</v>
      </c>
      <c r="L785" s="22" t="s">
        <v>67</v>
      </c>
      <c r="M785" s="22" t="s">
        <v>70</v>
      </c>
    </row>
    <row r="786" spans="1:13">
      <c r="A786" s="22" t="s">
        <v>1835</v>
      </c>
      <c r="B786" s="22" t="s">
        <v>1836</v>
      </c>
      <c r="C786" s="22" t="s">
        <v>204</v>
      </c>
      <c r="D786" s="22" t="s">
        <v>205</v>
      </c>
      <c r="E786" s="22">
        <v>3</v>
      </c>
      <c r="F786" s="22">
        <v>28</v>
      </c>
      <c r="G786" s="22" t="s">
        <v>1779</v>
      </c>
      <c r="H786" s="22" t="s">
        <v>155</v>
      </c>
      <c r="I786" s="22" t="s">
        <v>292</v>
      </c>
      <c r="J786" s="22" t="s">
        <v>1780</v>
      </c>
      <c r="K786" s="22" t="s">
        <v>65</v>
      </c>
      <c r="L786" s="22" t="s">
        <v>67</v>
      </c>
      <c r="M786" s="22" t="s">
        <v>68</v>
      </c>
    </row>
    <row r="787" spans="1:13">
      <c r="A787" s="22" t="s">
        <v>1837</v>
      </c>
      <c r="B787" s="22" t="s">
        <v>1838</v>
      </c>
      <c r="C787" s="22" t="s">
        <v>213</v>
      </c>
      <c r="D787" s="22" t="s">
        <v>205</v>
      </c>
      <c r="E787" s="22">
        <v>4</v>
      </c>
      <c r="F787" s="22">
        <v>25</v>
      </c>
      <c r="G787" s="22" t="s">
        <v>1779</v>
      </c>
      <c r="H787" s="22" t="s">
        <v>155</v>
      </c>
      <c r="I787" s="22" t="s">
        <v>295</v>
      </c>
      <c r="J787" s="22" t="s">
        <v>1780</v>
      </c>
      <c r="K787" s="22" t="s">
        <v>65</v>
      </c>
      <c r="L787" s="22" t="s">
        <v>67</v>
      </c>
      <c r="M787" s="22" t="s">
        <v>68</v>
      </c>
    </row>
    <row r="788" spans="1:13">
      <c r="A788" s="22" t="s">
        <v>1839</v>
      </c>
      <c r="B788" s="22" t="s">
        <v>1840</v>
      </c>
      <c r="C788" s="22" t="s">
        <v>213</v>
      </c>
      <c r="D788" s="22" t="s">
        <v>205</v>
      </c>
      <c r="E788" s="22">
        <v>1</v>
      </c>
      <c r="F788" s="22">
        <v>10</v>
      </c>
      <c r="G788" s="22" t="s">
        <v>1779</v>
      </c>
      <c r="H788" s="22" t="s">
        <v>155</v>
      </c>
      <c r="I788" s="22" t="s">
        <v>298</v>
      </c>
      <c r="J788" s="22" t="s">
        <v>1780</v>
      </c>
      <c r="K788" s="22" t="s">
        <v>65</v>
      </c>
      <c r="L788" s="22" t="s">
        <v>67</v>
      </c>
      <c r="M788" s="22" t="s">
        <v>68</v>
      </c>
    </row>
    <row r="789" spans="1:13">
      <c r="A789" s="22" t="s">
        <v>1841</v>
      </c>
      <c r="B789" s="22" t="s">
        <v>1842</v>
      </c>
      <c r="C789" s="22" t="s">
        <v>213</v>
      </c>
      <c r="D789" s="22" t="s">
        <v>205</v>
      </c>
      <c r="E789" s="22">
        <v>4</v>
      </c>
      <c r="F789" s="22">
        <v>5</v>
      </c>
      <c r="G789" s="22" t="s">
        <v>1779</v>
      </c>
      <c r="H789" s="22" t="s">
        <v>155</v>
      </c>
      <c r="I789" s="22" t="s">
        <v>301</v>
      </c>
      <c r="J789" s="22" t="s">
        <v>1780</v>
      </c>
      <c r="K789" s="22" t="s">
        <v>65</v>
      </c>
      <c r="L789" s="22" t="s">
        <v>67</v>
      </c>
      <c r="M789" s="22" t="s">
        <v>68</v>
      </c>
    </row>
    <row r="790" spans="1:13">
      <c r="A790" s="22" t="s">
        <v>1843</v>
      </c>
      <c r="B790" s="22" t="s">
        <v>1844</v>
      </c>
      <c r="C790" s="22" t="s">
        <v>213</v>
      </c>
      <c r="D790" s="22" t="s">
        <v>205</v>
      </c>
      <c r="E790" s="22">
        <v>5</v>
      </c>
      <c r="F790" s="22">
        <v>10</v>
      </c>
      <c r="G790" s="22" t="s">
        <v>1779</v>
      </c>
      <c r="H790" s="22" t="s">
        <v>155</v>
      </c>
      <c r="I790" s="22" t="s">
        <v>304</v>
      </c>
      <c r="J790" s="22" t="s">
        <v>1780</v>
      </c>
      <c r="K790" s="22" t="s">
        <v>65</v>
      </c>
      <c r="L790" s="22" t="s">
        <v>67</v>
      </c>
      <c r="M790" s="22" t="s">
        <v>68</v>
      </c>
    </row>
    <row r="791" spans="1:13">
      <c r="A791" s="22" t="s">
        <v>1845</v>
      </c>
      <c r="B791" s="22" t="s">
        <v>1846</v>
      </c>
      <c r="C791" s="22" t="s">
        <v>204</v>
      </c>
      <c r="D791" s="22" t="s">
        <v>1847</v>
      </c>
      <c r="E791" s="22">
        <v>11</v>
      </c>
      <c r="F791" s="22">
        <v>40</v>
      </c>
      <c r="G791" s="22" t="s">
        <v>1779</v>
      </c>
      <c r="H791" s="22" t="s">
        <v>155</v>
      </c>
      <c r="I791" s="22" t="s">
        <v>307</v>
      </c>
      <c r="J791" s="22" t="s">
        <v>1780</v>
      </c>
      <c r="K791" s="22" t="s">
        <v>65</v>
      </c>
      <c r="L791" s="22" t="s">
        <v>68</v>
      </c>
      <c r="M791" s="22" t="s">
        <v>69</v>
      </c>
    </row>
    <row r="792" spans="1:13">
      <c r="A792" s="22" t="s">
        <v>1848</v>
      </c>
      <c r="B792" s="22" t="s">
        <v>1849</v>
      </c>
      <c r="C792" s="22" t="s">
        <v>204</v>
      </c>
      <c r="D792" s="22" t="s">
        <v>1847</v>
      </c>
      <c r="E792" s="22">
        <v>11</v>
      </c>
      <c r="F792" s="22">
        <v>12</v>
      </c>
      <c r="G792" s="22" t="s">
        <v>1779</v>
      </c>
      <c r="H792" s="22" t="s">
        <v>155</v>
      </c>
      <c r="I792" s="22" t="s">
        <v>310</v>
      </c>
      <c r="J792" s="22" t="s">
        <v>1780</v>
      </c>
      <c r="K792" s="22" t="s">
        <v>65</v>
      </c>
      <c r="L792" s="22" t="s">
        <v>68</v>
      </c>
      <c r="M792" s="22" t="s">
        <v>69</v>
      </c>
    </row>
    <row r="793" spans="1:13">
      <c r="A793" s="22" t="s">
        <v>1850</v>
      </c>
      <c r="B793" s="22" t="s">
        <v>1851</v>
      </c>
      <c r="C793" s="22" t="s">
        <v>204</v>
      </c>
      <c r="D793" s="22" t="s">
        <v>1852</v>
      </c>
      <c r="E793" s="22">
        <v>9</v>
      </c>
      <c r="F793" s="22">
        <v>23</v>
      </c>
      <c r="G793" s="22" t="s">
        <v>1779</v>
      </c>
      <c r="H793" s="22" t="s">
        <v>155</v>
      </c>
      <c r="I793" s="22" t="s">
        <v>313</v>
      </c>
      <c r="J793" s="22" t="s">
        <v>1780</v>
      </c>
      <c r="K793" s="22" t="s">
        <v>65</v>
      </c>
      <c r="L793" s="22" t="s">
        <v>68</v>
      </c>
      <c r="M793" s="22" t="s">
        <v>70</v>
      </c>
    </row>
    <row r="794" spans="1:13">
      <c r="A794" s="22" t="s">
        <v>1853</v>
      </c>
      <c r="B794" s="22" t="s">
        <v>1854</v>
      </c>
      <c r="C794" s="22" t="s">
        <v>204</v>
      </c>
      <c r="D794" s="22" t="s">
        <v>1439</v>
      </c>
      <c r="E794" s="22">
        <v>13</v>
      </c>
      <c r="F794" s="22">
        <v>46</v>
      </c>
      <c r="G794" s="22" t="s">
        <v>1855</v>
      </c>
      <c r="H794" s="22" t="s">
        <v>161</v>
      </c>
      <c r="I794" s="22" t="s">
        <v>207</v>
      </c>
      <c r="J794" s="22" t="s">
        <v>1856</v>
      </c>
      <c r="K794" s="22" t="s">
        <v>66</v>
      </c>
      <c r="L794" s="22" t="s">
        <v>70</v>
      </c>
      <c r="M794" s="22" t="s">
        <v>69</v>
      </c>
    </row>
    <row r="795" spans="1:13">
      <c r="A795" s="22" t="s">
        <v>1857</v>
      </c>
      <c r="B795" s="22" t="s">
        <v>1858</v>
      </c>
      <c r="C795" s="22" t="s">
        <v>213</v>
      </c>
      <c r="D795" s="22" t="s">
        <v>1439</v>
      </c>
      <c r="E795" s="22">
        <v>14</v>
      </c>
      <c r="F795" s="22">
        <v>37</v>
      </c>
      <c r="G795" s="22" t="s">
        <v>1855</v>
      </c>
      <c r="H795" s="22" t="s">
        <v>161</v>
      </c>
      <c r="I795" s="22" t="s">
        <v>210</v>
      </c>
      <c r="J795" s="22" t="s">
        <v>1856</v>
      </c>
      <c r="K795" s="22" t="s">
        <v>66</v>
      </c>
      <c r="L795" s="22" t="s">
        <v>70</v>
      </c>
      <c r="M795" s="22" t="s">
        <v>69</v>
      </c>
    </row>
    <row r="796" spans="1:13">
      <c r="A796" s="22" t="s">
        <v>1859</v>
      </c>
      <c r="B796" s="22" t="s">
        <v>1860</v>
      </c>
      <c r="C796" s="22" t="s">
        <v>204</v>
      </c>
      <c r="D796" s="22" t="s">
        <v>1439</v>
      </c>
      <c r="E796" s="22">
        <v>15</v>
      </c>
      <c r="F796" s="22">
        <v>40</v>
      </c>
      <c r="G796" s="22" t="s">
        <v>1855</v>
      </c>
      <c r="H796" s="22" t="s">
        <v>161</v>
      </c>
      <c r="I796" s="22" t="s">
        <v>214</v>
      </c>
      <c r="J796" s="22" t="s">
        <v>1856</v>
      </c>
      <c r="K796" s="22" t="s">
        <v>66</v>
      </c>
      <c r="L796" s="22" t="s">
        <v>70</v>
      </c>
      <c r="M796" s="22" t="s">
        <v>69</v>
      </c>
    </row>
    <row r="797" spans="1:13">
      <c r="A797" s="22" t="s">
        <v>1861</v>
      </c>
      <c r="B797" s="22" t="s">
        <v>1862</v>
      </c>
      <c r="C797" s="22" t="s">
        <v>204</v>
      </c>
      <c r="D797" s="22" t="s">
        <v>1439</v>
      </c>
      <c r="E797" s="22">
        <v>15</v>
      </c>
      <c r="F797" s="22">
        <v>5</v>
      </c>
      <c r="G797" s="22" t="s">
        <v>1855</v>
      </c>
      <c r="H797" s="22" t="s">
        <v>161</v>
      </c>
      <c r="I797" s="22" t="s">
        <v>217</v>
      </c>
      <c r="J797" s="22" t="s">
        <v>1856</v>
      </c>
      <c r="K797" s="22" t="s">
        <v>66</v>
      </c>
      <c r="L797" s="22" t="s">
        <v>70</v>
      </c>
      <c r="M797" s="22" t="s">
        <v>69</v>
      </c>
    </row>
    <row r="798" spans="1:13">
      <c r="A798" s="22" t="s">
        <v>1863</v>
      </c>
      <c r="B798" s="22" t="s">
        <v>1864</v>
      </c>
      <c r="C798" s="22" t="s">
        <v>204</v>
      </c>
      <c r="D798" s="22" t="s">
        <v>1439</v>
      </c>
      <c r="E798" s="22">
        <v>15</v>
      </c>
      <c r="F798" s="22">
        <v>41</v>
      </c>
      <c r="G798" s="22" t="s">
        <v>1855</v>
      </c>
      <c r="H798" s="22" t="s">
        <v>161</v>
      </c>
      <c r="I798" s="22" t="s">
        <v>220</v>
      </c>
      <c r="J798" s="22" t="s">
        <v>1856</v>
      </c>
      <c r="K798" s="22" t="s">
        <v>66</v>
      </c>
      <c r="L798" s="22" t="s">
        <v>70</v>
      </c>
      <c r="M798" s="22" t="s">
        <v>69</v>
      </c>
    </row>
    <row r="799" spans="1:13">
      <c r="A799" s="22" t="s">
        <v>1865</v>
      </c>
      <c r="B799" s="22" t="s">
        <v>1866</v>
      </c>
      <c r="C799" s="22" t="s">
        <v>204</v>
      </c>
      <c r="D799" s="22" t="s">
        <v>1439</v>
      </c>
      <c r="E799" s="22">
        <v>15</v>
      </c>
      <c r="F799" s="22">
        <v>32</v>
      </c>
      <c r="G799" s="22" t="s">
        <v>1855</v>
      </c>
      <c r="H799" s="22" t="s">
        <v>161</v>
      </c>
      <c r="I799" s="22" t="s">
        <v>223</v>
      </c>
      <c r="J799" s="22" t="s">
        <v>1856</v>
      </c>
      <c r="K799" s="22" t="s">
        <v>66</v>
      </c>
      <c r="L799" s="22" t="s">
        <v>70</v>
      </c>
      <c r="M799" s="22" t="s">
        <v>69</v>
      </c>
    </row>
    <row r="800" spans="1:13">
      <c r="A800" s="22" t="s">
        <v>1867</v>
      </c>
      <c r="B800" s="22" t="s">
        <v>1868</v>
      </c>
      <c r="C800" s="22" t="s">
        <v>204</v>
      </c>
      <c r="D800" s="22" t="s">
        <v>1439</v>
      </c>
      <c r="E800" s="22">
        <v>15</v>
      </c>
      <c r="F800" s="22">
        <v>1</v>
      </c>
      <c r="G800" s="22" t="s">
        <v>1855</v>
      </c>
      <c r="H800" s="22" t="s">
        <v>161</v>
      </c>
      <c r="I800" s="22" t="s">
        <v>226</v>
      </c>
      <c r="J800" s="22" t="s">
        <v>1856</v>
      </c>
      <c r="K800" s="22" t="s">
        <v>66</v>
      </c>
      <c r="L800" s="22" t="s">
        <v>70</v>
      </c>
      <c r="M800" s="22" t="s">
        <v>69</v>
      </c>
    </row>
    <row r="801" spans="1:13">
      <c r="A801" s="22" t="s">
        <v>1869</v>
      </c>
      <c r="B801" s="22" t="s">
        <v>1870</v>
      </c>
      <c r="C801" s="22" t="s">
        <v>213</v>
      </c>
      <c r="D801" s="22" t="s">
        <v>1439</v>
      </c>
      <c r="E801" s="22">
        <v>14</v>
      </c>
      <c r="F801" s="22">
        <v>11</v>
      </c>
      <c r="G801" s="22" t="s">
        <v>1855</v>
      </c>
      <c r="H801" s="22" t="s">
        <v>161</v>
      </c>
      <c r="I801" s="22" t="s">
        <v>229</v>
      </c>
      <c r="J801" s="22" t="s">
        <v>1856</v>
      </c>
      <c r="K801" s="22" t="s">
        <v>66</v>
      </c>
      <c r="L801" s="22" t="s">
        <v>70</v>
      </c>
      <c r="M801" s="22" t="s">
        <v>69</v>
      </c>
    </row>
    <row r="802" spans="1:13">
      <c r="A802" s="22" t="s">
        <v>1871</v>
      </c>
      <c r="B802" s="22" t="s">
        <v>1872</v>
      </c>
      <c r="C802" s="22" t="s">
        <v>213</v>
      </c>
      <c r="D802" s="22" t="s">
        <v>1439</v>
      </c>
      <c r="E802" s="22">
        <v>13</v>
      </c>
      <c r="F802" s="22">
        <v>36</v>
      </c>
      <c r="G802" s="22" t="s">
        <v>1855</v>
      </c>
      <c r="H802" s="22" t="s">
        <v>161</v>
      </c>
      <c r="I802" s="22" t="s">
        <v>232</v>
      </c>
      <c r="J802" s="22" t="s">
        <v>1856</v>
      </c>
      <c r="K802" s="22" t="s">
        <v>66</v>
      </c>
      <c r="L802" s="22" t="s">
        <v>70</v>
      </c>
      <c r="M802" s="22" t="s">
        <v>69</v>
      </c>
    </row>
    <row r="803" spans="1:13">
      <c r="A803" s="22" t="s">
        <v>1873</v>
      </c>
      <c r="B803" s="22" t="s">
        <v>1874</v>
      </c>
      <c r="C803" s="22" t="s">
        <v>204</v>
      </c>
      <c r="D803" s="22" t="s">
        <v>1439</v>
      </c>
      <c r="E803" s="22">
        <v>14</v>
      </c>
      <c r="F803" s="22">
        <v>16</v>
      </c>
      <c r="G803" s="22" t="s">
        <v>1855</v>
      </c>
      <c r="H803" s="22" t="s">
        <v>161</v>
      </c>
      <c r="I803" s="22" t="s">
        <v>235</v>
      </c>
      <c r="J803" s="22" t="s">
        <v>1856</v>
      </c>
      <c r="K803" s="22" t="s">
        <v>66</v>
      </c>
      <c r="L803" s="22" t="s">
        <v>70</v>
      </c>
      <c r="M803" s="22" t="s">
        <v>69</v>
      </c>
    </row>
    <row r="804" spans="1:13">
      <c r="A804" s="22" t="s">
        <v>1875</v>
      </c>
      <c r="B804" s="22" t="s">
        <v>1876</v>
      </c>
      <c r="C804" s="22" t="s">
        <v>213</v>
      </c>
      <c r="D804" s="22" t="s">
        <v>1439</v>
      </c>
      <c r="E804" s="22">
        <v>16</v>
      </c>
      <c r="F804" s="22">
        <v>16</v>
      </c>
      <c r="G804" s="22" t="s">
        <v>1855</v>
      </c>
      <c r="H804" s="22" t="s">
        <v>161</v>
      </c>
      <c r="I804" s="22" t="s">
        <v>238</v>
      </c>
      <c r="J804" s="22" t="s">
        <v>1856</v>
      </c>
      <c r="K804" s="22" t="s">
        <v>66</v>
      </c>
      <c r="L804" s="22" t="s">
        <v>70</v>
      </c>
      <c r="M804" s="22" t="s">
        <v>69</v>
      </c>
    </row>
    <row r="805" spans="1:13">
      <c r="A805" s="22" t="s">
        <v>1877</v>
      </c>
      <c r="B805" s="22" t="s">
        <v>1878</v>
      </c>
      <c r="C805" s="22" t="s">
        <v>204</v>
      </c>
      <c r="D805" s="22" t="s">
        <v>1439</v>
      </c>
      <c r="E805" s="22">
        <v>16</v>
      </c>
      <c r="F805" s="22">
        <v>26</v>
      </c>
      <c r="G805" s="22" t="s">
        <v>1855</v>
      </c>
      <c r="H805" s="22" t="s">
        <v>161</v>
      </c>
      <c r="I805" s="22" t="s">
        <v>241</v>
      </c>
      <c r="J805" s="22" t="s">
        <v>1856</v>
      </c>
      <c r="K805" s="22" t="s">
        <v>66</v>
      </c>
      <c r="L805" s="22" t="s">
        <v>70</v>
      </c>
      <c r="M805" s="22" t="s">
        <v>69</v>
      </c>
    </row>
    <row r="806" spans="1:13">
      <c r="A806" s="22" t="s">
        <v>1879</v>
      </c>
      <c r="B806" s="22" t="s">
        <v>1880</v>
      </c>
      <c r="C806" s="22" t="s">
        <v>204</v>
      </c>
      <c r="D806" s="22" t="s">
        <v>1439</v>
      </c>
      <c r="E806" s="22">
        <v>13</v>
      </c>
      <c r="F806" s="22">
        <v>10</v>
      </c>
      <c r="G806" s="22" t="s">
        <v>1855</v>
      </c>
      <c r="H806" s="22" t="s">
        <v>161</v>
      </c>
      <c r="I806" s="22" t="s">
        <v>244</v>
      </c>
      <c r="J806" s="22" t="s">
        <v>1856</v>
      </c>
      <c r="K806" s="22" t="s">
        <v>66</v>
      </c>
      <c r="L806" s="22" t="s">
        <v>70</v>
      </c>
      <c r="M806" s="22" t="s">
        <v>69</v>
      </c>
    </row>
    <row r="807" spans="1:13">
      <c r="A807" s="22" t="s">
        <v>1881</v>
      </c>
      <c r="B807" s="22" t="s">
        <v>1882</v>
      </c>
      <c r="C807" s="22" t="s">
        <v>213</v>
      </c>
      <c r="D807" s="22" t="s">
        <v>1439</v>
      </c>
      <c r="E807" s="22">
        <v>16</v>
      </c>
      <c r="F807" s="22">
        <v>46</v>
      </c>
      <c r="G807" s="22" t="s">
        <v>1855</v>
      </c>
      <c r="H807" s="22" t="s">
        <v>161</v>
      </c>
      <c r="I807" s="22" t="s">
        <v>247</v>
      </c>
      <c r="J807" s="22" t="s">
        <v>1856</v>
      </c>
      <c r="K807" s="22" t="s">
        <v>66</v>
      </c>
      <c r="L807" s="22" t="s">
        <v>70</v>
      </c>
      <c r="M807" s="22" t="s">
        <v>69</v>
      </c>
    </row>
    <row r="808" spans="1:13">
      <c r="A808" s="22" t="s">
        <v>1883</v>
      </c>
      <c r="B808" s="22" t="s">
        <v>1884</v>
      </c>
      <c r="C808" s="22" t="s">
        <v>213</v>
      </c>
      <c r="D808" s="22" t="s">
        <v>1439</v>
      </c>
      <c r="E808" s="22">
        <v>15</v>
      </c>
      <c r="F808" s="22">
        <v>44</v>
      </c>
      <c r="G808" s="22" t="s">
        <v>1855</v>
      </c>
      <c r="H808" s="22" t="s">
        <v>161</v>
      </c>
      <c r="I808" s="22" t="s">
        <v>250</v>
      </c>
      <c r="J808" s="22" t="s">
        <v>1856</v>
      </c>
      <c r="K808" s="22" t="s">
        <v>66</v>
      </c>
      <c r="L808" s="22" t="s">
        <v>70</v>
      </c>
      <c r="M808" s="22" t="s">
        <v>69</v>
      </c>
    </row>
    <row r="809" spans="1:13">
      <c r="A809" s="22" t="s">
        <v>1885</v>
      </c>
      <c r="B809" s="22" t="s">
        <v>1886</v>
      </c>
      <c r="C809" s="22" t="s">
        <v>204</v>
      </c>
      <c r="D809" s="22" t="s">
        <v>1887</v>
      </c>
      <c r="E809" s="22">
        <v>14</v>
      </c>
      <c r="F809" s="22">
        <v>28</v>
      </c>
      <c r="G809" s="22" t="s">
        <v>1855</v>
      </c>
      <c r="H809" s="22" t="s">
        <v>161</v>
      </c>
      <c r="I809" s="22" t="s">
        <v>253</v>
      </c>
      <c r="J809" s="22" t="s">
        <v>1856</v>
      </c>
      <c r="K809" s="22" t="s">
        <v>66</v>
      </c>
      <c r="L809" s="22" t="s">
        <v>70</v>
      </c>
      <c r="M809" s="22" t="s">
        <v>68</v>
      </c>
    </row>
    <row r="810" spans="1:13">
      <c r="A810" s="22" t="s">
        <v>1888</v>
      </c>
      <c r="B810" s="22" t="s">
        <v>1889</v>
      </c>
      <c r="C810" s="22" t="s">
        <v>204</v>
      </c>
      <c r="D810" s="22" t="s">
        <v>1887</v>
      </c>
      <c r="E810" s="22">
        <v>14</v>
      </c>
      <c r="F810" s="22">
        <v>21</v>
      </c>
      <c r="G810" s="22" t="s">
        <v>1855</v>
      </c>
      <c r="H810" s="22" t="s">
        <v>161</v>
      </c>
      <c r="I810" s="22" t="s">
        <v>256</v>
      </c>
      <c r="J810" s="22" t="s">
        <v>1856</v>
      </c>
      <c r="K810" s="22" t="s">
        <v>66</v>
      </c>
      <c r="L810" s="22" t="s">
        <v>70</v>
      </c>
      <c r="M810" s="22" t="s">
        <v>68</v>
      </c>
    </row>
    <row r="811" spans="1:13">
      <c r="A811" s="22" t="s">
        <v>1890</v>
      </c>
      <c r="B811" s="22" t="s">
        <v>1891</v>
      </c>
      <c r="C811" s="22" t="s">
        <v>204</v>
      </c>
      <c r="D811" s="22" t="s">
        <v>1887</v>
      </c>
      <c r="E811" s="22">
        <v>14</v>
      </c>
      <c r="F811" s="22">
        <v>31</v>
      </c>
      <c r="G811" s="22" t="s">
        <v>1855</v>
      </c>
      <c r="H811" s="22" t="s">
        <v>161</v>
      </c>
      <c r="I811" s="22" t="s">
        <v>259</v>
      </c>
      <c r="J811" s="22" t="s">
        <v>1856</v>
      </c>
      <c r="K811" s="22" t="s">
        <v>66</v>
      </c>
      <c r="L811" s="22" t="s">
        <v>70</v>
      </c>
      <c r="M811" s="22" t="s">
        <v>68</v>
      </c>
    </row>
    <row r="812" spans="1:13">
      <c r="A812" s="22" t="s">
        <v>1892</v>
      </c>
      <c r="B812" s="22" t="s">
        <v>1893</v>
      </c>
      <c r="C812" s="22" t="s">
        <v>204</v>
      </c>
      <c r="D812" s="22" t="s">
        <v>1887</v>
      </c>
      <c r="E812" s="22">
        <v>14</v>
      </c>
      <c r="F812" s="22">
        <v>33</v>
      </c>
      <c r="G812" s="22" t="s">
        <v>1855</v>
      </c>
      <c r="H812" s="22" t="s">
        <v>161</v>
      </c>
      <c r="I812" s="22" t="s">
        <v>262</v>
      </c>
      <c r="J812" s="22" t="s">
        <v>1856</v>
      </c>
      <c r="K812" s="22" t="s">
        <v>66</v>
      </c>
      <c r="L812" s="22" t="s">
        <v>70</v>
      </c>
      <c r="M812" s="22" t="s">
        <v>68</v>
      </c>
    </row>
    <row r="813" spans="1:13">
      <c r="A813" s="22" t="s">
        <v>1894</v>
      </c>
      <c r="B813" s="22" t="s">
        <v>1895</v>
      </c>
      <c r="C813" s="22" t="s">
        <v>204</v>
      </c>
      <c r="D813" s="22" t="s">
        <v>1887</v>
      </c>
      <c r="E813" s="22">
        <v>14</v>
      </c>
      <c r="F813" s="22">
        <v>17</v>
      </c>
      <c r="G813" s="22" t="s">
        <v>1855</v>
      </c>
      <c r="H813" s="22" t="s">
        <v>161</v>
      </c>
      <c r="I813" s="22" t="s">
        <v>265</v>
      </c>
      <c r="J813" s="22" t="s">
        <v>1856</v>
      </c>
      <c r="K813" s="22" t="s">
        <v>66</v>
      </c>
      <c r="L813" s="22" t="s">
        <v>70</v>
      </c>
      <c r="M813" s="22" t="s">
        <v>68</v>
      </c>
    </row>
    <row r="814" spans="1:13">
      <c r="A814" s="22" t="s">
        <v>1896</v>
      </c>
      <c r="B814" s="22" t="s">
        <v>1897</v>
      </c>
      <c r="C814" s="22" t="s">
        <v>204</v>
      </c>
      <c r="D814" s="22" t="s">
        <v>1887</v>
      </c>
      <c r="E814" s="22">
        <v>14</v>
      </c>
      <c r="F814" s="22">
        <v>6</v>
      </c>
      <c r="G814" s="22" t="s">
        <v>1855</v>
      </c>
      <c r="H814" s="22" t="s">
        <v>161</v>
      </c>
      <c r="I814" s="22" t="s">
        <v>268</v>
      </c>
      <c r="J814" s="22" t="s">
        <v>1856</v>
      </c>
      <c r="K814" s="22" t="s">
        <v>66</v>
      </c>
      <c r="L814" s="22" t="s">
        <v>70</v>
      </c>
      <c r="M814" s="22" t="s">
        <v>68</v>
      </c>
    </row>
    <row r="815" spans="1:13">
      <c r="A815" s="22" t="s">
        <v>1898</v>
      </c>
      <c r="B815" s="22" t="s">
        <v>1899</v>
      </c>
      <c r="C815" s="22" t="s">
        <v>204</v>
      </c>
      <c r="D815" s="22" t="s">
        <v>1900</v>
      </c>
      <c r="E815" s="22">
        <v>13</v>
      </c>
      <c r="F815" s="22">
        <v>43</v>
      </c>
      <c r="G815" s="22" t="s">
        <v>1855</v>
      </c>
      <c r="H815" s="22" t="s">
        <v>161</v>
      </c>
      <c r="I815" s="22" t="s">
        <v>271</v>
      </c>
      <c r="J815" s="22" t="s">
        <v>1856</v>
      </c>
      <c r="K815" s="22" t="s">
        <v>66</v>
      </c>
      <c r="L815" s="22" t="s">
        <v>69</v>
      </c>
      <c r="M815" s="22" t="s">
        <v>68</v>
      </c>
    </row>
    <row r="816" spans="1:13">
      <c r="A816" s="22" t="s">
        <v>1901</v>
      </c>
      <c r="B816" s="22" t="s">
        <v>1902</v>
      </c>
      <c r="C816" s="22" t="s">
        <v>213</v>
      </c>
      <c r="D816" s="22" t="s">
        <v>1900</v>
      </c>
      <c r="E816" s="22">
        <v>13</v>
      </c>
      <c r="F816" s="22">
        <v>40</v>
      </c>
      <c r="G816" s="22" t="s">
        <v>1855</v>
      </c>
      <c r="H816" s="22" t="s">
        <v>161</v>
      </c>
      <c r="I816" s="22" t="s">
        <v>274</v>
      </c>
      <c r="J816" s="22" t="s">
        <v>1856</v>
      </c>
      <c r="K816" s="22" t="s">
        <v>66</v>
      </c>
      <c r="L816" s="22" t="s">
        <v>69</v>
      </c>
      <c r="M816" s="22" t="s">
        <v>68</v>
      </c>
    </row>
    <row r="817" spans="1:13">
      <c r="A817" s="22" t="s">
        <v>1903</v>
      </c>
      <c r="B817" s="22" t="s">
        <v>1904</v>
      </c>
      <c r="C817" s="22" t="s">
        <v>204</v>
      </c>
      <c r="D817" s="22" t="s">
        <v>1900</v>
      </c>
      <c r="E817" s="22">
        <v>13</v>
      </c>
      <c r="F817" s="22">
        <v>15</v>
      </c>
      <c r="G817" s="22" t="s">
        <v>1855</v>
      </c>
      <c r="H817" s="22" t="s">
        <v>161</v>
      </c>
      <c r="I817" s="22" t="s">
        <v>277</v>
      </c>
      <c r="J817" s="22" t="s">
        <v>1856</v>
      </c>
      <c r="K817" s="22" t="s">
        <v>66</v>
      </c>
      <c r="L817" s="22" t="s">
        <v>69</v>
      </c>
      <c r="M817" s="22" t="s">
        <v>68</v>
      </c>
    </row>
    <row r="818" spans="1:13">
      <c r="A818" s="22" t="s">
        <v>1905</v>
      </c>
      <c r="B818" s="22" t="s">
        <v>1906</v>
      </c>
      <c r="C818" s="22" t="s">
        <v>213</v>
      </c>
      <c r="D818" s="22" t="s">
        <v>1907</v>
      </c>
      <c r="E818" s="22">
        <v>14</v>
      </c>
      <c r="F818" s="22">
        <v>4</v>
      </c>
      <c r="G818" s="22" t="s">
        <v>1855</v>
      </c>
      <c r="H818" s="22" t="s">
        <v>161</v>
      </c>
      <c r="I818" s="22" t="s">
        <v>280</v>
      </c>
      <c r="J818" s="22" t="s">
        <v>1856</v>
      </c>
      <c r="K818" s="22" t="s">
        <v>66</v>
      </c>
      <c r="L818" s="22" t="s">
        <v>67</v>
      </c>
      <c r="M818" s="22" t="s">
        <v>70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J836"/>
  <sheetViews>
    <sheetView workbookViewId="0">
      <pane ySplit="2" topLeftCell="A511" activePane="bottomLeft" state="frozen"/>
      <selection/>
      <selection pane="bottomLeft" activeCell="F645" sqref="F645"/>
    </sheetView>
  </sheetViews>
  <sheetFormatPr defaultColWidth="9" defaultRowHeight="14.25"/>
  <cols>
    <col min="1" max="2" width="6.63333333333333" style="6" customWidth="1"/>
    <col min="3" max="3" width="10.6333333333333" style="6" customWidth="1"/>
    <col min="4" max="4" width="12.6333333333333" style="6" customWidth="1"/>
    <col min="5" max="7" width="5.63333333333333" style="6" customWidth="1"/>
    <col min="8" max="8" width="12.6333333333333" style="6" customWidth="1"/>
    <col min="9" max="10" width="8.63333333333333" style="6" customWidth="1"/>
    <col min="11" max="16383" width="9" style="6"/>
  </cols>
  <sheetData>
    <row r="1" ht="20" customHeight="1" spans="1:10">
      <c r="A1" s="16" t="str">
        <f>巡视!$A$1&amp;"座位安排-班级"</f>
        <v>2025-2026学年高二第一学期期中考座位安排-班级</v>
      </c>
      <c r="B1" s="16"/>
      <c r="C1" s="16"/>
      <c r="D1" s="16"/>
      <c r="E1" s="16"/>
      <c r="F1" s="16"/>
      <c r="G1" s="16"/>
      <c r="H1" s="16"/>
      <c r="I1" s="16"/>
      <c r="J1" s="16"/>
    </row>
    <row r="2" s="15" customFormat="1" ht="20" customHeight="1" spans="1:10">
      <c r="A2" s="17" t="s">
        <v>193</v>
      </c>
      <c r="B2" s="17" t="s">
        <v>194</v>
      </c>
      <c r="C2" s="17" t="s">
        <v>56</v>
      </c>
      <c r="D2" s="17" t="s">
        <v>190</v>
      </c>
      <c r="E2" s="17" t="s">
        <v>1908</v>
      </c>
      <c r="F2" s="17" t="s">
        <v>1909</v>
      </c>
      <c r="G2" s="17" t="s">
        <v>1910</v>
      </c>
      <c r="H2" s="17" t="s">
        <v>196</v>
      </c>
      <c r="I2" s="17" t="s">
        <v>195</v>
      </c>
      <c r="J2" s="17" t="s">
        <v>1911</v>
      </c>
    </row>
    <row r="3" ht="16" customHeight="1" outlineLevel="2" spans="1:10">
      <c r="A3" s="18">
        <v>1</v>
      </c>
      <c r="B3" s="18">
        <v>1</v>
      </c>
      <c r="C3" s="19" t="s">
        <v>899</v>
      </c>
      <c r="D3" s="19" t="s">
        <v>898</v>
      </c>
      <c r="E3" s="19" t="s">
        <v>65</v>
      </c>
      <c r="F3" s="8" t="s">
        <v>67</v>
      </c>
      <c r="G3" s="8" t="s">
        <v>68</v>
      </c>
      <c r="H3" s="19" t="s">
        <v>132</v>
      </c>
      <c r="I3" s="19" t="s">
        <v>843</v>
      </c>
      <c r="J3" s="19" t="s">
        <v>292</v>
      </c>
    </row>
    <row r="4" ht="16" customHeight="1" outlineLevel="2" spans="1:10">
      <c r="A4" s="18">
        <v>1</v>
      </c>
      <c r="B4" s="18">
        <v>2</v>
      </c>
      <c r="C4" s="19" t="s">
        <v>867</v>
      </c>
      <c r="D4" s="19" t="s">
        <v>866</v>
      </c>
      <c r="E4" s="19" t="s">
        <v>65</v>
      </c>
      <c r="F4" s="8" t="s">
        <v>67</v>
      </c>
      <c r="G4" s="8" t="s">
        <v>68</v>
      </c>
      <c r="H4" s="19" t="s">
        <v>132</v>
      </c>
      <c r="I4" s="19" t="s">
        <v>843</v>
      </c>
      <c r="J4" s="19" t="s">
        <v>244</v>
      </c>
    </row>
    <row r="5" ht="16" customHeight="1" outlineLevel="2" spans="1:10">
      <c r="A5" s="18">
        <v>1</v>
      </c>
      <c r="B5" s="18">
        <v>3</v>
      </c>
      <c r="C5" s="19" t="s">
        <v>1130</v>
      </c>
      <c r="D5" s="19" t="s">
        <v>1129</v>
      </c>
      <c r="E5" s="19" t="s">
        <v>65</v>
      </c>
      <c r="F5" s="8" t="s">
        <v>67</v>
      </c>
      <c r="G5" s="8" t="s">
        <v>68</v>
      </c>
      <c r="H5" s="7" t="s">
        <v>145</v>
      </c>
      <c r="I5" s="19" t="s">
        <v>1098</v>
      </c>
      <c r="J5" s="7" t="s">
        <v>256</v>
      </c>
    </row>
    <row r="6" ht="16" customHeight="1" outlineLevel="2" spans="1:10">
      <c r="A6" s="18">
        <v>1</v>
      </c>
      <c r="B6" s="18">
        <v>4</v>
      </c>
      <c r="C6" s="19" t="s">
        <v>728</v>
      </c>
      <c r="D6" s="19" t="s">
        <v>727</v>
      </c>
      <c r="E6" s="19" t="s">
        <v>65</v>
      </c>
      <c r="F6" s="8" t="s">
        <v>67</v>
      </c>
      <c r="G6" s="8" t="s">
        <v>68</v>
      </c>
      <c r="H6" s="19" t="s">
        <v>118</v>
      </c>
      <c r="I6" s="19" t="s">
        <v>674</v>
      </c>
      <c r="J6" s="19" t="s">
        <v>289</v>
      </c>
    </row>
    <row r="7" ht="16" customHeight="1" outlineLevel="2" spans="1:10">
      <c r="A7" s="18">
        <v>1</v>
      </c>
      <c r="B7" s="18">
        <v>5</v>
      </c>
      <c r="C7" s="19" t="s">
        <v>974</v>
      </c>
      <c r="D7" s="19" t="s">
        <v>973</v>
      </c>
      <c r="E7" s="19" t="s">
        <v>65</v>
      </c>
      <c r="F7" s="8" t="s">
        <v>67</v>
      </c>
      <c r="G7" s="8" t="s">
        <v>68</v>
      </c>
      <c r="H7" s="19" t="s">
        <v>137</v>
      </c>
      <c r="I7" s="19" t="s">
        <v>928</v>
      </c>
      <c r="J7" s="19" t="s">
        <v>277</v>
      </c>
    </row>
    <row r="8" ht="16" customHeight="1" outlineLevel="2" spans="1:10">
      <c r="A8" s="18">
        <v>1</v>
      </c>
      <c r="B8" s="18">
        <v>6</v>
      </c>
      <c r="C8" s="19" t="s">
        <v>639</v>
      </c>
      <c r="D8" s="19" t="s">
        <v>638</v>
      </c>
      <c r="E8" s="19" t="s">
        <v>65</v>
      </c>
      <c r="F8" s="8" t="s">
        <v>67</v>
      </c>
      <c r="G8" s="8" t="s">
        <v>68</v>
      </c>
      <c r="H8" s="19" t="s">
        <v>110</v>
      </c>
      <c r="I8" s="19" t="s">
        <v>589</v>
      </c>
      <c r="J8" s="19" t="s">
        <v>283</v>
      </c>
    </row>
    <row r="9" ht="16" customHeight="1" outlineLevel="2" spans="1:10">
      <c r="A9" s="18">
        <v>1</v>
      </c>
      <c r="B9" s="18">
        <v>7</v>
      </c>
      <c r="C9" s="19" t="s">
        <v>966</v>
      </c>
      <c r="D9" s="19" t="s">
        <v>965</v>
      </c>
      <c r="E9" s="19" t="s">
        <v>65</v>
      </c>
      <c r="F9" s="8" t="s">
        <v>67</v>
      </c>
      <c r="G9" s="8" t="s">
        <v>68</v>
      </c>
      <c r="H9" s="19" t="s">
        <v>137</v>
      </c>
      <c r="I9" s="19" t="s">
        <v>928</v>
      </c>
      <c r="J9" s="19" t="s">
        <v>265</v>
      </c>
    </row>
    <row r="10" ht="16" customHeight="1" outlineLevel="2" spans="1:10">
      <c r="A10" s="18">
        <v>1</v>
      </c>
      <c r="B10" s="18">
        <v>8</v>
      </c>
      <c r="C10" s="19" t="s">
        <v>390</v>
      </c>
      <c r="D10" s="19" t="s">
        <v>389</v>
      </c>
      <c r="E10" s="19" t="s">
        <v>65</v>
      </c>
      <c r="F10" s="8" t="s">
        <v>67</v>
      </c>
      <c r="G10" s="8" t="s">
        <v>68</v>
      </c>
      <c r="H10" s="19" t="s">
        <v>86</v>
      </c>
      <c r="I10" s="19" t="s">
        <v>334</v>
      </c>
      <c r="J10" s="19" t="s">
        <v>292</v>
      </c>
    </row>
    <row r="11" ht="16" customHeight="1" outlineLevel="2" spans="1:10">
      <c r="A11" s="18">
        <v>1</v>
      </c>
      <c r="B11" s="18">
        <v>9</v>
      </c>
      <c r="C11" s="19" t="s">
        <v>881</v>
      </c>
      <c r="D11" s="19" t="s">
        <v>880</v>
      </c>
      <c r="E11" s="19" t="s">
        <v>65</v>
      </c>
      <c r="F11" s="8" t="s">
        <v>67</v>
      </c>
      <c r="G11" s="8" t="s">
        <v>68</v>
      </c>
      <c r="H11" s="19" t="s">
        <v>132</v>
      </c>
      <c r="I11" s="19" t="s">
        <v>843</v>
      </c>
      <c r="J11" s="19" t="s">
        <v>265</v>
      </c>
    </row>
    <row r="12" ht="16" customHeight="1" outlineLevel="2" spans="1:10">
      <c r="A12" s="18">
        <v>1</v>
      </c>
      <c r="B12" s="18">
        <v>10</v>
      </c>
      <c r="C12" s="19" t="s">
        <v>1840</v>
      </c>
      <c r="D12" s="19" t="s">
        <v>1839</v>
      </c>
      <c r="E12" s="19" t="s">
        <v>65</v>
      </c>
      <c r="F12" s="8" t="s">
        <v>67</v>
      </c>
      <c r="G12" s="8" t="s">
        <v>68</v>
      </c>
      <c r="H12" s="19" t="s">
        <v>155</v>
      </c>
      <c r="I12" s="19" t="s">
        <v>1779</v>
      </c>
      <c r="J12" s="19" t="s">
        <v>298</v>
      </c>
    </row>
    <row r="13" ht="16" customHeight="1" outlineLevel="2" spans="1:10">
      <c r="A13" s="18">
        <v>1</v>
      </c>
      <c r="B13" s="18">
        <v>11</v>
      </c>
      <c r="C13" s="19" t="s">
        <v>330</v>
      </c>
      <c r="D13" s="19" t="s">
        <v>329</v>
      </c>
      <c r="E13" s="19" t="s">
        <v>65</v>
      </c>
      <c r="F13" s="8" t="s">
        <v>67</v>
      </c>
      <c r="G13" s="8" t="s">
        <v>68</v>
      </c>
      <c r="H13" s="19" t="s">
        <v>73</v>
      </c>
      <c r="I13" s="19" t="s">
        <v>206</v>
      </c>
      <c r="J13" s="19" t="s">
        <v>331</v>
      </c>
    </row>
    <row r="14" ht="16" customHeight="1" outlineLevel="2" spans="1:10">
      <c r="A14" s="18">
        <v>1</v>
      </c>
      <c r="B14" s="18">
        <v>12</v>
      </c>
      <c r="C14" s="19" t="s">
        <v>1085</v>
      </c>
      <c r="D14" s="19" t="s">
        <v>1084</v>
      </c>
      <c r="E14" s="19" t="s">
        <v>65</v>
      </c>
      <c r="F14" s="8" t="s">
        <v>67</v>
      </c>
      <c r="G14" s="8" t="s">
        <v>68</v>
      </c>
      <c r="H14" s="19" t="s">
        <v>141</v>
      </c>
      <c r="I14" s="19" t="s">
        <v>1013</v>
      </c>
      <c r="J14" s="19" t="s">
        <v>316</v>
      </c>
    </row>
    <row r="15" ht="16" customHeight="1" outlineLevel="2" spans="1:10">
      <c r="A15" s="18">
        <v>1</v>
      </c>
      <c r="B15" s="18">
        <v>13</v>
      </c>
      <c r="C15" s="19" t="s">
        <v>822</v>
      </c>
      <c r="D15" s="19" t="s">
        <v>821</v>
      </c>
      <c r="E15" s="19" t="s">
        <v>65</v>
      </c>
      <c r="F15" s="8" t="s">
        <v>67</v>
      </c>
      <c r="G15" s="8" t="s">
        <v>68</v>
      </c>
      <c r="H15" s="19" t="s">
        <v>123</v>
      </c>
      <c r="I15" s="19" t="s">
        <v>758</v>
      </c>
      <c r="J15" s="19" t="s">
        <v>304</v>
      </c>
    </row>
    <row r="16" ht="16" customHeight="1" outlineLevel="2" spans="1:10">
      <c r="A16" s="18">
        <v>1</v>
      </c>
      <c r="B16" s="18">
        <v>14</v>
      </c>
      <c r="C16" s="19" t="s">
        <v>518</v>
      </c>
      <c r="D16" s="19" t="s">
        <v>517</v>
      </c>
      <c r="E16" s="19" t="s">
        <v>65</v>
      </c>
      <c r="F16" s="8" t="s">
        <v>67</v>
      </c>
      <c r="G16" s="8" t="s">
        <v>68</v>
      </c>
      <c r="H16" s="19" t="s">
        <v>104</v>
      </c>
      <c r="I16" s="19" t="s">
        <v>504</v>
      </c>
      <c r="J16" s="19" t="s">
        <v>229</v>
      </c>
    </row>
    <row r="17" ht="16" customHeight="1" outlineLevel="2" spans="1:10">
      <c r="A17" s="18">
        <v>1</v>
      </c>
      <c r="B17" s="18">
        <v>15</v>
      </c>
      <c r="C17" s="19" t="s">
        <v>246</v>
      </c>
      <c r="D17" s="19" t="s">
        <v>245</v>
      </c>
      <c r="E17" s="19" t="s">
        <v>65</v>
      </c>
      <c r="F17" s="8" t="s">
        <v>67</v>
      </c>
      <c r="G17" s="8" t="s">
        <v>68</v>
      </c>
      <c r="H17" s="19" t="s">
        <v>73</v>
      </c>
      <c r="I17" s="19" t="s">
        <v>206</v>
      </c>
      <c r="J17" s="19" t="s">
        <v>247</v>
      </c>
    </row>
    <row r="18" ht="16" customHeight="1" outlineLevel="2" spans="1:10">
      <c r="A18" s="18">
        <v>1</v>
      </c>
      <c r="B18" s="18">
        <v>16</v>
      </c>
      <c r="C18" s="19" t="s">
        <v>751</v>
      </c>
      <c r="D18" s="19" t="s">
        <v>750</v>
      </c>
      <c r="E18" s="19" t="s">
        <v>65</v>
      </c>
      <c r="F18" s="8" t="s">
        <v>67</v>
      </c>
      <c r="G18" s="8" t="s">
        <v>68</v>
      </c>
      <c r="H18" s="19" t="s">
        <v>118</v>
      </c>
      <c r="I18" s="19" t="s">
        <v>674</v>
      </c>
      <c r="J18" s="19" t="s">
        <v>325</v>
      </c>
    </row>
    <row r="19" ht="16" customHeight="1" outlineLevel="2" spans="1:10">
      <c r="A19" s="18">
        <v>1</v>
      </c>
      <c r="B19" s="18">
        <v>17</v>
      </c>
      <c r="C19" s="19" t="s">
        <v>832</v>
      </c>
      <c r="D19" s="19" t="s">
        <v>831</v>
      </c>
      <c r="E19" s="19" t="s">
        <v>65</v>
      </c>
      <c r="F19" s="8" t="s">
        <v>67</v>
      </c>
      <c r="G19" s="8" t="s">
        <v>68</v>
      </c>
      <c r="H19" s="19" t="s">
        <v>123</v>
      </c>
      <c r="I19" s="19" t="s">
        <v>758</v>
      </c>
      <c r="J19" s="19" t="s">
        <v>319</v>
      </c>
    </row>
    <row r="20" ht="16" customHeight="1" outlineLevel="2" spans="1:10">
      <c r="A20" s="18">
        <v>1</v>
      </c>
      <c r="B20" s="18">
        <v>18</v>
      </c>
      <c r="C20" s="19" t="s">
        <v>972</v>
      </c>
      <c r="D20" s="19" t="s">
        <v>971</v>
      </c>
      <c r="E20" s="19" t="s">
        <v>65</v>
      </c>
      <c r="F20" s="8" t="s">
        <v>67</v>
      </c>
      <c r="G20" s="8" t="s">
        <v>68</v>
      </c>
      <c r="H20" s="19" t="s">
        <v>137</v>
      </c>
      <c r="I20" s="19" t="s">
        <v>928</v>
      </c>
      <c r="J20" s="19" t="s">
        <v>274</v>
      </c>
    </row>
    <row r="21" ht="16" customHeight="1" outlineLevel="2" spans="1:10">
      <c r="A21" s="18">
        <v>1</v>
      </c>
      <c r="B21" s="18">
        <v>19</v>
      </c>
      <c r="C21" s="19" t="s">
        <v>718</v>
      </c>
      <c r="D21" s="19" t="s">
        <v>717</v>
      </c>
      <c r="E21" s="19" t="s">
        <v>65</v>
      </c>
      <c r="F21" s="8" t="s">
        <v>67</v>
      </c>
      <c r="G21" s="8" t="s">
        <v>68</v>
      </c>
      <c r="H21" s="19" t="s">
        <v>118</v>
      </c>
      <c r="I21" s="19" t="s">
        <v>674</v>
      </c>
      <c r="J21" s="19" t="s">
        <v>274</v>
      </c>
    </row>
    <row r="22" ht="16" customHeight="1" outlineLevel="2" spans="1:10">
      <c r="A22" s="18">
        <v>1</v>
      </c>
      <c r="B22" s="18">
        <v>20</v>
      </c>
      <c r="C22" s="19" t="s">
        <v>593</v>
      </c>
      <c r="D22" s="19" t="s">
        <v>592</v>
      </c>
      <c r="E22" s="19" t="s">
        <v>65</v>
      </c>
      <c r="F22" s="8" t="s">
        <v>67</v>
      </c>
      <c r="G22" s="8" t="s">
        <v>68</v>
      </c>
      <c r="H22" s="7" t="s">
        <v>110</v>
      </c>
      <c r="I22" s="19" t="s">
        <v>589</v>
      </c>
      <c r="J22" s="7" t="s">
        <v>214</v>
      </c>
    </row>
    <row r="23" ht="16" customHeight="1" outlineLevel="2" spans="1:10">
      <c r="A23" s="18">
        <v>1</v>
      </c>
      <c r="B23" s="18">
        <v>21</v>
      </c>
      <c r="C23" s="19" t="s">
        <v>838</v>
      </c>
      <c r="D23" s="19" t="s">
        <v>837</v>
      </c>
      <c r="E23" s="19" t="s">
        <v>65</v>
      </c>
      <c r="F23" s="8" t="s">
        <v>67</v>
      </c>
      <c r="G23" s="8" t="s">
        <v>68</v>
      </c>
      <c r="H23" s="19" t="s">
        <v>123</v>
      </c>
      <c r="I23" s="19" t="s">
        <v>758</v>
      </c>
      <c r="J23" s="19" t="s">
        <v>328</v>
      </c>
    </row>
    <row r="24" ht="16" customHeight="1" outlineLevel="2" spans="1:10">
      <c r="A24" s="18">
        <v>1</v>
      </c>
      <c r="B24" s="18">
        <v>22</v>
      </c>
      <c r="C24" s="19" t="s">
        <v>692</v>
      </c>
      <c r="D24" s="19" t="s">
        <v>691</v>
      </c>
      <c r="E24" s="19" t="s">
        <v>65</v>
      </c>
      <c r="F24" s="8" t="s">
        <v>67</v>
      </c>
      <c r="G24" s="8" t="s">
        <v>68</v>
      </c>
      <c r="H24" s="19" t="s">
        <v>118</v>
      </c>
      <c r="I24" s="19" t="s">
        <v>674</v>
      </c>
      <c r="J24" s="19" t="s">
        <v>235</v>
      </c>
    </row>
    <row r="25" ht="16" customHeight="1" outlineLevel="2" spans="1:10">
      <c r="A25" s="18">
        <v>1</v>
      </c>
      <c r="B25" s="18">
        <v>23</v>
      </c>
      <c r="C25" s="19" t="s">
        <v>544</v>
      </c>
      <c r="D25" s="19" t="s">
        <v>543</v>
      </c>
      <c r="E25" s="19" t="s">
        <v>65</v>
      </c>
      <c r="F25" s="8" t="s">
        <v>67</v>
      </c>
      <c r="G25" s="8" t="s">
        <v>68</v>
      </c>
      <c r="H25" s="7" t="s">
        <v>104</v>
      </c>
      <c r="I25" s="19" t="s">
        <v>504</v>
      </c>
      <c r="J25" s="7" t="s">
        <v>268</v>
      </c>
    </row>
    <row r="26" ht="16" customHeight="1" outlineLevel="2" spans="1:10">
      <c r="A26" s="18">
        <v>1</v>
      </c>
      <c r="B26" s="18">
        <v>24</v>
      </c>
      <c r="C26" s="19" t="s">
        <v>459</v>
      </c>
      <c r="D26" s="19" t="s">
        <v>458</v>
      </c>
      <c r="E26" s="19" t="s">
        <v>65</v>
      </c>
      <c r="F26" s="8" t="s">
        <v>67</v>
      </c>
      <c r="G26" s="8" t="s">
        <v>68</v>
      </c>
      <c r="H26" s="19" t="s">
        <v>95</v>
      </c>
      <c r="I26" s="19" t="s">
        <v>419</v>
      </c>
      <c r="J26" s="19" t="s">
        <v>268</v>
      </c>
    </row>
    <row r="27" ht="16" customHeight="1" outlineLevel="2" spans="1:10">
      <c r="A27" s="18">
        <v>1</v>
      </c>
      <c r="B27" s="18">
        <v>25</v>
      </c>
      <c r="C27" s="19" t="s">
        <v>1063</v>
      </c>
      <c r="D27" s="19" t="s">
        <v>1062</v>
      </c>
      <c r="E27" s="19" t="s">
        <v>65</v>
      </c>
      <c r="F27" s="8" t="s">
        <v>67</v>
      </c>
      <c r="G27" s="8" t="s">
        <v>68</v>
      </c>
      <c r="H27" s="19" t="s">
        <v>141</v>
      </c>
      <c r="I27" s="19" t="s">
        <v>1013</v>
      </c>
      <c r="J27" s="19" t="s">
        <v>283</v>
      </c>
    </row>
    <row r="28" ht="16" customHeight="1" outlineLevel="2" spans="1:10">
      <c r="A28" s="18">
        <v>1</v>
      </c>
      <c r="B28" s="18">
        <v>26</v>
      </c>
      <c r="C28" s="19" t="s">
        <v>766</v>
      </c>
      <c r="D28" s="19" t="s">
        <v>765</v>
      </c>
      <c r="E28" s="19" t="s">
        <v>65</v>
      </c>
      <c r="F28" s="8" t="s">
        <v>67</v>
      </c>
      <c r="G28" s="8" t="s">
        <v>68</v>
      </c>
      <c r="H28" s="19" t="s">
        <v>123</v>
      </c>
      <c r="I28" s="19" t="s">
        <v>758</v>
      </c>
      <c r="J28" s="19" t="s">
        <v>220</v>
      </c>
    </row>
    <row r="29" ht="16" customHeight="1" outlineLevel="2" spans="1:10">
      <c r="A29" s="18">
        <v>1</v>
      </c>
      <c r="B29" s="18">
        <v>28</v>
      </c>
      <c r="C29" s="19" t="s">
        <v>883</v>
      </c>
      <c r="D29" s="19" t="s">
        <v>882</v>
      </c>
      <c r="E29" s="19" t="s">
        <v>65</v>
      </c>
      <c r="F29" s="8" t="s">
        <v>67</v>
      </c>
      <c r="G29" s="8" t="s">
        <v>68</v>
      </c>
      <c r="H29" s="19" t="s">
        <v>132</v>
      </c>
      <c r="I29" s="19" t="s">
        <v>843</v>
      </c>
      <c r="J29" s="19" t="s">
        <v>268</v>
      </c>
    </row>
    <row r="30" ht="16" customHeight="1" outlineLevel="2" spans="1:10">
      <c r="A30" s="18">
        <v>1</v>
      </c>
      <c r="B30" s="18">
        <v>29</v>
      </c>
      <c r="C30" s="19" t="s">
        <v>730</v>
      </c>
      <c r="D30" s="19" t="s">
        <v>729</v>
      </c>
      <c r="E30" s="19" t="s">
        <v>65</v>
      </c>
      <c r="F30" s="8" t="s">
        <v>67</v>
      </c>
      <c r="G30" s="8" t="s">
        <v>68</v>
      </c>
      <c r="H30" s="19" t="s">
        <v>118</v>
      </c>
      <c r="I30" s="19" t="s">
        <v>674</v>
      </c>
      <c r="J30" s="19" t="s">
        <v>292</v>
      </c>
    </row>
    <row r="31" ht="16" customHeight="1" outlineLevel="2" spans="1:10">
      <c r="A31" s="18">
        <v>1</v>
      </c>
      <c r="B31" s="18">
        <v>30</v>
      </c>
      <c r="C31" s="19" t="s">
        <v>578</v>
      </c>
      <c r="D31" s="19" t="s">
        <v>577</v>
      </c>
      <c r="E31" s="19" t="s">
        <v>65</v>
      </c>
      <c r="F31" s="8" t="s">
        <v>67</v>
      </c>
      <c r="G31" s="8" t="s">
        <v>68</v>
      </c>
      <c r="H31" s="19" t="s">
        <v>104</v>
      </c>
      <c r="I31" s="19" t="s">
        <v>504</v>
      </c>
      <c r="J31" s="19" t="s">
        <v>319</v>
      </c>
    </row>
    <row r="32" ht="16" customHeight="1" outlineLevel="2" spans="1:10">
      <c r="A32" s="18">
        <v>1</v>
      </c>
      <c r="B32" s="18">
        <v>31</v>
      </c>
      <c r="C32" s="19" t="s">
        <v>1140</v>
      </c>
      <c r="D32" s="19" t="s">
        <v>1139</v>
      </c>
      <c r="E32" s="19" t="s">
        <v>65</v>
      </c>
      <c r="F32" s="8" t="s">
        <v>67</v>
      </c>
      <c r="G32" s="8" t="s">
        <v>68</v>
      </c>
      <c r="H32" s="19" t="s">
        <v>145</v>
      </c>
      <c r="I32" s="19" t="s">
        <v>1098</v>
      </c>
      <c r="J32" s="19" t="s">
        <v>271</v>
      </c>
    </row>
    <row r="33" ht="16" customHeight="1" outlineLevel="2" spans="1:10">
      <c r="A33" s="18">
        <v>1</v>
      </c>
      <c r="B33" s="18">
        <v>33</v>
      </c>
      <c r="C33" s="19" t="s">
        <v>1071</v>
      </c>
      <c r="D33" s="19" t="s">
        <v>1070</v>
      </c>
      <c r="E33" s="19" t="s">
        <v>65</v>
      </c>
      <c r="F33" s="8" t="s">
        <v>67</v>
      </c>
      <c r="G33" s="8" t="s">
        <v>68</v>
      </c>
      <c r="H33" s="19" t="s">
        <v>141</v>
      </c>
      <c r="I33" s="19" t="s">
        <v>1013</v>
      </c>
      <c r="J33" s="19" t="s">
        <v>295</v>
      </c>
    </row>
    <row r="34" ht="16" customHeight="1" outlineLevel="2" spans="1:10">
      <c r="A34" s="18">
        <v>1</v>
      </c>
      <c r="B34" s="18">
        <v>34</v>
      </c>
      <c r="C34" s="19" t="s">
        <v>847</v>
      </c>
      <c r="D34" s="19" t="s">
        <v>846</v>
      </c>
      <c r="E34" s="19" t="s">
        <v>65</v>
      </c>
      <c r="F34" s="8" t="s">
        <v>67</v>
      </c>
      <c r="G34" s="8" t="s">
        <v>68</v>
      </c>
      <c r="H34" s="19" t="s">
        <v>132</v>
      </c>
      <c r="I34" s="19" t="s">
        <v>843</v>
      </c>
      <c r="J34" s="19" t="s">
        <v>214</v>
      </c>
    </row>
    <row r="35" ht="16" customHeight="1" outlineLevel="2" spans="1:10">
      <c r="A35" s="18">
        <v>1</v>
      </c>
      <c r="B35" s="18">
        <v>35</v>
      </c>
      <c r="C35" s="19" t="s">
        <v>1023</v>
      </c>
      <c r="D35" s="19" t="s">
        <v>1022</v>
      </c>
      <c r="E35" s="19" t="s">
        <v>65</v>
      </c>
      <c r="F35" s="8" t="s">
        <v>67</v>
      </c>
      <c r="G35" s="8" t="s">
        <v>68</v>
      </c>
      <c r="H35" s="19" t="s">
        <v>141</v>
      </c>
      <c r="I35" s="19" t="s">
        <v>1013</v>
      </c>
      <c r="J35" s="19" t="s">
        <v>223</v>
      </c>
    </row>
    <row r="36" ht="16" customHeight="1" outlineLevel="2" spans="1:10">
      <c r="A36" s="18">
        <v>1</v>
      </c>
      <c r="B36" s="18">
        <v>36</v>
      </c>
      <c r="C36" s="19" t="s">
        <v>240</v>
      </c>
      <c r="D36" s="19" t="s">
        <v>239</v>
      </c>
      <c r="E36" s="19" t="s">
        <v>65</v>
      </c>
      <c r="F36" s="8" t="s">
        <v>67</v>
      </c>
      <c r="G36" s="8" t="s">
        <v>68</v>
      </c>
      <c r="H36" s="19" t="s">
        <v>73</v>
      </c>
      <c r="I36" s="19" t="s">
        <v>206</v>
      </c>
      <c r="J36" s="19" t="s">
        <v>241</v>
      </c>
    </row>
    <row r="37" ht="16" customHeight="1" outlineLevel="2" spans="1:10">
      <c r="A37" s="18">
        <v>1</v>
      </c>
      <c r="B37" s="18">
        <v>37</v>
      </c>
      <c r="C37" s="19" t="s">
        <v>921</v>
      </c>
      <c r="D37" s="19" t="s">
        <v>920</v>
      </c>
      <c r="E37" s="19" t="s">
        <v>65</v>
      </c>
      <c r="F37" s="8" t="s">
        <v>67</v>
      </c>
      <c r="G37" s="8" t="s">
        <v>68</v>
      </c>
      <c r="H37" s="19" t="s">
        <v>132</v>
      </c>
      <c r="I37" s="19" t="s">
        <v>843</v>
      </c>
      <c r="J37" s="19" t="s">
        <v>325</v>
      </c>
    </row>
    <row r="38" ht="16" customHeight="1" outlineLevel="2" spans="1:10">
      <c r="A38" s="18">
        <v>1</v>
      </c>
      <c r="B38" s="18">
        <v>38</v>
      </c>
      <c r="C38" s="19" t="s">
        <v>467</v>
      </c>
      <c r="D38" s="19" t="s">
        <v>466</v>
      </c>
      <c r="E38" s="19" t="s">
        <v>65</v>
      </c>
      <c r="F38" s="8" t="s">
        <v>67</v>
      </c>
      <c r="G38" s="8" t="s">
        <v>68</v>
      </c>
      <c r="H38" s="19" t="s">
        <v>95</v>
      </c>
      <c r="I38" s="19" t="s">
        <v>419</v>
      </c>
      <c r="J38" s="19" t="s">
        <v>280</v>
      </c>
    </row>
    <row r="39" ht="16" customHeight="1" outlineLevel="2" spans="1:10">
      <c r="A39" s="18">
        <v>1</v>
      </c>
      <c r="B39" s="18">
        <v>39</v>
      </c>
      <c r="C39" s="19" t="s">
        <v>358</v>
      </c>
      <c r="D39" s="19" t="s">
        <v>357</v>
      </c>
      <c r="E39" s="19" t="s">
        <v>65</v>
      </c>
      <c r="F39" s="8" t="s">
        <v>67</v>
      </c>
      <c r="G39" s="8" t="s">
        <v>68</v>
      </c>
      <c r="H39" s="19" t="s">
        <v>86</v>
      </c>
      <c r="I39" s="19" t="s">
        <v>334</v>
      </c>
      <c r="J39" s="19" t="s">
        <v>244</v>
      </c>
    </row>
    <row r="40" ht="16" customHeight="1" outlineLevel="2" spans="1:10">
      <c r="A40" s="18">
        <v>1</v>
      </c>
      <c r="B40" s="18">
        <v>40</v>
      </c>
      <c r="C40" s="19" t="s">
        <v>404</v>
      </c>
      <c r="D40" s="19" t="s">
        <v>403</v>
      </c>
      <c r="E40" s="19" t="s">
        <v>65</v>
      </c>
      <c r="F40" s="8" t="s">
        <v>67</v>
      </c>
      <c r="G40" s="8" t="s">
        <v>68</v>
      </c>
      <c r="H40" s="19" t="s">
        <v>86</v>
      </c>
      <c r="I40" s="19" t="s">
        <v>334</v>
      </c>
      <c r="J40" s="19" t="s">
        <v>313</v>
      </c>
    </row>
    <row r="41" ht="16" customHeight="1" outlineLevel="2" spans="1:10">
      <c r="A41" s="18">
        <v>1</v>
      </c>
      <c r="B41" s="18">
        <v>41</v>
      </c>
      <c r="C41" s="19" t="s">
        <v>992</v>
      </c>
      <c r="D41" s="19" t="s">
        <v>991</v>
      </c>
      <c r="E41" s="19" t="s">
        <v>65</v>
      </c>
      <c r="F41" s="8" t="s">
        <v>67</v>
      </c>
      <c r="G41" s="8" t="s">
        <v>68</v>
      </c>
      <c r="H41" s="19" t="s">
        <v>137</v>
      </c>
      <c r="I41" s="19" t="s">
        <v>928</v>
      </c>
      <c r="J41" s="19" t="s">
        <v>304</v>
      </c>
    </row>
    <row r="42" ht="16" customHeight="1" outlineLevel="2" spans="1:10">
      <c r="A42" s="18">
        <v>1</v>
      </c>
      <c r="B42" s="18">
        <v>42</v>
      </c>
      <c r="C42" s="19" t="s">
        <v>1067</v>
      </c>
      <c r="D42" s="19" t="s">
        <v>1066</v>
      </c>
      <c r="E42" s="19" t="s">
        <v>65</v>
      </c>
      <c r="F42" s="8" t="s">
        <v>67</v>
      </c>
      <c r="G42" s="8" t="s">
        <v>68</v>
      </c>
      <c r="H42" s="19" t="s">
        <v>141</v>
      </c>
      <c r="I42" s="19" t="s">
        <v>1013</v>
      </c>
      <c r="J42" s="19" t="s">
        <v>289</v>
      </c>
    </row>
    <row r="43" ht="16" customHeight="1" outlineLevel="2" spans="1:10">
      <c r="A43" s="18">
        <v>1</v>
      </c>
      <c r="B43" s="18">
        <v>43</v>
      </c>
      <c r="C43" s="19" t="s">
        <v>1004</v>
      </c>
      <c r="D43" s="19" t="s">
        <v>1003</v>
      </c>
      <c r="E43" s="19" t="s">
        <v>65</v>
      </c>
      <c r="F43" s="8" t="s">
        <v>67</v>
      </c>
      <c r="G43" s="8" t="s">
        <v>68</v>
      </c>
      <c r="H43" s="19" t="s">
        <v>137</v>
      </c>
      <c r="I43" s="19" t="s">
        <v>928</v>
      </c>
      <c r="J43" s="19" t="s">
        <v>322</v>
      </c>
    </row>
    <row r="44" ht="16" customHeight="1" outlineLevel="2" spans="1:10">
      <c r="A44" s="18">
        <v>1</v>
      </c>
      <c r="B44" s="18">
        <v>44</v>
      </c>
      <c r="C44" s="19" t="s">
        <v>950</v>
      </c>
      <c r="D44" s="19" t="s">
        <v>949</v>
      </c>
      <c r="E44" s="19" t="s">
        <v>65</v>
      </c>
      <c r="F44" s="8" t="s">
        <v>67</v>
      </c>
      <c r="G44" s="8" t="s">
        <v>68</v>
      </c>
      <c r="H44" s="19" t="s">
        <v>137</v>
      </c>
      <c r="I44" s="19" t="s">
        <v>928</v>
      </c>
      <c r="J44" s="19" t="s">
        <v>241</v>
      </c>
    </row>
    <row r="45" ht="16" customHeight="1" outlineLevel="2" spans="1:10">
      <c r="A45" s="18">
        <v>1</v>
      </c>
      <c r="B45" s="18">
        <v>45</v>
      </c>
      <c r="C45" s="19" t="s">
        <v>469</v>
      </c>
      <c r="D45" s="19" t="s">
        <v>468</v>
      </c>
      <c r="E45" s="19" t="s">
        <v>65</v>
      </c>
      <c r="F45" s="8" t="s">
        <v>67</v>
      </c>
      <c r="G45" s="8" t="s">
        <v>68</v>
      </c>
      <c r="H45" s="19" t="s">
        <v>95</v>
      </c>
      <c r="I45" s="19" t="s">
        <v>419</v>
      </c>
      <c r="J45" s="19" t="s">
        <v>283</v>
      </c>
    </row>
    <row r="46" ht="16" customHeight="1" outlineLevel="2" spans="1:10">
      <c r="A46" s="18">
        <v>1</v>
      </c>
      <c r="B46" s="18">
        <v>46</v>
      </c>
      <c r="C46" s="19" t="s">
        <v>923</v>
      </c>
      <c r="D46" s="19" t="s">
        <v>922</v>
      </c>
      <c r="E46" s="19" t="s">
        <v>65</v>
      </c>
      <c r="F46" s="8" t="s">
        <v>67</v>
      </c>
      <c r="G46" s="8" t="s">
        <v>68</v>
      </c>
      <c r="H46" s="19" t="s">
        <v>132</v>
      </c>
      <c r="I46" s="19" t="s">
        <v>843</v>
      </c>
      <c r="J46" s="19" t="s">
        <v>328</v>
      </c>
    </row>
    <row r="47" ht="16" customHeight="1" outlineLevel="2" spans="1:10">
      <c r="A47" s="18">
        <v>1</v>
      </c>
      <c r="B47" s="18">
        <v>47</v>
      </c>
      <c r="C47" s="19" t="s">
        <v>956</v>
      </c>
      <c r="D47" s="19" t="s">
        <v>955</v>
      </c>
      <c r="E47" s="19" t="s">
        <v>65</v>
      </c>
      <c r="F47" s="8" t="s">
        <v>67</v>
      </c>
      <c r="G47" s="8" t="s">
        <v>68</v>
      </c>
      <c r="H47" s="19" t="s">
        <v>137</v>
      </c>
      <c r="I47" s="19" t="s">
        <v>928</v>
      </c>
      <c r="J47" s="19" t="s">
        <v>250</v>
      </c>
    </row>
    <row r="48" ht="16" customHeight="1" outlineLevel="2" spans="1:10">
      <c r="A48" s="18">
        <v>1</v>
      </c>
      <c r="B48" s="18">
        <v>48</v>
      </c>
      <c r="C48" s="19" t="s">
        <v>410</v>
      </c>
      <c r="D48" s="19" t="s">
        <v>409</v>
      </c>
      <c r="E48" s="19" t="s">
        <v>65</v>
      </c>
      <c r="F48" s="8" t="s">
        <v>67</v>
      </c>
      <c r="G48" s="8" t="s">
        <v>68</v>
      </c>
      <c r="H48" s="19" t="s">
        <v>86</v>
      </c>
      <c r="I48" s="19" t="s">
        <v>334</v>
      </c>
      <c r="J48" s="19" t="s">
        <v>322</v>
      </c>
    </row>
    <row r="49" ht="16" customHeight="1" outlineLevel="2" spans="1:10">
      <c r="A49" s="18">
        <v>1</v>
      </c>
      <c r="B49" s="18">
        <v>49</v>
      </c>
      <c r="C49" s="19" t="s">
        <v>607</v>
      </c>
      <c r="D49" s="19" t="s">
        <v>606</v>
      </c>
      <c r="E49" s="19" t="s">
        <v>65</v>
      </c>
      <c r="F49" s="8" t="s">
        <v>67</v>
      </c>
      <c r="G49" s="8" t="s">
        <v>68</v>
      </c>
      <c r="H49" s="19" t="s">
        <v>110</v>
      </c>
      <c r="I49" s="19" t="s">
        <v>589</v>
      </c>
      <c r="J49" s="19" t="s">
        <v>235</v>
      </c>
    </row>
    <row r="50" ht="16" customHeight="1" outlineLevel="2" spans="1:10">
      <c r="A50" s="18">
        <v>1</v>
      </c>
      <c r="B50" s="18">
        <v>50</v>
      </c>
      <c r="C50" s="19" t="s">
        <v>749</v>
      </c>
      <c r="D50" s="19" t="s">
        <v>748</v>
      </c>
      <c r="E50" s="19" t="s">
        <v>65</v>
      </c>
      <c r="F50" s="8" t="s">
        <v>67</v>
      </c>
      <c r="G50" s="8" t="s">
        <v>68</v>
      </c>
      <c r="H50" s="19" t="s">
        <v>118</v>
      </c>
      <c r="I50" s="19" t="s">
        <v>674</v>
      </c>
      <c r="J50" s="19" t="s">
        <v>322</v>
      </c>
    </row>
    <row r="51" ht="16" customHeight="1" outlineLevel="2" spans="1:10">
      <c r="A51" s="18">
        <v>1</v>
      </c>
      <c r="B51" s="18">
        <v>51</v>
      </c>
      <c r="C51" s="19" t="s">
        <v>512</v>
      </c>
      <c r="D51" s="19" t="s">
        <v>511</v>
      </c>
      <c r="E51" s="19" t="s">
        <v>65</v>
      </c>
      <c r="F51" s="8" t="s">
        <v>67</v>
      </c>
      <c r="G51" s="8" t="s">
        <v>68</v>
      </c>
      <c r="H51" s="19" t="s">
        <v>104</v>
      </c>
      <c r="I51" s="19" t="s">
        <v>504</v>
      </c>
      <c r="J51" s="19" t="s">
        <v>220</v>
      </c>
    </row>
    <row r="52" ht="16" customHeight="1" outlineLevel="2" spans="1:10">
      <c r="A52" s="18">
        <v>1</v>
      </c>
      <c r="B52" s="18">
        <v>52</v>
      </c>
      <c r="C52" s="19" t="s">
        <v>1025</v>
      </c>
      <c r="D52" s="19" t="s">
        <v>1024</v>
      </c>
      <c r="E52" s="19" t="s">
        <v>65</v>
      </c>
      <c r="F52" s="8" t="s">
        <v>67</v>
      </c>
      <c r="G52" s="8" t="s">
        <v>68</v>
      </c>
      <c r="H52" s="19" t="s">
        <v>141</v>
      </c>
      <c r="I52" s="19" t="s">
        <v>1013</v>
      </c>
      <c r="J52" s="19" t="s">
        <v>226</v>
      </c>
    </row>
    <row r="53" ht="16" customHeight="1" outlineLevel="1" spans="1:10">
      <c r="A53" s="21" t="s">
        <v>1912</v>
      </c>
      <c r="B53" s="18"/>
      <c r="C53" s="19">
        <f>SUBTOTAL(3,C3:C52)</f>
        <v>50</v>
      </c>
      <c r="D53" s="19"/>
      <c r="E53" s="19"/>
      <c r="F53" s="8"/>
      <c r="G53" s="8"/>
      <c r="H53" s="19"/>
      <c r="I53" s="19"/>
      <c r="J53" s="19"/>
    </row>
    <row r="54" ht="16" customHeight="1" outlineLevel="2" spans="1:10">
      <c r="A54" s="18">
        <v>2</v>
      </c>
      <c r="B54" s="18">
        <v>1</v>
      </c>
      <c r="C54" s="19" t="s">
        <v>473</v>
      </c>
      <c r="D54" s="19" t="s">
        <v>472</v>
      </c>
      <c r="E54" s="19" t="s">
        <v>65</v>
      </c>
      <c r="F54" s="8" t="s">
        <v>67</v>
      </c>
      <c r="G54" s="8" t="s">
        <v>68</v>
      </c>
      <c r="H54" s="19" t="s">
        <v>95</v>
      </c>
      <c r="I54" s="19" t="s">
        <v>419</v>
      </c>
      <c r="J54" s="19" t="s">
        <v>289</v>
      </c>
    </row>
    <row r="55" ht="16" customHeight="1" outlineLevel="2" spans="1:10">
      <c r="A55" s="18">
        <v>2</v>
      </c>
      <c r="B55" s="18">
        <v>2</v>
      </c>
      <c r="C55" s="19" t="s">
        <v>747</v>
      </c>
      <c r="D55" s="19" t="s">
        <v>746</v>
      </c>
      <c r="E55" s="19" t="s">
        <v>65</v>
      </c>
      <c r="F55" s="8" t="s">
        <v>67</v>
      </c>
      <c r="G55" s="8" t="s">
        <v>68</v>
      </c>
      <c r="H55" s="19" t="s">
        <v>118</v>
      </c>
      <c r="I55" s="19" t="s">
        <v>674</v>
      </c>
      <c r="J55" s="19" t="s">
        <v>319</v>
      </c>
    </row>
    <row r="56" ht="16" customHeight="1" outlineLevel="2" spans="1:10">
      <c r="A56" s="18">
        <v>2</v>
      </c>
      <c r="B56" s="18">
        <v>3</v>
      </c>
      <c r="C56" s="19" t="s">
        <v>336</v>
      </c>
      <c r="D56" s="19" t="s">
        <v>335</v>
      </c>
      <c r="E56" s="19" t="s">
        <v>65</v>
      </c>
      <c r="F56" s="8" t="s">
        <v>67</v>
      </c>
      <c r="G56" s="8" t="s">
        <v>68</v>
      </c>
      <c r="H56" s="19" t="s">
        <v>86</v>
      </c>
      <c r="I56" s="19" t="s">
        <v>334</v>
      </c>
      <c r="J56" s="19" t="s">
        <v>210</v>
      </c>
    </row>
    <row r="57" ht="16" customHeight="1" outlineLevel="2" spans="1:10">
      <c r="A57" s="18">
        <v>2</v>
      </c>
      <c r="B57" s="18">
        <v>4</v>
      </c>
      <c r="C57" s="19" t="s">
        <v>352</v>
      </c>
      <c r="D57" s="19" t="s">
        <v>351</v>
      </c>
      <c r="E57" s="19" t="s">
        <v>65</v>
      </c>
      <c r="F57" s="8" t="s">
        <v>67</v>
      </c>
      <c r="G57" s="8" t="s">
        <v>68</v>
      </c>
      <c r="H57" s="19" t="s">
        <v>86</v>
      </c>
      <c r="I57" s="19" t="s">
        <v>334</v>
      </c>
      <c r="J57" s="19" t="s">
        <v>235</v>
      </c>
    </row>
    <row r="58" ht="16" customHeight="1" outlineLevel="2" spans="1:10">
      <c r="A58" s="18">
        <v>2</v>
      </c>
      <c r="B58" s="18">
        <v>5</v>
      </c>
      <c r="C58" s="19" t="s">
        <v>796</v>
      </c>
      <c r="D58" s="19" t="s">
        <v>795</v>
      </c>
      <c r="E58" s="19" t="s">
        <v>65</v>
      </c>
      <c r="F58" s="8" t="s">
        <v>67</v>
      </c>
      <c r="G58" s="8" t="s">
        <v>68</v>
      </c>
      <c r="H58" s="19" t="s">
        <v>123</v>
      </c>
      <c r="I58" s="19" t="s">
        <v>758</v>
      </c>
      <c r="J58" s="19" t="s">
        <v>265</v>
      </c>
    </row>
    <row r="59" ht="16" customHeight="1" outlineLevel="2" spans="1:10">
      <c r="A59" s="18">
        <v>2</v>
      </c>
      <c r="B59" s="18">
        <v>6</v>
      </c>
      <c r="C59" s="19" t="s">
        <v>958</v>
      </c>
      <c r="D59" s="19" t="s">
        <v>957</v>
      </c>
      <c r="E59" s="19" t="s">
        <v>65</v>
      </c>
      <c r="F59" s="8" t="s">
        <v>67</v>
      </c>
      <c r="G59" s="8" t="s">
        <v>68</v>
      </c>
      <c r="H59" s="19" t="s">
        <v>137</v>
      </c>
      <c r="I59" s="19" t="s">
        <v>928</v>
      </c>
      <c r="J59" s="19" t="s">
        <v>253</v>
      </c>
    </row>
    <row r="60" ht="16" customHeight="1" outlineLevel="2" spans="1:10">
      <c r="A60" s="18">
        <v>2</v>
      </c>
      <c r="B60" s="18">
        <v>7</v>
      </c>
      <c r="C60" s="19" t="s">
        <v>503</v>
      </c>
      <c r="D60" s="19" t="s">
        <v>502</v>
      </c>
      <c r="E60" s="19" t="s">
        <v>65</v>
      </c>
      <c r="F60" s="8" t="s">
        <v>67</v>
      </c>
      <c r="G60" s="8" t="s">
        <v>68</v>
      </c>
      <c r="H60" s="19" t="s">
        <v>104</v>
      </c>
      <c r="I60" s="19" t="s">
        <v>504</v>
      </c>
      <c r="J60" s="19" t="s">
        <v>207</v>
      </c>
    </row>
    <row r="61" ht="16" customHeight="1" outlineLevel="2" spans="1:10">
      <c r="A61" s="18">
        <v>2</v>
      </c>
      <c r="B61" s="18">
        <v>8</v>
      </c>
      <c r="C61" s="19" t="s">
        <v>806</v>
      </c>
      <c r="D61" s="19" t="s">
        <v>805</v>
      </c>
      <c r="E61" s="19" t="s">
        <v>65</v>
      </c>
      <c r="F61" s="8" t="s">
        <v>67</v>
      </c>
      <c r="G61" s="8" t="s">
        <v>68</v>
      </c>
      <c r="H61" s="19" t="s">
        <v>123</v>
      </c>
      <c r="I61" s="19" t="s">
        <v>758</v>
      </c>
      <c r="J61" s="19" t="s">
        <v>280</v>
      </c>
    </row>
    <row r="62" ht="16" customHeight="1" outlineLevel="2" spans="1:10">
      <c r="A62" s="18">
        <v>2</v>
      </c>
      <c r="B62" s="18">
        <v>9</v>
      </c>
      <c r="C62" s="19" t="s">
        <v>1174</v>
      </c>
      <c r="D62" s="19" t="s">
        <v>1173</v>
      </c>
      <c r="E62" s="19" t="s">
        <v>65</v>
      </c>
      <c r="F62" s="8" t="s">
        <v>67</v>
      </c>
      <c r="G62" s="8" t="s">
        <v>68</v>
      </c>
      <c r="H62" s="19" t="s">
        <v>145</v>
      </c>
      <c r="I62" s="19" t="s">
        <v>1098</v>
      </c>
      <c r="J62" s="19" t="s">
        <v>322</v>
      </c>
    </row>
    <row r="63" ht="16" customHeight="1" outlineLevel="2" spans="1:10">
      <c r="A63" s="18">
        <v>2</v>
      </c>
      <c r="B63" s="18">
        <v>10</v>
      </c>
      <c r="C63" s="19" t="s">
        <v>487</v>
      </c>
      <c r="D63" s="19" t="s">
        <v>486</v>
      </c>
      <c r="E63" s="19" t="s">
        <v>65</v>
      </c>
      <c r="F63" s="8" t="s">
        <v>67</v>
      </c>
      <c r="G63" s="8" t="s">
        <v>68</v>
      </c>
      <c r="H63" s="19" t="s">
        <v>95</v>
      </c>
      <c r="I63" s="19" t="s">
        <v>419</v>
      </c>
      <c r="J63" s="19" t="s">
        <v>310</v>
      </c>
    </row>
    <row r="64" ht="16" customHeight="1" outlineLevel="2" spans="1:10">
      <c r="A64" s="18">
        <v>2</v>
      </c>
      <c r="B64" s="18">
        <v>11</v>
      </c>
      <c r="C64" s="19" t="s">
        <v>297</v>
      </c>
      <c r="D64" s="19" t="s">
        <v>296</v>
      </c>
      <c r="E64" s="19" t="s">
        <v>65</v>
      </c>
      <c r="F64" s="8" t="s">
        <v>67</v>
      </c>
      <c r="G64" s="8" t="s">
        <v>68</v>
      </c>
      <c r="H64" s="19" t="s">
        <v>73</v>
      </c>
      <c r="I64" s="19" t="s">
        <v>206</v>
      </c>
      <c r="J64" s="19" t="s">
        <v>298</v>
      </c>
    </row>
    <row r="65" ht="16" customHeight="1" outlineLevel="2" spans="1:10">
      <c r="A65" s="18">
        <v>2</v>
      </c>
      <c r="B65" s="18">
        <v>12</v>
      </c>
      <c r="C65" s="19" t="s">
        <v>273</v>
      </c>
      <c r="D65" s="19" t="s">
        <v>272</v>
      </c>
      <c r="E65" s="19" t="s">
        <v>65</v>
      </c>
      <c r="F65" s="8" t="s">
        <v>67</v>
      </c>
      <c r="G65" s="8" t="s">
        <v>68</v>
      </c>
      <c r="H65" s="19" t="s">
        <v>73</v>
      </c>
      <c r="I65" s="19" t="s">
        <v>206</v>
      </c>
      <c r="J65" s="19" t="s">
        <v>274</v>
      </c>
    </row>
    <row r="66" ht="16" customHeight="1" outlineLevel="2" spans="1:10">
      <c r="A66" s="18">
        <v>2</v>
      </c>
      <c r="B66" s="18">
        <v>13</v>
      </c>
      <c r="C66" s="19" t="s">
        <v>463</v>
      </c>
      <c r="D66" s="19" t="s">
        <v>462</v>
      </c>
      <c r="E66" s="19" t="s">
        <v>65</v>
      </c>
      <c r="F66" s="8" t="s">
        <v>67</v>
      </c>
      <c r="G66" s="8" t="s">
        <v>68</v>
      </c>
      <c r="H66" s="19" t="s">
        <v>95</v>
      </c>
      <c r="I66" s="19" t="s">
        <v>419</v>
      </c>
      <c r="J66" s="19" t="s">
        <v>274</v>
      </c>
    </row>
    <row r="67" ht="16" customHeight="1" outlineLevel="2" spans="1:10">
      <c r="A67" s="18">
        <v>2</v>
      </c>
      <c r="B67" s="18">
        <v>14</v>
      </c>
      <c r="C67" s="19" t="s">
        <v>1021</v>
      </c>
      <c r="D67" s="19" t="s">
        <v>1020</v>
      </c>
      <c r="E67" s="19" t="s">
        <v>65</v>
      </c>
      <c r="F67" s="8" t="s">
        <v>67</v>
      </c>
      <c r="G67" s="8" t="s">
        <v>68</v>
      </c>
      <c r="H67" s="19" t="s">
        <v>141</v>
      </c>
      <c r="I67" s="19" t="s">
        <v>1013</v>
      </c>
      <c r="J67" s="19" t="s">
        <v>220</v>
      </c>
    </row>
    <row r="68" ht="16" customHeight="1" outlineLevel="2" spans="1:10">
      <c r="A68" s="18">
        <v>2</v>
      </c>
      <c r="B68" s="18">
        <v>15</v>
      </c>
      <c r="C68" s="19" t="s">
        <v>764</v>
      </c>
      <c r="D68" s="19" t="s">
        <v>763</v>
      </c>
      <c r="E68" s="19" t="s">
        <v>65</v>
      </c>
      <c r="F68" s="8" t="s">
        <v>67</v>
      </c>
      <c r="G68" s="8" t="s">
        <v>68</v>
      </c>
      <c r="H68" s="19" t="s">
        <v>123</v>
      </c>
      <c r="I68" s="19" t="s">
        <v>758</v>
      </c>
      <c r="J68" s="19" t="s">
        <v>217</v>
      </c>
    </row>
    <row r="69" ht="16" customHeight="1" outlineLevel="2" spans="1:10">
      <c r="A69" s="18">
        <v>2</v>
      </c>
      <c r="B69" s="18">
        <v>16</v>
      </c>
      <c r="C69" s="19" t="s">
        <v>980</v>
      </c>
      <c r="D69" s="19" t="s">
        <v>979</v>
      </c>
      <c r="E69" s="19" t="s">
        <v>65</v>
      </c>
      <c r="F69" s="8" t="s">
        <v>67</v>
      </c>
      <c r="G69" s="8" t="s">
        <v>68</v>
      </c>
      <c r="H69" s="19" t="s">
        <v>137</v>
      </c>
      <c r="I69" s="19" t="s">
        <v>928</v>
      </c>
      <c r="J69" s="19" t="s">
        <v>286</v>
      </c>
    </row>
    <row r="70" ht="16" customHeight="1" outlineLevel="2" spans="1:10">
      <c r="A70" s="18">
        <v>2</v>
      </c>
      <c r="B70" s="18">
        <v>17</v>
      </c>
      <c r="C70" s="19" t="s">
        <v>443</v>
      </c>
      <c r="D70" s="19" t="s">
        <v>442</v>
      </c>
      <c r="E70" s="19" t="s">
        <v>65</v>
      </c>
      <c r="F70" s="8" t="s">
        <v>67</v>
      </c>
      <c r="G70" s="8" t="s">
        <v>68</v>
      </c>
      <c r="H70" s="19" t="s">
        <v>95</v>
      </c>
      <c r="I70" s="19" t="s">
        <v>419</v>
      </c>
      <c r="J70" s="19" t="s">
        <v>244</v>
      </c>
    </row>
    <row r="71" ht="16" customHeight="1" outlineLevel="2" spans="1:10">
      <c r="A71" s="18">
        <v>2</v>
      </c>
      <c r="B71" s="18">
        <v>18</v>
      </c>
      <c r="C71" s="19" t="s">
        <v>532</v>
      </c>
      <c r="D71" s="19" t="s">
        <v>531</v>
      </c>
      <c r="E71" s="19" t="s">
        <v>65</v>
      </c>
      <c r="F71" s="8" t="s">
        <v>67</v>
      </c>
      <c r="G71" s="8" t="s">
        <v>68</v>
      </c>
      <c r="H71" s="19" t="s">
        <v>104</v>
      </c>
      <c r="I71" s="19" t="s">
        <v>504</v>
      </c>
      <c r="J71" s="19" t="s">
        <v>250</v>
      </c>
    </row>
    <row r="72" ht="16" customHeight="1" outlineLevel="2" spans="1:10">
      <c r="A72" s="18">
        <v>2</v>
      </c>
      <c r="B72" s="18">
        <v>19</v>
      </c>
      <c r="C72" s="19" t="s">
        <v>657</v>
      </c>
      <c r="D72" s="19" t="s">
        <v>656</v>
      </c>
      <c r="E72" s="19" t="s">
        <v>65</v>
      </c>
      <c r="F72" s="8" t="s">
        <v>67</v>
      </c>
      <c r="G72" s="8" t="s">
        <v>68</v>
      </c>
      <c r="H72" s="19" t="s">
        <v>110</v>
      </c>
      <c r="I72" s="19" t="s">
        <v>589</v>
      </c>
      <c r="J72" s="19" t="s">
        <v>310</v>
      </c>
    </row>
    <row r="73" ht="16" customHeight="1" outlineLevel="2" spans="1:10">
      <c r="A73" s="18">
        <v>2</v>
      </c>
      <c r="B73" s="18">
        <v>20</v>
      </c>
      <c r="C73" s="19" t="s">
        <v>372</v>
      </c>
      <c r="D73" s="19" t="s">
        <v>371</v>
      </c>
      <c r="E73" s="19" t="s">
        <v>65</v>
      </c>
      <c r="F73" s="8" t="s">
        <v>67</v>
      </c>
      <c r="G73" s="8" t="s">
        <v>68</v>
      </c>
      <c r="H73" s="19" t="s">
        <v>86</v>
      </c>
      <c r="I73" s="19" t="s">
        <v>334</v>
      </c>
      <c r="J73" s="19" t="s">
        <v>265</v>
      </c>
    </row>
    <row r="74" ht="16" customHeight="1" outlineLevel="2" spans="1:10">
      <c r="A74" s="18">
        <v>2</v>
      </c>
      <c r="B74" s="18">
        <v>21</v>
      </c>
      <c r="C74" s="19" t="s">
        <v>836</v>
      </c>
      <c r="D74" s="19" t="s">
        <v>835</v>
      </c>
      <c r="E74" s="19" t="s">
        <v>65</v>
      </c>
      <c r="F74" s="8" t="s">
        <v>67</v>
      </c>
      <c r="G74" s="8" t="s">
        <v>68</v>
      </c>
      <c r="H74" s="19" t="s">
        <v>123</v>
      </c>
      <c r="I74" s="19" t="s">
        <v>758</v>
      </c>
      <c r="J74" s="19" t="s">
        <v>325</v>
      </c>
    </row>
    <row r="75" ht="16" customHeight="1" outlineLevel="2" spans="1:10">
      <c r="A75" s="18">
        <v>2</v>
      </c>
      <c r="B75" s="18">
        <v>22</v>
      </c>
      <c r="C75" s="19" t="s">
        <v>845</v>
      </c>
      <c r="D75" s="19" t="s">
        <v>844</v>
      </c>
      <c r="E75" s="19" t="s">
        <v>65</v>
      </c>
      <c r="F75" s="8" t="s">
        <v>67</v>
      </c>
      <c r="G75" s="8" t="s">
        <v>68</v>
      </c>
      <c r="H75" s="19" t="s">
        <v>132</v>
      </c>
      <c r="I75" s="19" t="s">
        <v>843</v>
      </c>
      <c r="J75" s="19" t="s">
        <v>210</v>
      </c>
    </row>
    <row r="76" ht="16" customHeight="1" outlineLevel="2" spans="1:10">
      <c r="A76" s="18">
        <v>2</v>
      </c>
      <c r="B76" s="18">
        <v>23</v>
      </c>
      <c r="C76" s="19" t="s">
        <v>279</v>
      </c>
      <c r="D76" s="19" t="s">
        <v>278</v>
      </c>
      <c r="E76" s="19" t="s">
        <v>65</v>
      </c>
      <c r="F76" s="8" t="s">
        <v>67</v>
      </c>
      <c r="G76" s="8" t="s">
        <v>68</v>
      </c>
      <c r="H76" s="19" t="s">
        <v>73</v>
      </c>
      <c r="I76" s="19" t="s">
        <v>206</v>
      </c>
      <c r="J76" s="19" t="s">
        <v>280</v>
      </c>
    </row>
    <row r="77" ht="16" customHeight="1" outlineLevel="2" spans="1:10">
      <c r="A77" s="18">
        <v>2</v>
      </c>
      <c r="B77" s="18">
        <v>24</v>
      </c>
      <c r="C77" s="19" t="s">
        <v>1000</v>
      </c>
      <c r="D77" s="19" t="s">
        <v>999</v>
      </c>
      <c r="E77" s="19" t="s">
        <v>65</v>
      </c>
      <c r="F77" s="8" t="s">
        <v>67</v>
      </c>
      <c r="G77" s="8" t="s">
        <v>68</v>
      </c>
      <c r="H77" s="19" t="s">
        <v>137</v>
      </c>
      <c r="I77" s="19" t="s">
        <v>928</v>
      </c>
      <c r="J77" s="19" t="s">
        <v>316</v>
      </c>
    </row>
    <row r="78" ht="16" customHeight="1" outlineLevel="2" spans="1:10">
      <c r="A78" s="18">
        <v>2</v>
      </c>
      <c r="B78" s="18">
        <v>25</v>
      </c>
      <c r="C78" s="19" t="s">
        <v>1150</v>
      </c>
      <c r="D78" s="19" t="s">
        <v>1149</v>
      </c>
      <c r="E78" s="19" t="s">
        <v>65</v>
      </c>
      <c r="F78" s="8" t="s">
        <v>67</v>
      </c>
      <c r="G78" s="8" t="s">
        <v>68</v>
      </c>
      <c r="H78" s="19" t="s">
        <v>145</v>
      </c>
      <c r="I78" s="19" t="s">
        <v>1098</v>
      </c>
      <c r="J78" s="19" t="s">
        <v>286</v>
      </c>
    </row>
    <row r="79" ht="16" customHeight="1" outlineLevel="2" spans="1:10">
      <c r="A79" s="18">
        <v>2</v>
      </c>
      <c r="B79" s="18">
        <v>26</v>
      </c>
      <c r="C79" s="19" t="s">
        <v>774</v>
      </c>
      <c r="D79" s="19" t="s">
        <v>773</v>
      </c>
      <c r="E79" s="19" t="s">
        <v>65</v>
      </c>
      <c r="F79" s="8" t="s">
        <v>67</v>
      </c>
      <c r="G79" s="8" t="s">
        <v>68</v>
      </c>
      <c r="H79" s="19" t="s">
        <v>123</v>
      </c>
      <c r="I79" s="19" t="s">
        <v>758</v>
      </c>
      <c r="J79" s="19" t="s">
        <v>232</v>
      </c>
    </row>
    <row r="80" ht="16" customHeight="1" outlineLevel="2" spans="1:10">
      <c r="A80" s="18">
        <v>2</v>
      </c>
      <c r="B80" s="18">
        <v>27</v>
      </c>
      <c r="C80" s="19" t="s">
        <v>984</v>
      </c>
      <c r="D80" s="19" t="s">
        <v>983</v>
      </c>
      <c r="E80" s="19" t="s">
        <v>65</v>
      </c>
      <c r="F80" s="8" t="s">
        <v>67</v>
      </c>
      <c r="G80" s="8" t="s">
        <v>68</v>
      </c>
      <c r="H80" s="19" t="s">
        <v>137</v>
      </c>
      <c r="I80" s="19" t="s">
        <v>928</v>
      </c>
      <c r="J80" s="19" t="s">
        <v>292</v>
      </c>
    </row>
    <row r="81" ht="16" customHeight="1" outlineLevel="2" spans="1:10">
      <c r="A81" s="18">
        <v>2</v>
      </c>
      <c r="B81" s="18">
        <v>28</v>
      </c>
      <c r="C81" s="19" t="s">
        <v>408</v>
      </c>
      <c r="D81" s="19" t="s">
        <v>407</v>
      </c>
      <c r="E81" s="19" t="s">
        <v>65</v>
      </c>
      <c r="F81" s="8" t="s">
        <v>67</v>
      </c>
      <c r="G81" s="8" t="s">
        <v>68</v>
      </c>
      <c r="H81" s="19" t="s">
        <v>86</v>
      </c>
      <c r="I81" s="19" t="s">
        <v>334</v>
      </c>
      <c r="J81" s="19" t="s">
        <v>319</v>
      </c>
    </row>
    <row r="82" ht="16" customHeight="1" outlineLevel="2" spans="1:10">
      <c r="A82" s="18">
        <v>2</v>
      </c>
      <c r="B82" s="18">
        <v>29</v>
      </c>
      <c r="C82" s="19" t="s">
        <v>1132</v>
      </c>
      <c r="D82" s="19" t="s">
        <v>1131</v>
      </c>
      <c r="E82" s="19" t="s">
        <v>65</v>
      </c>
      <c r="F82" s="8" t="s">
        <v>67</v>
      </c>
      <c r="G82" s="8" t="s">
        <v>68</v>
      </c>
      <c r="H82" s="19" t="s">
        <v>145</v>
      </c>
      <c r="I82" s="19" t="s">
        <v>1098</v>
      </c>
      <c r="J82" s="19" t="s">
        <v>259</v>
      </c>
    </row>
    <row r="83" ht="16" customHeight="1" outlineLevel="2" spans="1:10">
      <c r="A83" s="18">
        <v>2</v>
      </c>
      <c r="B83" s="18">
        <v>30</v>
      </c>
      <c r="C83" s="19" t="s">
        <v>451</v>
      </c>
      <c r="D83" s="19" t="s">
        <v>450</v>
      </c>
      <c r="E83" s="19" t="s">
        <v>65</v>
      </c>
      <c r="F83" s="8" t="s">
        <v>67</v>
      </c>
      <c r="G83" s="8" t="s">
        <v>68</v>
      </c>
      <c r="H83" s="19" t="s">
        <v>95</v>
      </c>
      <c r="I83" s="19" t="s">
        <v>419</v>
      </c>
      <c r="J83" s="19" t="s">
        <v>256</v>
      </c>
    </row>
    <row r="84" ht="16" customHeight="1" outlineLevel="2" spans="1:10">
      <c r="A84" s="18">
        <v>2</v>
      </c>
      <c r="B84" s="18">
        <v>31</v>
      </c>
      <c r="C84" s="19" t="s">
        <v>366</v>
      </c>
      <c r="D84" s="19" t="s">
        <v>365</v>
      </c>
      <c r="E84" s="19" t="s">
        <v>65</v>
      </c>
      <c r="F84" s="8" t="s">
        <v>67</v>
      </c>
      <c r="G84" s="8" t="s">
        <v>68</v>
      </c>
      <c r="H84" s="19" t="s">
        <v>86</v>
      </c>
      <c r="I84" s="19" t="s">
        <v>334</v>
      </c>
      <c r="J84" s="19" t="s">
        <v>256</v>
      </c>
    </row>
    <row r="85" ht="16" customHeight="1" outlineLevel="2" spans="1:10">
      <c r="A85" s="18">
        <v>2</v>
      </c>
      <c r="B85" s="18">
        <v>32</v>
      </c>
      <c r="C85" s="19" t="s">
        <v>673</v>
      </c>
      <c r="D85" s="19" t="s">
        <v>672</v>
      </c>
      <c r="E85" s="19" t="s">
        <v>65</v>
      </c>
      <c r="F85" s="8" t="s">
        <v>67</v>
      </c>
      <c r="G85" s="8" t="s">
        <v>68</v>
      </c>
      <c r="H85" s="19" t="s">
        <v>118</v>
      </c>
      <c r="I85" s="19" t="s">
        <v>674</v>
      </c>
      <c r="J85" s="19" t="s">
        <v>207</v>
      </c>
    </row>
    <row r="86" ht="16" customHeight="1" outlineLevel="2" spans="1:10">
      <c r="A86" s="18">
        <v>2</v>
      </c>
      <c r="B86" s="18">
        <v>33</v>
      </c>
      <c r="C86" s="19" t="s">
        <v>913</v>
      </c>
      <c r="D86" s="19" t="s">
        <v>912</v>
      </c>
      <c r="E86" s="19" t="s">
        <v>65</v>
      </c>
      <c r="F86" s="8" t="s">
        <v>67</v>
      </c>
      <c r="G86" s="8" t="s">
        <v>68</v>
      </c>
      <c r="H86" s="19" t="s">
        <v>132</v>
      </c>
      <c r="I86" s="19" t="s">
        <v>843</v>
      </c>
      <c r="J86" s="19" t="s">
        <v>313</v>
      </c>
    </row>
    <row r="87" ht="16" customHeight="1" outlineLevel="2" spans="1:10">
      <c r="A87" s="18">
        <v>2</v>
      </c>
      <c r="B87" s="18">
        <v>34</v>
      </c>
      <c r="C87" s="19" t="s">
        <v>623</v>
      </c>
      <c r="D87" s="19" t="s">
        <v>622</v>
      </c>
      <c r="E87" s="19" t="s">
        <v>65</v>
      </c>
      <c r="F87" s="8" t="s">
        <v>67</v>
      </c>
      <c r="G87" s="8" t="s">
        <v>68</v>
      </c>
      <c r="H87" s="19" t="s">
        <v>110</v>
      </c>
      <c r="I87" s="19" t="s">
        <v>589</v>
      </c>
      <c r="J87" s="19" t="s">
        <v>259</v>
      </c>
    </row>
    <row r="88" ht="16" customHeight="1" outlineLevel="2" spans="1:10">
      <c r="A88" s="18">
        <v>2</v>
      </c>
      <c r="B88" s="18">
        <v>35</v>
      </c>
      <c r="C88" s="19" t="s">
        <v>416</v>
      </c>
      <c r="D88" s="19" t="s">
        <v>415</v>
      </c>
      <c r="E88" s="19" t="s">
        <v>65</v>
      </c>
      <c r="F88" s="8" t="s">
        <v>67</v>
      </c>
      <c r="G88" s="8" t="s">
        <v>68</v>
      </c>
      <c r="H88" s="19" t="s">
        <v>86</v>
      </c>
      <c r="I88" s="19" t="s">
        <v>334</v>
      </c>
      <c r="J88" s="19" t="s">
        <v>331</v>
      </c>
    </row>
    <row r="89" ht="16" customHeight="1" outlineLevel="2" spans="1:10">
      <c r="A89" s="18">
        <v>2</v>
      </c>
      <c r="B89" s="18">
        <v>36</v>
      </c>
      <c r="C89" s="19" t="s">
        <v>768</v>
      </c>
      <c r="D89" s="19" t="s">
        <v>767</v>
      </c>
      <c r="E89" s="19" t="s">
        <v>65</v>
      </c>
      <c r="F89" s="8" t="s">
        <v>67</v>
      </c>
      <c r="G89" s="8" t="s">
        <v>68</v>
      </c>
      <c r="H89" s="19" t="s">
        <v>123</v>
      </c>
      <c r="I89" s="19" t="s">
        <v>758</v>
      </c>
      <c r="J89" s="19" t="s">
        <v>223</v>
      </c>
    </row>
    <row r="90" ht="16" customHeight="1" outlineLevel="2" spans="1:10">
      <c r="A90" s="18">
        <v>2</v>
      </c>
      <c r="B90" s="18">
        <v>37</v>
      </c>
      <c r="C90" s="19" t="s">
        <v>362</v>
      </c>
      <c r="D90" s="19" t="s">
        <v>361</v>
      </c>
      <c r="E90" s="19" t="s">
        <v>65</v>
      </c>
      <c r="F90" s="8" t="s">
        <v>67</v>
      </c>
      <c r="G90" s="8" t="s">
        <v>68</v>
      </c>
      <c r="H90" s="19" t="s">
        <v>86</v>
      </c>
      <c r="I90" s="19" t="s">
        <v>334</v>
      </c>
      <c r="J90" s="19" t="s">
        <v>250</v>
      </c>
    </row>
    <row r="91" ht="16" customHeight="1" outlineLevel="2" spans="1:10">
      <c r="A91" s="18">
        <v>2</v>
      </c>
      <c r="B91" s="18">
        <v>38</v>
      </c>
      <c r="C91" s="19" t="s">
        <v>968</v>
      </c>
      <c r="D91" s="19" t="s">
        <v>967</v>
      </c>
      <c r="E91" s="19" t="s">
        <v>65</v>
      </c>
      <c r="F91" s="8" t="s">
        <v>67</v>
      </c>
      <c r="G91" s="8" t="s">
        <v>68</v>
      </c>
      <c r="H91" s="19" t="s">
        <v>137</v>
      </c>
      <c r="I91" s="19" t="s">
        <v>928</v>
      </c>
      <c r="J91" s="19" t="s">
        <v>268</v>
      </c>
    </row>
    <row r="92" ht="16" customHeight="1" outlineLevel="2" spans="1:10">
      <c r="A92" s="18">
        <v>2</v>
      </c>
      <c r="B92" s="18">
        <v>39</v>
      </c>
      <c r="C92" s="19" t="s">
        <v>708</v>
      </c>
      <c r="D92" s="19" t="s">
        <v>707</v>
      </c>
      <c r="E92" s="19" t="s">
        <v>65</v>
      </c>
      <c r="F92" s="8" t="s">
        <v>67</v>
      </c>
      <c r="G92" s="8" t="s">
        <v>68</v>
      </c>
      <c r="H92" s="19" t="s">
        <v>118</v>
      </c>
      <c r="I92" s="19" t="s">
        <v>674</v>
      </c>
      <c r="J92" s="19" t="s">
        <v>259</v>
      </c>
    </row>
    <row r="93" ht="16" customHeight="1" outlineLevel="2" spans="1:10">
      <c r="A93" s="18">
        <v>2</v>
      </c>
      <c r="B93" s="18">
        <v>40</v>
      </c>
      <c r="C93" s="19" t="s">
        <v>732</v>
      </c>
      <c r="D93" s="19" t="s">
        <v>731</v>
      </c>
      <c r="E93" s="19" t="s">
        <v>65</v>
      </c>
      <c r="F93" s="8" t="s">
        <v>67</v>
      </c>
      <c r="G93" s="8" t="s">
        <v>68</v>
      </c>
      <c r="H93" s="19" t="s">
        <v>118</v>
      </c>
      <c r="I93" s="19" t="s">
        <v>674</v>
      </c>
      <c r="J93" s="19" t="s">
        <v>295</v>
      </c>
    </row>
    <row r="94" ht="16" customHeight="1" outlineLevel="2" spans="1:10">
      <c r="A94" s="18">
        <v>2</v>
      </c>
      <c r="B94" s="18">
        <v>41</v>
      </c>
      <c r="C94" s="19" t="s">
        <v>932</v>
      </c>
      <c r="D94" s="19" t="s">
        <v>931</v>
      </c>
      <c r="E94" s="19" t="s">
        <v>65</v>
      </c>
      <c r="F94" s="8" t="s">
        <v>67</v>
      </c>
      <c r="G94" s="8" t="s">
        <v>68</v>
      </c>
      <c r="H94" s="19" t="s">
        <v>137</v>
      </c>
      <c r="I94" s="19" t="s">
        <v>928</v>
      </c>
      <c r="J94" s="19" t="s">
        <v>214</v>
      </c>
    </row>
    <row r="95" ht="16" customHeight="1" outlineLevel="2" spans="1:10">
      <c r="A95" s="18">
        <v>2</v>
      </c>
      <c r="B95" s="18">
        <v>42</v>
      </c>
      <c r="C95" s="19" t="s">
        <v>252</v>
      </c>
      <c r="D95" s="19" t="s">
        <v>251</v>
      </c>
      <c r="E95" s="19" t="s">
        <v>65</v>
      </c>
      <c r="F95" s="8" t="s">
        <v>67</v>
      </c>
      <c r="G95" s="8" t="s">
        <v>68</v>
      </c>
      <c r="H95" s="7" t="s">
        <v>73</v>
      </c>
      <c r="I95" s="19" t="s">
        <v>206</v>
      </c>
      <c r="J95" s="7" t="s">
        <v>253</v>
      </c>
    </row>
    <row r="96" ht="16" customHeight="1" outlineLevel="2" spans="1:10">
      <c r="A96" s="18">
        <v>2</v>
      </c>
      <c r="B96" s="18">
        <v>43</v>
      </c>
      <c r="C96" s="19" t="s">
        <v>382</v>
      </c>
      <c r="D96" s="19" t="s">
        <v>381</v>
      </c>
      <c r="E96" s="19" t="s">
        <v>65</v>
      </c>
      <c r="F96" s="8" t="s">
        <v>67</v>
      </c>
      <c r="G96" s="8" t="s">
        <v>68</v>
      </c>
      <c r="H96" s="19" t="s">
        <v>86</v>
      </c>
      <c r="I96" s="19" t="s">
        <v>334</v>
      </c>
      <c r="J96" s="19" t="s">
        <v>280</v>
      </c>
    </row>
    <row r="97" ht="16" customHeight="1" outlineLevel="2" spans="1:10">
      <c r="A97" s="18">
        <v>2</v>
      </c>
      <c r="B97" s="18">
        <v>44</v>
      </c>
      <c r="C97" s="19" t="s">
        <v>954</v>
      </c>
      <c r="D97" s="19" t="s">
        <v>953</v>
      </c>
      <c r="E97" s="19" t="s">
        <v>65</v>
      </c>
      <c r="F97" s="8" t="s">
        <v>67</v>
      </c>
      <c r="G97" s="8" t="s">
        <v>68</v>
      </c>
      <c r="H97" s="19" t="s">
        <v>137</v>
      </c>
      <c r="I97" s="19" t="s">
        <v>928</v>
      </c>
      <c r="J97" s="19" t="s">
        <v>247</v>
      </c>
    </row>
    <row r="98" ht="16" customHeight="1" outlineLevel="2" spans="1:10">
      <c r="A98" s="18">
        <v>2</v>
      </c>
      <c r="B98" s="18">
        <v>45</v>
      </c>
      <c r="C98" s="19" t="s">
        <v>1118</v>
      </c>
      <c r="D98" s="19" t="s">
        <v>1117</v>
      </c>
      <c r="E98" s="19" t="s">
        <v>65</v>
      </c>
      <c r="F98" s="8" t="s">
        <v>67</v>
      </c>
      <c r="G98" s="8" t="s">
        <v>68</v>
      </c>
      <c r="H98" s="7" t="s">
        <v>145</v>
      </c>
      <c r="I98" s="19" t="s">
        <v>1098</v>
      </c>
      <c r="J98" s="7" t="s">
        <v>238</v>
      </c>
    </row>
    <row r="99" ht="16" customHeight="1" outlineLevel="2" spans="1:10">
      <c r="A99" s="18">
        <v>2</v>
      </c>
      <c r="B99" s="18">
        <v>46</v>
      </c>
      <c r="C99" s="19" t="s">
        <v>1015</v>
      </c>
      <c r="D99" s="19" t="s">
        <v>1014</v>
      </c>
      <c r="E99" s="19" t="s">
        <v>65</v>
      </c>
      <c r="F99" s="8" t="s">
        <v>67</v>
      </c>
      <c r="G99" s="8" t="s">
        <v>68</v>
      </c>
      <c r="H99" s="19" t="s">
        <v>141</v>
      </c>
      <c r="I99" s="19" t="s">
        <v>1013</v>
      </c>
      <c r="J99" s="19" t="s">
        <v>210</v>
      </c>
    </row>
    <row r="100" ht="16" customHeight="1" outlineLevel="2" spans="1:10">
      <c r="A100" s="18">
        <v>2</v>
      </c>
      <c r="B100" s="18">
        <v>47</v>
      </c>
      <c r="C100" s="19" t="s">
        <v>859</v>
      </c>
      <c r="D100" s="19" t="s">
        <v>858</v>
      </c>
      <c r="E100" s="19" t="s">
        <v>65</v>
      </c>
      <c r="F100" s="8" t="s">
        <v>67</v>
      </c>
      <c r="G100" s="8" t="s">
        <v>68</v>
      </c>
      <c r="H100" s="19" t="s">
        <v>132</v>
      </c>
      <c r="I100" s="19" t="s">
        <v>843</v>
      </c>
      <c r="J100" s="19" t="s">
        <v>232</v>
      </c>
    </row>
    <row r="101" ht="16" customHeight="1" outlineLevel="2" spans="1:10">
      <c r="A101" s="18">
        <v>2</v>
      </c>
      <c r="B101" s="18">
        <v>48</v>
      </c>
      <c r="C101" s="19" t="s">
        <v>891</v>
      </c>
      <c r="D101" s="19" t="s">
        <v>890</v>
      </c>
      <c r="E101" s="19" t="s">
        <v>65</v>
      </c>
      <c r="F101" s="8" t="s">
        <v>67</v>
      </c>
      <c r="G101" s="8" t="s">
        <v>68</v>
      </c>
      <c r="H101" s="19" t="s">
        <v>132</v>
      </c>
      <c r="I101" s="19" t="s">
        <v>843</v>
      </c>
      <c r="J101" s="19" t="s">
        <v>280</v>
      </c>
    </row>
    <row r="102" ht="16" customHeight="1" outlineLevel="2" spans="1:10">
      <c r="A102" s="18">
        <v>2</v>
      </c>
      <c r="B102" s="18">
        <v>49</v>
      </c>
      <c r="C102" s="19" t="s">
        <v>663</v>
      </c>
      <c r="D102" s="19" t="s">
        <v>662</v>
      </c>
      <c r="E102" s="19" t="s">
        <v>65</v>
      </c>
      <c r="F102" s="8" t="s">
        <v>67</v>
      </c>
      <c r="G102" s="8" t="s">
        <v>68</v>
      </c>
      <c r="H102" s="19" t="s">
        <v>110</v>
      </c>
      <c r="I102" s="19" t="s">
        <v>589</v>
      </c>
      <c r="J102" s="19" t="s">
        <v>319</v>
      </c>
    </row>
    <row r="103" ht="16" customHeight="1" outlineLevel="2" spans="1:10">
      <c r="A103" s="18">
        <v>2</v>
      </c>
      <c r="B103" s="18">
        <v>50</v>
      </c>
      <c r="C103" s="19" t="s">
        <v>457</v>
      </c>
      <c r="D103" s="19" t="s">
        <v>456</v>
      </c>
      <c r="E103" s="19" t="s">
        <v>65</v>
      </c>
      <c r="F103" s="8" t="s">
        <v>67</v>
      </c>
      <c r="G103" s="8" t="s">
        <v>68</v>
      </c>
      <c r="H103" s="19" t="s">
        <v>95</v>
      </c>
      <c r="I103" s="19" t="s">
        <v>419</v>
      </c>
      <c r="J103" s="19" t="s">
        <v>265</v>
      </c>
    </row>
    <row r="104" ht="16" customHeight="1" outlineLevel="2" spans="1:10">
      <c r="A104" s="18">
        <v>2</v>
      </c>
      <c r="B104" s="18">
        <v>51</v>
      </c>
      <c r="C104" s="19" t="s">
        <v>911</v>
      </c>
      <c r="D104" s="19" t="s">
        <v>910</v>
      </c>
      <c r="E104" s="19" t="s">
        <v>65</v>
      </c>
      <c r="F104" s="8" t="s">
        <v>67</v>
      </c>
      <c r="G104" s="8" t="s">
        <v>68</v>
      </c>
      <c r="H104" s="19" t="s">
        <v>132</v>
      </c>
      <c r="I104" s="19" t="s">
        <v>843</v>
      </c>
      <c r="J104" s="19" t="s">
        <v>310</v>
      </c>
    </row>
    <row r="105" ht="16" customHeight="1" outlineLevel="2" spans="1:10">
      <c r="A105" s="18">
        <v>2</v>
      </c>
      <c r="B105" s="18">
        <v>52</v>
      </c>
      <c r="C105" s="19" t="s">
        <v>641</v>
      </c>
      <c r="D105" s="19" t="s">
        <v>640</v>
      </c>
      <c r="E105" s="19" t="s">
        <v>65</v>
      </c>
      <c r="F105" s="8" t="s">
        <v>67</v>
      </c>
      <c r="G105" s="8" t="s">
        <v>68</v>
      </c>
      <c r="H105" s="19" t="s">
        <v>110</v>
      </c>
      <c r="I105" s="19" t="s">
        <v>589</v>
      </c>
      <c r="J105" s="19" t="s">
        <v>286</v>
      </c>
    </row>
    <row r="106" ht="16" customHeight="1" outlineLevel="1" spans="1:10">
      <c r="A106" s="21" t="s">
        <v>1913</v>
      </c>
      <c r="B106" s="18"/>
      <c r="C106" s="19">
        <f>SUBTOTAL(3,C54:C105)</f>
        <v>52</v>
      </c>
      <c r="D106" s="19"/>
      <c r="E106" s="19"/>
      <c r="F106" s="8"/>
      <c r="G106" s="8"/>
      <c r="H106" s="19"/>
      <c r="I106" s="19"/>
      <c r="J106" s="19"/>
    </row>
    <row r="107" ht="16" customHeight="1" outlineLevel="2" spans="1:10">
      <c r="A107" s="18">
        <v>3</v>
      </c>
      <c r="B107" s="18">
        <v>1</v>
      </c>
      <c r="C107" s="19" t="s">
        <v>762</v>
      </c>
      <c r="D107" s="19" t="s">
        <v>761</v>
      </c>
      <c r="E107" s="19" t="s">
        <v>65</v>
      </c>
      <c r="F107" s="8" t="s">
        <v>67</v>
      </c>
      <c r="G107" s="8" t="s">
        <v>68</v>
      </c>
      <c r="H107" s="19" t="s">
        <v>123</v>
      </c>
      <c r="I107" s="19" t="s">
        <v>758</v>
      </c>
      <c r="J107" s="19" t="s">
        <v>214</v>
      </c>
    </row>
    <row r="108" ht="16" customHeight="1" outlineLevel="2" spans="1:10">
      <c r="A108" s="18">
        <v>3</v>
      </c>
      <c r="B108" s="18">
        <v>2</v>
      </c>
      <c r="C108" s="19" t="s">
        <v>209</v>
      </c>
      <c r="D108" s="19" t="s">
        <v>208</v>
      </c>
      <c r="E108" s="19" t="s">
        <v>65</v>
      </c>
      <c r="F108" s="8" t="s">
        <v>67</v>
      </c>
      <c r="G108" s="8" t="s">
        <v>68</v>
      </c>
      <c r="H108" s="19" t="s">
        <v>73</v>
      </c>
      <c r="I108" s="19" t="s">
        <v>206</v>
      </c>
      <c r="J108" s="19" t="s">
        <v>210</v>
      </c>
    </row>
    <row r="109" ht="16" customHeight="1" outlineLevel="2" spans="1:10">
      <c r="A109" s="18">
        <v>3</v>
      </c>
      <c r="B109" s="18">
        <v>3</v>
      </c>
      <c r="C109" s="19" t="s">
        <v>429</v>
      </c>
      <c r="D109" s="19" t="s">
        <v>428</v>
      </c>
      <c r="E109" s="19" t="s">
        <v>65</v>
      </c>
      <c r="F109" s="8" t="s">
        <v>67</v>
      </c>
      <c r="G109" s="8" t="s">
        <v>68</v>
      </c>
      <c r="H109" s="19" t="s">
        <v>95</v>
      </c>
      <c r="I109" s="19" t="s">
        <v>419</v>
      </c>
      <c r="J109" s="19" t="s">
        <v>223</v>
      </c>
    </row>
    <row r="110" ht="16" customHeight="1" outlineLevel="2" spans="1:10">
      <c r="A110" s="18">
        <v>3</v>
      </c>
      <c r="B110" s="18">
        <v>4</v>
      </c>
      <c r="C110" s="19" t="s">
        <v>776</v>
      </c>
      <c r="D110" s="19" t="s">
        <v>775</v>
      </c>
      <c r="E110" s="19" t="s">
        <v>65</v>
      </c>
      <c r="F110" s="8" t="s">
        <v>67</v>
      </c>
      <c r="G110" s="8" t="s">
        <v>68</v>
      </c>
      <c r="H110" s="19" t="s">
        <v>123</v>
      </c>
      <c r="I110" s="19" t="s">
        <v>758</v>
      </c>
      <c r="J110" s="19" t="s">
        <v>235</v>
      </c>
    </row>
    <row r="111" ht="16" customHeight="1" outlineLevel="2" spans="1:10">
      <c r="A111" s="18">
        <v>3</v>
      </c>
      <c r="B111" s="18">
        <v>5</v>
      </c>
      <c r="C111" s="19" t="s">
        <v>270</v>
      </c>
      <c r="D111" s="19" t="s">
        <v>269</v>
      </c>
      <c r="E111" s="19" t="s">
        <v>65</v>
      </c>
      <c r="F111" s="8" t="s">
        <v>67</v>
      </c>
      <c r="G111" s="8" t="s">
        <v>68</v>
      </c>
      <c r="H111" s="19" t="s">
        <v>73</v>
      </c>
      <c r="I111" s="19" t="s">
        <v>206</v>
      </c>
      <c r="J111" s="19" t="s">
        <v>271</v>
      </c>
    </row>
    <row r="112" ht="16" customHeight="1" outlineLevel="2" spans="1:10">
      <c r="A112" s="18">
        <v>3</v>
      </c>
      <c r="B112" s="18">
        <v>6</v>
      </c>
      <c r="C112" s="19" t="s">
        <v>491</v>
      </c>
      <c r="D112" s="19" t="s">
        <v>490</v>
      </c>
      <c r="E112" s="19" t="s">
        <v>65</v>
      </c>
      <c r="F112" s="8" t="s">
        <v>67</v>
      </c>
      <c r="G112" s="8" t="s">
        <v>68</v>
      </c>
      <c r="H112" s="19" t="s">
        <v>95</v>
      </c>
      <c r="I112" s="19" t="s">
        <v>419</v>
      </c>
      <c r="J112" s="19" t="s">
        <v>316</v>
      </c>
    </row>
    <row r="113" ht="16" customHeight="1" outlineLevel="2" spans="1:10">
      <c r="A113" s="18">
        <v>3</v>
      </c>
      <c r="B113" s="18">
        <v>7</v>
      </c>
      <c r="C113" s="19" t="s">
        <v>655</v>
      </c>
      <c r="D113" s="19" t="s">
        <v>654</v>
      </c>
      <c r="E113" s="19" t="s">
        <v>65</v>
      </c>
      <c r="F113" s="8" t="s">
        <v>67</v>
      </c>
      <c r="G113" s="8" t="s">
        <v>68</v>
      </c>
      <c r="H113" s="19" t="s">
        <v>110</v>
      </c>
      <c r="I113" s="19" t="s">
        <v>589</v>
      </c>
      <c r="J113" s="19" t="s">
        <v>307</v>
      </c>
    </row>
    <row r="114" ht="16" customHeight="1" outlineLevel="2" spans="1:10">
      <c r="A114" s="18">
        <v>3</v>
      </c>
      <c r="B114" s="18">
        <v>8</v>
      </c>
      <c r="C114" s="19" t="s">
        <v>936</v>
      </c>
      <c r="D114" s="19" t="s">
        <v>935</v>
      </c>
      <c r="E114" s="19" t="s">
        <v>65</v>
      </c>
      <c r="F114" s="8" t="s">
        <v>67</v>
      </c>
      <c r="G114" s="8" t="s">
        <v>68</v>
      </c>
      <c r="H114" s="19" t="s">
        <v>137</v>
      </c>
      <c r="I114" s="19" t="s">
        <v>928</v>
      </c>
      <c r="J114" s="19" t="s">
        <v>220</v>
      </c>
    </row>
    <row r="115" ht="16" customHeight="1" outlineLevel="2" spans="1:10">
      <c r="A115" s="18">
        <v>3</v>
      </c>
      <c r="B115" s="18">
        <v>9</v>
      </c>
      <c r="C115" s="19" t="s">
        <v>582</v>
      </c>
      <c r="D115" s="19" t="s">
        <v>581</v>
      </c>
      <c r="E115" s="19" t="s">
        <v>65</v>
      </c>
      <c r="F115" s="8" t="s">
        <v>67</v>
      </c>
      <c r="G115" s="8" t="s">
        <v>68</v>
      </c>
      <c r="H115" s="19" t="s">
        <v>104</v>
      </c>
      <c r="I115" s="19" t="s">
        <v>504</v>
      </c>
      <c r="J115" s="19" t="s">
        <v>325</v>
      </c>
    </row>
    <row r="116" ht="16" customHeight="1" outlineLevel="2" spans="1:10">
      <c r="A116" s="18">
        <v>3</v>
      </c>
      <c r="B116" s="18">
        <v>10</v>
      </c>
      <c r="C116" s="19" t="s">
        <v>588</v>
      </c>
      <c r="D116" s="19" t="s">
        <v>587</v>
      </c>
      <c r="E116" s="19" t="s">
        <v>65</v>
      </c>
      <c r="F116" s="8" t="s">
        <v>67</v>
      </c>
      <c r="G116" s="8" t="s">
        <v>68</v>
      </c>
      <c r="H116" s="19" t="s">
        <v>110</v>
      </c>
      <c r="I116" s="19" t="s">
        <v>589</v>
      </c>
      <c r="J116" s="19" t="s">
        <v>207</v>
      </c>
    </row>
    <row r="117" ht="16" customHeight="1" outlineLevel="2" spans="1:10">
      <c r="A117" s="18">
        <v>3</v>
      </c>
      <c r="B117" s="18">
        <v>11</v>
      </c>
      <c r="C117" s="19" t="s">
        <v>562</v>
      </c>
      <c r="D117" s="19" t="s">
        <v>561</v>
      </c>
      <c r="E117" s="19" t="s">
        <v>65</v>
      </c>
      <c r="F117" s="8" t="s">
        <v>67</v>
      </c>
      <c r="G117" s="8" t="s">
        <v>68</v>
      </c>
      <c r="H117" s="19" t="s">
        <v>104</v>
      </c>
      <c r="I117" s="19" t="s">
        <v>504</v>
      </c>
      <c r="J117" s="19" t="s">
        <v>295</v>
      </c>
    </row>
    <row r="118" ht="16" customHeight="1" outlineLevel="2" spans="1:10">
      <c r="A118" s="18">
        <v>3</v>
      </c>
      <c r="B118" s="18">
        <v>12</v>
      </c>
      <c r="C118" s="19" t="s">
        <v>694</v>
      </c>
      <c r="D118" s="19" t="s">
        <v>693</v>
      </c>
      <c r="E118" s="19" t="s">
        <v>65</v>
      </c>
      <c r="F118" s="8" t="s">
        <v>67</v>
      </c>
      <c r="G118" s="8" t="s">
        <v>68</v>
      </c>
      <c r="H118" s="19" t="s">
        <v>118</v>
      </c>
      <c r="I118" s="19" t="s">
        <v>674</v>
      </c>
      <c r="J118" s="19" t="s">
        <v>238</v>
      </c>
    </row>
    <row r="119" ht="16" customHeight="1" outlineLevel="2" spans="1:10">
      <c r="A119" s="18">
        <v>3</v>
      </c>
      <c r="B119" s="18">
        <v>13</v>
      </c>
      <c r="C119" s="19" t="s">
        <v>976</v>
      </c>
      <c r="D119" s="19" t="s">
        <v>975</v>
      </c>
      <c r="E119" s="19" t="s">
        <v>65</v>
      </c>
      <c r="F119" s="8" t="s">
        <v>67</v>
      </c>
      <c r="G119" s="8" t="s">
        <v>68</v>
      </c>
      <c r="H119" s="19" t="s">
        <v>137</v>
      </c>
      <c r="I119" s="19" t="s">
        <v>928</v>
      </c>
      <c r="J119" s="19" t="s">
        <v>280</v>
      </c>
    </row>
    <row r="120" ht="16" customHeight="1" outlineLevel="2" spans="1:10">
      <c r="A120" s="18">
        <v>3</v>
      </c>
      <c r="B120" s="18">
        <v>14</v>
      </c>
      <c r="C120" s="19" t="s">
        <v>808</v>
      </c>
      <c r="D120" s="19" t="s">
        <v>807</v>
      </c>
      <c r="E120" s="19" t="s">
        <v>65</v>
      </c>
      <c r="F120" s="8" t="s">
        <v>67</v>
      </c>
      <c r="G120" s="8" t="s">
        <v>68</v>
      </c>
      <c r="H120" s="19" t="s">
        <v>123</v>
      </c>
      <c r="I120" s="19" t="s">
        <v>758</v>
      </c>
      <c r="J120" s="19" t="s">
        <v>283</v>
      </c>
    </row>
    <row r="121" ht="16" customHeight="1" outlineLevel="2" spans="1:10">
      <c r="A121" s="18">
        <v>3</v>
      </c>
      <c r="B121" s="18">
        <v>15</v>
      </c>
      <c r="C121" s="19" t="s">
        <v>814</v>
      </c>
      <c r="D121" s="19" t="s">
        <v>813</v>
      </c>
      <c r="E121" s="19" t="s">
        <v>65</v>
      </c>
      <c r="F121" s="8" t="s">
        <v>67</v>
      </c>
      <c r="G121" s="8" t="s">
        <v>68</v>
      </c>
      <c r="H121" s="19" t="s">
        <v>123</v>
      </c>
      <c r="I121" s="19" t="s">
        <v>758</v>
      </c>
      <c r="J121" s="19" t="s">
        <v>292</v>
      </c>
    </row>
    <row r="122" ht="16" customHeight="1" outlineLevel="2" spans="1:10">
      <c r="A122" s="18">
        <v>3</v>
      </c>
      <c r="B122" s="18">
        <v>16</v>
      </c>
      <c r="C122" s="19" t="s">
        <v>857</v>
      </c>
      <c r="D122" s="19" t="s">
        <v>856</v>
      </c>
      <c r="E122" s="19" t="s">
        <v>65</v>
      </c>
      <c r="F122" s="8" t="s">
        <v>67</v>
      </c>
      <c r="G122" s="8" t="s">
        <v>68</v>
      </c>
      <c r="H122" s="19" t="s">
        <v>132</v>
      </c>
      <c r="I122" s="19" t="s">
        <v>843</v>
      </c>
      <c r="J122" s="19" t="s">
        <v>229</v>
      </c>
    </row>
    <row r="123" ht="16" customHeight="1" outlineLevel="2" spans="1:10">
      <c r="A123" s="18">
        <v>3</v>
      </c>
      <c r="B123" s="18">
        <v>17</v>
      </c>
      <c r="C123" s="19" t="s">
        <v>1128</v>
      </c>
      <c r="D123" s="19" t="s">
        <v>1127</v>
      </c>
      <c r="E123" s="19" t="s">
        <v>65</v>
      </c>
      <c r="F123" s="8" t="s">
        <v>67</v>
      </c>
      <c r="G123" s="8" t="s">
        <v>68</v>
      </c>
      <c r="H123" s="19" t="s">
        <v>145</v>
      </c>
      <c r="I123" s="19" t="s">
        <v>1098</v>
      </c>
      <c r="J123" s="19" t="s">
        <v>253</v>
      </c>
    </row>
    <row r="124" ht="16" customHeight="1" outlineLevel="2" spans="1:10">
      <c r="A124" s="18">
        <v>3</v>
      </c>
      <c r="B124" s="18">
        <v>18</v>
      </c>
      <c r="C124" s="19" t="s">
        <v>982</v>
      </c>
      <c r="D124" s="19" t="s">
        <v>981</v>
      </c>
      <c r="E124" s="19" t="s">
        <v>65</v>
      </c>
      <c r="F124" s="8" t="s">
        <v>67</v>
      </c>
      <c r="G124" s="8" t="s">
        <v>68</v>
      </c>
      <c r="H124" s="19" t="s">
        <v>137</v>
      </c>
      <c r="I124" s="19" t="s">
        <v>928</v>
      </c>
      <c r="J124" s="19" t="s">
        <v>289</v>
      </c>
    </row>
    <row r="125" ht="16" customHeight="1" outlineLevel="2" spans="1:10">
      <c r="A125" s="18">
        <v>3</v>
      </c>
      <c r="B125" s="18">
        <v>19</v>
      </c>
      <c r="C125" s="19" t="s">
        <v>1002</v>
      </c>
      <c r="D125" s="19" t="s">
        <v>1001</v>
      </c>
      <c r="E125" s="19" t="s">
        <v>65</v>
      </c>
      <c r="F125" s="8" t="s">
        <v>67</v>
      </c>
      <c r="G125" s="8" t="s">
        <v>68</v>
      </c>
      <c r="H125" s="19" t="s">
        <v>137</v>
      </c>
      <c r="I125" s="19" t="s">
        <v>928</v>
      </c>
      <c r="J125" s="19" t="s">
        <v>319</v>
      </c>
    </row>
    <row r="126" ht="16" customHeight="1" outlineLevel="2" spans="1:10">
      <c r="A126" s="18">
        <v>3</v>
      </c>
      <c r="B126" s="18">
        <v>20</v>
      </c>
      <c r="C126" s="19" t="s">
        <v>990</v>
      </c>
      <c r="D126" s="19" t="s">
        <v>989</v>
      </c>
      <c r="E126" s="19" t="s">
        <v>65</v>
      </c>
      <c r="F126" s="8" t="s">
        <v>67</v>
      </c>
      <c r="G126" s="8" t="s">
        <v>68</v>
      </c>
      <c r="H126" s="19" t="s">
        <v>137</v>
      </c>
      <c r="I126" s="19" t="s">
        <v>928</v>
      </c>
      <c r="J126" s="19" t="s">
        <v>301</v>
      </c>
    </row>
    <row r="127" ht="16" customHeight="1" outlineLevel="2" spans="1:10">
      <c r="A127" s="18">
        <v>3</v>
      </c>
      <c r="B127" s="18">
        <v>21</v>
      </c>
      <c r="C127" s="19" t="s">
        <v>1073</v>
      </c>
      <c r="D127" s="19" t="s">
        <v>1072</v>
      </c>
      <c r="E127" s="19" t="s">
        <v>65</v>
      </c>
      <c r="F127" s="8" t="s">
        <v>67</v>
      </c>
      <c r="G127" s="8" t="s">
        <v>68</v>
      </c>
      <c r="H127" s="19" t="s">
        <v>141</v>
      </c>
      <c r="I127" s="19" t="s">
        <v>1013</v>
      </c>
      <c r="J127" s="19" t="s">
        <v>298</v>
      </c>
    </row>
    <row r="128" ht="16" customHeight="1" outlineLevel="2" spans="1:10">
      <c r="A128" s="18">
        <v>3</v>
      </c>
      <c r="B128" s="18">
        <v>22</v>
      </c>
      <c r="C128" s="19" t="s">
        <v>327</v>
      </c>
      <c r="D128" s="19" t="s">
        <v>326</v>
      </c>
      <c r="E128" s="19" t="s">
        <v>65</v>
      </c>
      <c r="F128" s="8" t="s">
        <v>67</v>
      </c>
      <c r="G128" s="8" t="s">
        <v>68</v>
      </c>
      <c r="H128" s="19" t="s">
        <v>73</v>
      </c>
      <c r="I128" s="19" t="s">
        <v>206</v>
      </c>
      <c r="J128" s="19" t="s">
        <v>328</v>
      </c>
    </row>
    <row r="129" ht="16" customHeight="1" outlineLevel="2" spans="1:10">
      <c r="A129" s="18">
        <v>3</v>
      </c>
      <c r="B129" s="18">
        <v>23</v>
      </c>
      <c r="C129" s="19" t="s">
        <v>228</v>
      </c>
      <c r="D129" s="19" t="s">
        <v>745</v>
      </c>
      <c r="E129" s="19" t="s">
        <v>65</v>
      </c>
      <c r="F129" s="8" t="s">
        <v>67</v>
      </c>
      <c r="G129" s="8" t="s">
        <v>68</v>
      </c>
      <c r="H129" s="19" t="s">
        <v>118</v>
      </c>
      <c r="I129" s="19" t="s">
        <v>674</v>
      </c>
      <c r="J129" s="19" t="s">
        <v>316</v>
      </c>
    </row>
    <row r="130" ht="16" customHeight="1" outlineLevel="2" spans="1:10">
      <c r="A130" s="18">
        <v>3</v>
      </c>
      <c r="B130" s="18">
        <v>24</v>
      </c>
      <c r="C130" s="19" t="s">
        <v>1152</v>
      </c>
      <c r="D130" s="19" t="s">
        <v>1151</v>
      </c>
      <c r="E130" s="19" t="s">
        <v>65</v>
      </c>
      <c r="F130" s="8" t="s">
        <v>67</v>
      </c>
      <c r="G130" s="8" t="s">
        <v>68</v>
      </c>
      <c r="H130" s="7" t="s">
        <v>145</v>
      </c>
      <c r="I130" s="19" t="s">
        <v>1098</v>
      </c>
      <c r="J130" s="7" t="s">
        <v>289</v>
      </c>
    </row>
    <row r="131" ht="16" customHeight="1" outlineLevel="2" spans="1:10">
      <c r="A131" s="18">
        <v>3</v>
      </c>
      <c r="B131" s="18">
        <v>25</v>
      </c>
      <c r="C131" s="19" t="s">
        <v>1160</v>
      </c>
      <c r="D131" s="19" t="s">
        <v>1159</v>
      </c>
      <c r="E131" s="19" t="s">
        <v>65</v>
      </c>
      <c r="F131" s="8" t="s">
        <v>67</v>
      </c>
      <c r="G131" s="8" t="s">
        <v>68</v>
      </c>
      <c r="H131" s="19" t="s">
        <v>145</v>
      </c>
      <c r="I131" s="19" t="s">
        <v>1098</v>
      </c>
      <c r="J131" s="19" t="s">
        <v>301</v>
      </c>
    </row>
    <row r="132" ht="16" customHeight="1" outlineLevel="2" spans="1:10">
      <c r="A132" s="18">
        <v>3</v>
      </c>
      <c r="B132" s="18">
        <v>26</v>
      </c>
      <c r="C132" s="19" t="s">
        <v>1037</v>
      </c>
      <c r="D132" s="19" t="s">
        <v>1036</v>
      </c>
      <c r="E132" s="19" t="s">
        <v>65</v>
      </c>
      <c r="F132" s="8" t="s">
        <v>67</v>
      </c>
      <c r="G132" s="8" t="s">
        <v>68</v>
      </c>
      <c r="H132" s="19" t="s">
        <v>141</v>
      </c>
      <c r="I132" s="19" t="s">
        <v>1013</v>
      </c>
      <c r="J132" s="19" t="s">
        <v>244</v>
      </c>
    </row>
    <row r="133" ht="16" customHeight="1" outlineLevel="2" spans="1:10">
      <c r="A133" s="18">
        <v>3</v>
      </c>
      <c r="B133" s="18">
        <v>27</v>
      </c>
      <c r="C133" s="19" t="s">
        <v>944</v>
      </c>
      <c r="D133" s="19" t="s">
        <v>943</v>
      </c>
      <c r="E133" s="19" t="s">
        <v>65</v>
      </c>
      <c r="F133" s="8" t="s">
        <v>67</v>
      </c>
      <c r="G133" s="8" t="s">
        <v>68</v>
      </c>
      <c r="H133" s="19" t="s">
        <v>137</v>
      </c>
      <c r="I133" s="19" t="s">
        <v>928</v>
      </c>
      <c r="J133" s="19" t="s">
        <v>232</v>
      </c>
    </row>
    <row r="134" ht="16" customHeight="1" outlineLevel="2" spans="1:10">
      <c r="A134" s="18">
        <v>3</v>
      </c>
      <c r="B134" s="18">
        <v>28</v>
      </c>
      <c r="C134" s="19" t="s">
        <v>1836</v>
      </c>
      <c r="D134" s="19" t="s">
        <v>1835</v>
      </c>
      <c r="E134" s="19" t="s">
        <v>65</v>
      </c>
      <c r="F134" s="8" t="s">
        <v>67</v>
      </c>
      <c r="G134" s="8" t="s">
        <v>68</v>
      </c>
      <c r="H134" s="7" t="s">
        <v>155</v>
      </c>
      <c r="I134" s="19" t="s">
        <v>1779</v>
      </c>
      <c r="J134" s="19" t="s">
        <v>292</v>
      </c>
    </row>
    <row r="135" ht="16" customHeight="1" outlineLevel="2" spans="1:10">
      <c r="A135" s="18">
        <v>3</v>
      </c>
      <c r="B135" s="18">
        <v>29</v>
      </c>
      <c r="C135" s="19" t="s">
        <v>412</v>
      </c>
      <c r="D135" s="19" t="s">
        <v>411</v>
      </c>
      <c r="E135" s="19" t="s">
        <v>65</v>
      </c>
      <c r="F135" s="8" t="s">
        <v>67</v>
      </c>
      <c r="G135" s="8" t="s">
        <v>68</v>
      </c>
      <c r="H135" s="19" t="s">
        <v>86</v>
      </c>
      <c r="I135" s="19" t="s">
        <v>334</v>
      </c>
      <c r="J135" s="19" t="s">
        <v>325</v>
      </c>
    </row>
    <row r="136" ht="16" customHeight="1" outlineLevel="2" spans="1:10">
      <c r="A136" s="18">
        <v>3</v>
      </c>
      <c r="B136" s="18">
        <v>30</v>
      </c>
      <c r="C136" s="19" t="s">
        <v>425</v>
      </c>
      <c r="D136" s="19" t="s">
        <v>424</v>
      </c>
      <c r="E136" s="19" t="s">
        <v>65</v>
      </c>
      <c r="F136" s="8" t="s">
        <v>67</v>
      </c>
      <c r="G136" s="8" t="s">
        <v>68</v>
      </c>
      <c r="H136" s="19" t="s">
        <v>95</v>
      </c>
      <c r="I136" s="19" t="s">
        <v>419</v>
      </c>
      <c r="J136" s="19" t="s">
        <v>217</v>
      </c>
    </row>
    <row r="137" ht="16" customHeight="1" outlineLevel="2" spans="1:10">
      <c r="A137" s="18">
        <v>3</v>
      </c>
      <c r="B137" s="18">
        <v>31</v>
      </c>
      <c r="C137" s="19" t="s">
        <v>1083</v>
      </c>
      <c r="D137" s="19" t="s">
        <v>1082</v>
      </c>
      <c r="E137" s="19" t="s">
        <v>65</v>
      </c>
      <c r="F137" s="8" t="s">
        <v>67</v>
      </c>
      <c r="G137" s="8" t="s">
        <v>68</v>
      </c>
      <c r="H137" s="19" t="s">
        <v>141</v>
      </c>
      <c r="I137" s="19" t="s">
        <v>1013</v>
      </c>
      <c r="J137" s="19" t="s">
        <v>313</v>
      </c>
    </row>
    <row r="138" ht="16" customHeight="1" outlineLevel="2" spans="1:10">
      <c r="A138" s="18">
        <v>3</v>
      </c>
      <c r="B138" s="18">
        <v>32</v>
      </c>
      <c r="C138" s="19" t="s">
        <v>461</v>
      </c>
      <c r="D138" s="19" t="s">
        <v>460</v>
      </c>
      <c r="E138" s="19" t="s">
        <v>65</v>
      </c>
      <c r="F138" s="8" t="s">
        <v>67</v>
      </c>
      <c r="G138" s="8" t="s">
        <v>68</v>
      </c>
      <c r="H138" s="19" t="s">
        <v>95</v>
      </c>
      <c r="I138" s="19" t="s">
        <v>419</v>
      </c>
      <c r="J138" s="19" t="s">
        <v>271</v>
      </c>
    </row>
    <row r="139" ht="16" customHeight="1" outlineLevel="2" spans="1:10">
      <c r="A139" s="18">
        <v>3</v>
      </c>
      <c r="B139" s="18">
        <v>33</v>
      </c>
      <c r="C139" s="19" t="s">
        <v>1055</v>
      </c>
      <c r="D139" s="19" t="s">
        <v>1054</v>
      </c>
      <c r="E139" s="19" t="s">
        <v>65</v>
      </c>
      <c r="F139" s="8" t="s">
        <v>67</v>
      </c>
      <c r="G139" s="8" t="s">
        <v>68</v>
      </c>
      <c r="H139" s="19" t="s">
        <v>141</v>
      </c>
      <c r="I139" s="19" t="s">
        <v>1013</v>
      </c>
      <c r="J139" s="19" t="s">
        <v>271</v>
      </c>
    </row>
    <row r="140" ht="16" customHeight="1" outlineLevel="2" spans="1:10">
      <c r="A140" s="18">
        <v>3</v>
      </c>
      <c r="B140" s="18">
        <v>34</v>
      </c>
      <c r="C140" s="19" t="s">
        <v>586</v>
      </c>
      <c r="D140" s="19" t="s">
        <v>585</v>
      </c>
      <c r="E140" s="19" t="s">
        <v>65</v>
      </c>
      <c r="F140" s="8" t="s">
        <v>67</v>
      </c>
      <c r="G140" s="8" t="s">
        <v>68</v>
      </c>
      <c r="H140" s="19" t="s">
        <v>104</v>
      </c>
      <c r="I140" s="19" t="s">
        <v>504</v>
      </c>
      <c r="J140" s="19" t="s">
        <v>331</v>
      </c>
    </row>
    <row r="141" ht="16" customHeight="1" outlineLevel="2" spans="1:10">
      <c r="A141" s="18">
        <v>3</v>
      </c>
      <c r="B141" s="18">
        <v>35</v>
      </c>
      <c r="C141" s="19" t="s">
        <v>863</v>
      </c>
      <c r="D141" s="19" t="s">
        <v>862</v>
      </c>
      <c r="E141" s="19" t="s">
        <v>65</v>
      </c>
      <c r="F141" s="8" t="s">
        <v>67</v>
      </c>
      <c r="G141" s="8" t="s">
        <v>68</v>
      </c>
      <c r="H141" s="19" t="s">
        <v>132</v>
      </c>
      <c r="I141" s="19" t="s">
        <v>843</v>
      </c>
      <c r="J141" s="19" t="s">
        <v>238</v>
      </c>
    </row>
    <row r="142" ht="16" customHeight="1" outlineLevel="2" spans="1:10">
      <c r="A142" s="18">
        <v>3</v>
      </c>
      <c r="B142" s="18">
        <v>36</v>
      </c>
      <c r="C142" s="19" t="s">
        <v>1142</v>
      </c>
      <c r="D142" s="19" t="s">
        <v>1141</v>
      </c>
      <c r="E142" s="19" t="s">
        <v>65</v>
      </c>
      <c r="F142" s="8" t="s">
        <v>67</v>
      </c>
      <c r="G142" s="8" t="s">
        <v>68</v>
      </c>
      <c r="H142" s="19" t="s">
        <v>145</v>
      </c>
      <c r="I142" s="19" t="s">
        <v>1098</v>
      </c>
      <c r="J142" s="19" t="s">
        <v>274</v>
      </c>
    </row>
    <row r="143" ht="16" customHeight="1" outlineLevel="2" spans="1:10">
      <c r="A143" s="18">
        <v>3</v>
      </c>
      <c r="B143" s="18">
        <v>37</v>
      </c>
      <c r="C143" s="19" t="s">
        <v>303</v>
      </c>
      <c r="D143" s="19" t="s">
        <v>302</v>
      </c>
      <c r="E143" s="19" t="s">
        <v>65</v>
      </c>
      <c r="F143" s="8" t="s">
        <v>67</v>
      </c>
      <c r="G143" s="8" t="s">
        <v>68</v>
      </c>
      <c r="H143" s="7" t="s">
        <v>73</v>
      </c>
      <c r="I143" s="19" t="s">
        <v>206</v>
      </c>
      <c r="J143" s="7" t="s">
        <v>304</v>
      </c>
    </row>
    <row r="144" ht="16" customHeight="1" outlineLevel="2" spans="1:10">
      <c r="A144" s="18">
        <v>3</v>
      </c>
      <c r="B144" s="18">
        <v>38</v>
      </c>
      <c r="C144" s="19" t="s">
        <v>346</v>
      </c>
      <c r="D144" s="19" t="s">
        <v>345</v>
      </c>
      <c r="E144" s="19" t="s">
        <v>65</v>
      </c>
      <c r="F144" s="8" t="s">
        <v>67</v>
      </c>
      <c r="G144" s="8" t="s">
        <v>68</v>
      </c>
      <c r="H144" s="19" t="s">
        <v>86</v>
      </c>
      <c r="I144" s="19" t="s">
        <v>334</v>
      </c>
      <c r="J144" s="19" t="s">
        <v>226</v>
      </c>
    </row>
    <row r="145" ht="16" customHeight="1" outlineLevel="2" spans="1:10">
      <c r="A145" s="18">
        <v>3</v>
      </c>
      <c r="B145" s="18">
        <v>39</v>
      </c>
      <c r="C145" s="19" t="s">
        <v>536</v>
      </c>
      <c r="D145" s="19" t="s">
        <v>535</v>
      </c>
      <c r="E145" s="19" t="s">
        <v>65</v>
      </c>
      <c r="F145" s="8" t="s">
        <v>67</v>
      </c>
      <c r="G145" s="8" t="s">
        <v>68</v>
      </c>
      <c r="H145" s="19" t="s">
        <v>104</v>
      </c>
      <c r="I145" s="19" t="s">
        <v>504</v>
      </c>
      <c r="J145" s="19" t="s">
        <v>256</v>
      </c>
    </row>
    <row r="146" ht="16" customHeight="1" outlineLevel="2" spans="1:10">
      <c r="A146" s="18">
        <v>3</v>
      </c>
      <c r="B146" s="18">
        <v>40</v>
      </c>
      <c r="C146" s="19" t="s">
        <v>696</v>
      </c>
      <c r="D146" s="19" t="s">
        <v>695</v>
      </c>
      <c r="E146" s="19" t="s">
        <v>65</v>
      </c>
      <c r="F146" s="8" t="s">
        <v>67</v>
      </c>
      <c r="G146" s="8" t="s">
        <v>68</v>
      </c>
      <c r="H146" s="19" t="s">
        <v>118</v>
      </c>
      <c r="I146" s="19" t="s">
        <v>674</v>
      </c>
      <c r="J146" s="19" t="s">
        <v>241</v>
      </c>
    </row>
    <row r="147" ht="16" customHeight="1" outlineLevel="2" spans="1:10">
      <c r="A147" s="18">
        <v>3</v>
      </c>
      <c r="B147" s="18">
        <v>41</v>
      </c>
      <c r="C147" s="19" t="s">
        <v>885</v>
      </c>
      <c r="D147" s="19" t="s">
        <v>884</v>
      </c>
      <c r="E147" s="19" t="s">
        <v>65</v>
      </c>
      <c r="F147" s="8" t="s">
        <v>67</v>
      </c>
      <c r="G147" s="8" t="s">
        <v>68</v>
      </c>
      <c r="H147" s="19" t="s">
        <v>132</v>
      </c>
      <c r="I147" s="19" t="s">
        <v>843</v>
      </c>
      <c r="J147" s="19" t="s">
        <v>271</v>
      </c>
    </row>
    <row r="148" ht="16" customHeight="1" outlineLevel="2" spans="1:10">
      <c r="A148" s="18">
        <v>3</v>
      </c>
      <c r="B148" s="18">
        <v>42</v>
      </c>
      <c r="C148" s="19" t="s">
        <v>690</v>
      </c>
      <c r="D148" s="19" t="s">
        <v>689</v>
      </c>
      <c r="E148" s="19" t="s">
        <v>65</v>
      </c>
      <c r="F148" s="8" t="s">
        <v>67</v>
      </c>
      <c r="G148" s="8" t="s">
        <v>68</v>
      </c>
      <c r="H148" s="19" t="s">
        <v>118</v>
      </c>
      <c r="I148" s="19" t="s">
        <v>674</v>
      </c>
      <c r="J148" s="19" t="s">
        <v>232</v>
      </c>
    </row>
    <row r="149" ht="16" customHeight="1" outlineLevel="2" spans="1:10">
      <c r="A149" s="18">
        <v>3</v>
      </c>
      <c r="B149" s="18">
        <v>43</v>
      </c>
      <c r="C149" s="19" t="s">
        <v>1108</v>
      </c>
      <c r="D149" s="19" t="s">
        <v>1107</v>
      </c>
      <c r="E149" s="19" t="s">
        <v>65</v>
      </c>
      <c r="F149" s="8" t="s">
        <v>67</v>
      </c>
      <c r="G149" s="8" t="s">
        <v>68</v>
      </c>
      <c r="H149" s="19" t="s">
        <v>145</v>
      </c>
      <c r="I149" s="19" t="s">
        <v>1098</v>
      </c>
      <c r="J149" s="19" t="s">
        <v>223</v>
      </c>
    </row>
    <row r="150" ht="16" customHeight="1" outlineLevel="2" spans="1:10">
      <c r="A150" s="18">
        <v>3</v>
      </c>
      <c r="B150" s="18">
        <v>44</v>
      </c>
      <c r="C150" s="19" t="s">
        <v>946</v>
      </c>
      <c r="D150" s="19" t="s">
        <v>945</v>
      </c>
      <c r="E150" s="19" t="s">
        <v>65</v>
      </c>
      <c r="F150" s="8" t="s">
        <v>67</v>
      </c>
      <c r="G150" s="8" t="s">
        <v>68</v>
      </c>
      <c r="H150" s="19" t="s">
        <v>137</v>
      </c>
      <c r="I150" s="19" t="s">
        <v>928</v>
      </c>
      <c r="J150" s="19" t="s">
        <v>235</v>
      </c>
    </row>
    <row r="151" ht="16" customHeight="1" outlineLevel="2" spans="1:10">
      <c r="A151" s="18">
        <v>3</v>
      </c>
      <c r="B151" s="18">
        <v>45</v>
      </c>
      <c r="C151" s="19" t="s">
        <v>595</v>
      </c>
      <c r="D151" s="19" t="s">
        <v>594</v>
      </c>
      <c r="E151" s="19" t="s">
        <v>65</v>
      </c>
      <c r="F151" s="8" t="s">
        <v>67</v>
      </c>
      <c r="G151" s="8" t="s">
        <v>68</v>
      </c>
      <c r="H151" s="19" t="s">
        <v>110</v>
      </c>
      <c r="I151" s="19" t="s">
        <v>589</v>
      </c>
      <c r="J151" s="19" t="s">
        <v>217</v>
      </c>
    </row>
    <row r="152" ht="16" customHeight="1" outlineLevel="2" spans="1:10">
      <c r="A152" s="18">
        <v>3</v>
      </c>
      <c r="B152" s="18">
        <v>46</v>
      </c>
      <c r="C152" s="19" t="s">
        <v>897</v>
      </c>
      <c r="D152" s="19" t="s">
        <v>896</v>
      </c>
      <c r="E152" s="19" t="s">
        <v>65</v>
      </c>
      <c r="F152" s="8" t="s">
        <v>67</v>
      </c>
      <c r="G152" s="8" t="s">
        <v>68</v>
      </c>
      <c r="H152" s="19" t="s">
        <v>132</v>
      </c>
      <c r="I152" s="19" t="s">
        <v>843</v>
      </c>
      <c r="J152" s="19" t="s">
        <v>289</v>
      </c>
    </row>
    <row r="153" ht="16" customHeight="1" outlineLevel="2" spans="1:10">
      <c r="A153" s="18">
        <v>3</v>
      </c>
      <c r="B153" s="18">
        <v>47</v>
      </c>
      <c r="C153" s="19" t="s">
        <v>625</v>
      </c>
      <c r="D153" s="19" t="s">
        <v>624</v>
      </c>
      <c r="E153" s="19" t="s">
        <v>65</v>
      </c>
      <c r="F153" s="8" t="s">
        <v>67</v>
      </c>
      <c r="G153" s="8" t="s">
        <v>68</v>
      </c>
      <c r="H153" s="19" t="s">
        <v>110</v>
      </c>
      <c r="I153" s="19" t="s">
        <v>589</v>
      </c>
      <c r="J153" s="19" t="s">
        <v>262</v>
      </c>
    </row>
    <row r="154" ht="16" customHeight="1" outlineLevel="2" spans="1:10">
      <c r="A154" s="18">
        <v>3</v>
      </c>
      <c r="B154" s="18">
        <v>48</v>
      </c>
      <c r="C154" s="19" t="s">
        <v>820</v>
      </c>
      <c r="D154" s="19" t="s">
        <v>819</v>
      </c>
      <c r="E154" s="19" t="s">
        <v>65</v>
      </c>
      <c r="F154" s="8" t="s">
        <v>67</v>
      </c>
      <c r="G154" s="8" t="s">
        <v>68</v>
      </c>
      <c r="H154" s="19" t="s">
        <v>123</v>
      </c>
      <c r="I154" s="19" t="s">
        <v>758</v>
      </c>
      <c r="J154" s="19" t="s">
        <v>301</v>
      </c>
    </row>
    <row r="155" ht="16" customHeight="1" outlineLevel="2" spans="1:10">
      <c r="A155" s="18">
        <v>3</v>
      </c>
      <c r="B155" s="18">
        <v>49</v>
      </c>
      <c r="C155" s="19" t="s">
        <v>402</v>
      </c>
      <c r="D155" s="19" t="s">
        <v>401</v>
      </c>
      <c r="E155" s="19" t="s">
        <v>65</v>
      </c>
      <c r="F155" s="8" t="s">
        <v>67</v>
      </c>
      <c r="G155" s="8" t="s">
        <v>68</v>
      </c>
      <c r="H155" s="19" t="s">
        <v>86</v>
      </c>
      <c r="I155" s="19" t="s">
        <v>334</v>
      </c>
      <c r="J155" s="19" t="s">
        <v>310</v>
      </c>
    </row>
    <row r="156" ht="16" customHeight="1" outlineLevel="2" spans="1:10">
      <c r="A156" s="18">
        <v>3</v>
      </c>
      <c r="B156" s="18">
        <v>50</v>
      </c>
      <c r="C156" s="19" t="s">
        <v>1029</v>
      </c>
      <c r="D156" s="19" t="s">
        <v>1028</v>
      </c>
      <c r="E156" s="19" t="s">
        <v>65</v>
      </c>
      <c r="F156" s="8" t="s">
        <v>67</v>
      </c>
      <c r="G156" s="8" t="s">
        <v>68</v>
      </c>
      <c r="H156" s="7" t="s">
        <v>141</v>
      </c>
      <c r="I156" s="19" t="s">
        <v>1013</v>
      </c>
      <c r="J156" s="7" t="s">
        <v>232</v>
      </c>
    </row>
    <row r="157" ht="16" customHeight="1" outlineLevel="2" spans="1:10">
      <c r="A157" s="18">
        <v>3</v>
      </c>
      <c r="B157" s="18">
        <v>51</v>
      </c>
      <c r="C157" s="19" t="s">
        <v>909</v>
      </c>
      <c r="D157" s="19" t="s">
        <v>908</v>
      </c>
      <c r="E157" s="19" t="s">
        <v>65</v>
      </c>
      <c r="F157" s="8" t="s">
        <v>67</v>
      </c>
      <c r="G157" s="8" t="s">
        <v>68</v>
      </c>
      <c r="H157" s="19" t="s">
        <v>132</v>
      </c>
      <c r="I157" s="19" t="s">
        <v>843</v>
      </c>
      <c r="J157" s="19" t="s">
        <v>307</v>
      </c>
    </row>
    <row r="158" ht="16" customHeight="1" outlineLevel="2" spans="1:10">
      <c r="A158" s="18">
        <v>3</v>
      </c>
      <c r="B158" s="18">
        <v>52</v>
      </c>
      <c r="C158" s="19" t="s">
        <v>1031</v>
      </c>
      <c r="D158" s="19" t="s">
        <v>1030</v>
      </c>
      <c r="E158" s="19" t="s">
        <v>65</v>
      </c>
      <c r="F158" s="8" t="s">
        <v>67</v>
      </c>
      <c r="G158" s="8" t="s">
        <v>68</v>
      </c>
      <c r="H158" s="19" t="s">
        <v>141</v>
      </c>
      <c r="I158" s="19" t="s">
        <v>1013</v>
      </c>
      <c r="J158" s="19" t="s">
        <v>235</v>
      </c>
    </row>
    <row r="159" ht="16" customHeight="1" outlineLevel="2" spans="1:10">
      <c r="A159" s="18">
        <v>3</v>
      </c>
      <c r="B159" s="18">
        <v>53</v>
      </c>
      <c r="C159" s="19" t="s">
        <v>760</v>
      </c>
      <c r="D159" s="19" t="s">
        <v>759</v>
      </c>
      <c r="E159" s="19" t="s">
        <v>65</v>
      </c>
      <c r="F159" s="8" t="s">
        <v>67</v>
      </c>
      <c r="G159" s="8" t="s">
        <v>68</v>
      </c>
      <c r="H159" s="19" t="s">
        <v>123</v>
      </c>
      <c r="I159" s="19" t="s">
        <v>758</v>
      </c>
      <c r="J159" s="19" t="s">
        <v>210</v>
      </c>
    </row>
    <row r="160" ht="16" customHeight="1" outlineLevel="1" spans="1:10">
      <c r="A160" s="21" t="s">
        <v>1914</v>
      </c>
      <c r="B160" s="18"/>
      <c r="C160" s="19">
        <f>SUBTOTAL(3,C107:C159)</f>
        <v>53</v>
      </c>
      <c r="D160" s="19"/>
      <c r="E160" s="19"/>
      <c r="F160" s="8"/>
      <c r="G160" s="8"/>
      <c r="H160" s="19"/>
      <c r="I160" s="19"/>
      <c r="J160" s="19"/>
    </row>
    <row r="161" ht="16" customHeight="1" outlineLevel="2" spans="1:10">
      <c r="A161" s="18">
        <v>4</v>
      </c>
      <c r="B161" s="18">
        <v>1</v>
      </c>
      <c r="C161" s="19" t="s">
        <v>406</v>
      </c>
      <c r="D161" s="19" t="s">
        <v>405</v>
      </c>
      <c r="E161" s="19" t="s">
        <v>65</v>
      </c>
      <c r="F161" s="8" t="s">
        <v>67</v>
      </c>
      <c r="G161" s="8" t="s">
        <v>68</v>
      </c>
      <c r="H161" s="19" t="s">
        <v>86</v>
      </c>
      <c r="I161" s="19" t="s">
        <v>334</v>
      </c>
      <c r="J161" s="19" t="s">
        <v>316</v>
      </c>
    </row>
    <row r="162" ht="16" customHeight="1" outlineLevel="2" spans="1:10">
      <c r="A162" s="18">
        <v>4</v>
      </c>
      <c r="B162" s="18">
        <v>2</v>
      </c>
      <c r="C162" s="19" t="s">
        <v>1069</v>
      </c>
      <c r="D162" s="19" t="s">
        <v>1068</v>
      </c>
      <c r="E162" s="19" t="s">
        <v>65</v>
      </c>
      <c r="F162" s="8" t="s">
        <v>67</v>
      </c>
      <c r="G162" s="8" t="s">
        <v>68</v>
      </c>
      <c r="H162" s="19" t="s">
        <v>141</v>
      </c>
      <c r="I162" s="19" t="s">
        <v>1013</v>
      </c>
      <c r="J162" s="19" t="s">
        <v>292</v>
      </c>
    </row>
    <row r="163" ht="16" customHeight="1" outlineLevel="2" spans="1:10">
      <c r="A163" s="18">
        <v>4</v>
      </c>
      <c r="B163" s="18">
        <v>3</v>
      </c>
      <c r="C163" s="19" t="s">
        <v>964</v>
      </c>
      <c r="D163" s="19" t="s">
        <v>963</v>
      </c>
      <c r="E163" s="19" t="s">
        <v>65</v>
      </c>
      <c r="F163" s="8" t="s">
        <v>67</v>
      </c>
      <c r="G163" s="8" t="s">
        <v>68</v>
      </c>
      <c r="H163" s="19" t="s">
        <v>137</v>
      </c>
      <c r="I163" s="19" t="s">
        <v>928</v>
      </c>
      <c r="J163" s="19" t="s">
        <v>262</v>
      </c>
    </row>
    <row r="164" ht="16" customHeight="1" outlineLevel="2" spans="1:10">
      <c r="A164" s="18">
        <v>4</v>
      </c>
      <c r="B164" s="18">
        <v>4</v>
      </c>
      <c r="C164" s="19" t="s">
        <v>261</v>
      </c>
      <c r="D164" s="19" t="s">
        <v>260</v>
      </c>
      <c r="E164" s="19" t="s">
        <v>65</v>
      </c>
      <c r="F164" s="8" t="s">
        <v>67</v>
      </c>
      <c r="G164" s="8" t="s">
        <v>68</v>
      </c>
      <c r="H164" s="19" t="s">
        <v>73</v>
      </c>
      <c r="I164" s="19" t="s">
        <v>206</v>
      </c>
      <c r="J164" s="19" t="s">
        <v>262</v>
      </c>
    </row>
    <row r="165" ht="16" customHeight="1" outlineLevel="2" spans="1:10">
      <c r="A165" s="18">
        <v>4</v>
      </c>
      <c r="B165" s="18">
        <v>5</v>
      </c>
      <c r="C165" s="19" t="s">
        <v>1842</v>
      </c>
      <c r="D165" s="19" t="s">
        <v>1841</v>
      </c>
      <c r="E165" s="19" t="s">
        <v>65</v>
      </c>
      <c r="F165" s="8" t="s">
        <v>67</v>
      </c>
      <c r="G165" s="8" t="s">
        <v>68</v>
      </c>
      <c r="H165" s="7" t="s">
        <v>155</v>
      </c>
      <c r="I165" s="19" t="s">
        <v>1779</v>
      </c>
      <c r="J165" s="7" t="s">
        <v>301</v>
      </c>
    </row>
    <row r="166" ht="16" customHeight="1" outlineLevel="2" spans="1:10">
      <c r="A166" s="18">
        <v>4</v>
      </c>
      <c r="B166" s="18">
        <v>6</v>
      </c>
      <c r="C166" s="19" t="s">
        <v>225</v>
      </c>
      <c r="D166" s="19" t="s">
        <v>224</v>
      </c>
      <c r="E166" s="19" t="s">
        <v>65</v>
      </c>
      <c r="F166" s="8" t="s">
        <v>67</v>
      </c>
      <c r="G166" s="8" t="s">
        <v>68</v>
      </c>
      <c r="H166" s="19" t="s">
        <v>73</v>
      </c>
      <c r="I166" s="19" t="s">
        <v>206</v>
      </c>
      <c r="J166" s="19" t="s">
        <v>226</v>
      </c>
    </row>
    <row r="167" ht="16" customHeight="1" outlineLevel="2" spans="1:10">
      <c r="A167" s="18">
        <v>4</v>
      </c>
      <c r="B167" s="18">
        <v>7</v>
      </c>
      <c r="C167" s="19" t="s">
        <v>998</v>
      </c>
      <c r="D167" s="19" t="s">
        <v>997</v>
      </c>
      <c r="E167" s="19" t="s">
        <v>65</v>
      </c>
      <c r="F167" s="8" t="s">
        <v>67</v>
      </c>
      <c r="G167" s="8" t="s">
        <v>68</v>
      </c>
      <c r="H167" s="19" t="s">
        <v>137</v>
      </c>
      <c r="I167" s="19" t="s">
        <v>928</v>
      </c>
      <c r="J167" s="19" t="s">
        <v>313</v>
      </c>
    </row>
    <row r="168" ht="16" customHeight="1" outlineLevel="2" spans="1:10">
      <c r="A168" s="18">
        <v>4</v>
      </c>
      <c r="B168" s="18">
        <v>8</v>
      </c>
      <c r="C168" s="19" t="s">
        <v>231</v>
      </c>
      <c r="D168" s="19" t="s">
        <v>230</v>
      </c>
      <c r="E168" s="19" t="s">
        <v>65</v>
      </c>
      <c r="F168" s="8" t="s">
        <v>67</v>
      </c>
      <c r="G168" s="8" t="s">
        <v>68</v>
      </c>
      <c r="H168" s="19" t="s">
        <v>73</v>
      </c>
      <c r="I168" s="19" t="s">
        <v>206</v>
      </c>
      <c r="J168" s="19" t="s">
        <v>232</v>
      </c>
    </row>
    <row r="169" ht="16" customHeight="1" outlineLevel="2" spans="1:10">
      <c r="A169" s="18">
        <v>4</v>
      </c>
      <c r="B169" s="18">
        <v>9</v>
      </c>
      <c r="C169" s="19" t="s">
        <v>447</v>
      </c>
      <c r="D169" s="19" t="s">
        <v>446</v>
      </c>
      <c r="E169" s="19" t="s">
        <v>65</v>
      </c>
      <c r="F169" s="8" t="s">
        <v>67</v>
      </c>
      <c r="G169" s="8" t="s">
        <v>68</v>
      </c>
      <c r="H169" s="19" t="s">
        <v>95</v>
      </c>
      <c r="I169" s="19" t="s">
        <v>419</v>
      </c>
      <c r="J169" s="19" t="s">
        <v>250</v>
      </c>
    </row>
    <row r="170" ht="16" customHeight="1" outlineLevel="2" spans="1:10">
      <c r="A170" s="18">
        <v>4</v>
      </c>
      <c r="B170" s="18">
        <v>10</v>
      </c>
      <c r="C170" s="19" t="s">
        <v>324</v>
      </c>
      <c r="D170" s="19" t="s">
        <v>323</v>
      </c>
      <c r="E170" s="19" t="s">
        <v>65</v>
      </c>
      <c r="F170" s="8" t="s">
        <v>67</v>
      </c>
      <c r="G170" s="8" t="s">
        <v>68</v>
      </c>
      <c r="H170" s="19" t="s">
        <v>73</v>
      </c>
      <c r="I170" s="19" t="s">
        <v>206</v>
      </c>
      <c r="J170" s="19" t="s">
        <v>325</v>
      </c>
    </row>
    <row r="171" ht="16" customHeight="1" outlineLevel="2" spans="1:10">
      <c r="A171" s="18">
        <v>4</v>
      </c>
      <c r="B171" s="18">
        <v>11</v>
      </c>
      <c r="C171" s="19" t="s">
        <v>895</v>
      </c>
      <c r="D171" s="19" t="s">
        <v>894</v>
      </c>
      <c r="E171" s="19" t="s">
        <v>65</v>
      </c>
      <c r="F171" s="8" t="s">
        <v>67</v>
      </c>
      <c r="G171" s="8" t="s">
        <v>68</v>
      </c>
      <c r="H171" s="19" t="s">
        <v>132</v>
      </c>
      <c r="I171" s="19" t="s">
        <v>843</v>
      </c>
      <c r="J171" s="19" t="s">
        <v>286</v>
      </c>
    </row>
    <row r="172" ht="16" customHeight="1" outlineLevel="2" spans="1:10">
      <c r="A172" s="18">
        <v>4</v>
      </c>
      <c r="B172" s="18">
        <v>12</v>
      </c>
      <c r="C172" s="19" t="s">
        <v>647</v>
      </c>
      <c r="D172" s="19" t="s">
        <v>646</v>
      </c>
      <c r="E172" s="19" t="s">
        <v>65</v>
      </c>
      <c r="F172" s="8" t="s">
        <v>67</v>
      </c>
      <c r="G172" s="8" t="s">
        <v>68</v>
      </c>
      <c r="H172" s="19" t="s">
        <v>110</v>
      </c>
      <c r="I172" s="19" t="s">
        <v>589</v>
      </c>
      <c r="J172" s="19" t="s">
        <v>295</v>
      </c>
    </row>
    <row r="173" ht="16" customHeight="1" outlineLevel="2" spans="1:10">
      <c r="A173" s="18">
        <v>4</v>
      </c>
      <c r="B173" s="18">
        <v>13</v>
      </c>
      <c r="C173" s="19" t="s">
        <v>952</v>
      </c>
      <c r="D173" s="19" t="s">
        <v>951</v>
      </c>
      <c r="E173" s="19" t="s">
        <v>65</v>
      </c>
      <c r="F173" s="8" t="s">
        <v>67</v>
      </c>
      <c r="G173" s="8" t="s">
        <v>68</v>
      </c>
      <c r="H173" s="19" t="s">
        <v>137</v>
      </c>
      <c r="I173" s="19" t="s">
        <v>928</v>
      </c>
      <c r="J173" s="19" t="s">
        <v>244</v>
      </c>
    </row>
    <row r="174" ht="16" customHeight="1" outlineLevel="2" spans="1:10">
      <c r="A174" s="18">
        <v>4</v>
      </c>
      <c r="B174" s="18">
        <v>14</v>
      </c>
      <c r="C174" s="19" t="s">
        <v>300</v>
      </c>
      <c r="D174" s="19" t="s">
        <v>299</v>
      </c>
      <c r="E174" s="19" t="s">
        <v>65</v>
      </c>
      <c r="F174" s="8" t="s">
        <v>67</v>
      </c>
      <c r="G174" s="8" t="s">
        <v>68</v>
      </c>
      <c r="H174" s="19" t="s">
        <v>73</v>
      </c>
      <c r="I174" s="19" t="s">
        <v>206</v>
      </c>
      <c r="J174" s="19" t="s">
        <v>301</v>
      </c>
    </row>
    <row r="175" ht="16" customHeight="1" outlineLevel="2" spans="1:10">
      <c r="A175" s="18">
        <v>4</v>
      </c>
      <c r="B175" s="18">
        <v>15</v>
      </c>
      <c r="C175" s="19" t="s">
        <v>1079</v>
      </c>
      <c r="D175" s="19" t="s">
        <v>1078</v>
      </c>
      <c r="E175" s="19" t="s">
        <v>65</v>
      </c>
      <c r="F175" s="8" t="s">
        <v>67</v>
      </c>
      <c r="G175" s="8" t="s">
        <v>68</v>
      </c>
      <c r="H175" s="19" t="s">
        <v>141</v>
      </c>
      <c r="I175" s="19" t="s">
        <v>1013</v>
      </c>
      <c r="J175" s="19" t="s">
        <v>307</v>
      </c>
    </row>
    <row r="176" ht="16" customHeight="1" outlineLevel="2" spans="1:10">
      <c r="A176" s="18">
        <v>4</v>
      </c>
      <c r="B176" s="18">
        <v>16</v>
      </c>
      <c r="C176" s="19" t="s">
        <v>784</v>
      </c>
      <c r="D176" s="19" t="s">
        <v>783</v>
      </c>
      <c r="E176" s="19" t="s">
        <v>65</v>
      </c>
      <c r="F176" s="8" t="s">
        <v>67</v>
      </c>
      <c r="G176" s="8" t="s">
        <v>68</v>
      </c>
      <c r="H176" s="19" t="s">
        <v>123</v>
      </c>
      <c r="I176" s="19" t="s">
        <v>758</v>
      </c>
      <c r="J176" s="19" t="s">
        <v>247</v>
      </c>
    </row>
    <row r="177" ht="16" customHeight="1" outlineLevel="2" spans="1:10">
      <c r="A177" s="18">
        <v>4</v>
      </c>
      <c r="B177" s="18">
        <v>17</v>
      </c>
      <c r="C177" s="19" t="s">
        <v>1097</v>
      </c>
      <c r="D177" s="19" t="s">
        <v>1096</v>
      </c>
      <c r="E177" s="19" t="s">
        <v>65</v>
      </c>
      <c r="F177" s="8" t="s">
        <v>67</v>
      </c>
      <c r="G177" s="8" t="s">
        <v>68</v>
      </c>
      <c r="H177" s="19" t="s">
        <v>145</v>
      </c>
      <c r="I177" s="19" t="s">
        <v>1098</v>
      </c>
      <c r="J177" s="19" t="s">
        <v>207</v>
      </c>
    </row>
    <row r="178" ht="16" customHeight="1" outlineLevel="2" spans="1:10">
      <c r="A178" s="18">
        <v>4</v>
      </c>
      <c r="B178" s="18">
        <v>18</v>
      </c>
      <c r="C178" s="19" t="s">
        <v>676</v>
      </c>
      <c r="D178" s="19" t="s">
        <v>675</v>
      </c>
      <c r="E178" s="19" t="s">
        <v>65</v>
      </c>
      <c r="F178" s="8" t="s">
        <v>67</v>
      </c>
      <c r="G178" s="8" t="s">
        <v>68</v>
      </c>
      <c r="H178" s="19" t="s">
        <v>118</v>
      </c>
      <c r="I178" s="19" t="s">
        <v>674</v>
      </c>
      <c r="J178" s="19" t="s">
        <v>210</v>
      </c>
    </row>
    <row r="179" ht="16" customHeight="1" outlineLevel="2" spans="1:10">
      <c r="A179" s="18">
        <v>4</v>
      </c>
      <c r="B179" s="18">
        <v>19</v>
      </c>
      <c r="C179" s="19" t="s">
        <v>400</v>
      </c>
      <c r="D179" s="19" t="s">
        <v>399</v>
      </c>
      <c r="E179" s="19" t="s">
        <v>65</v>
      </c>
      <c r="F179" s="8" t="s">
        <v>67</v>
      </c>
      <c r="G179" s="8" t="s">
        <v>68</v>
      </c>
      <c r="H179" s="19" t="s">
        <v>86</v>
      </c>
      <c r="I179" s="19" t="s">
        <v>334</v>
      </c>
      <c r="J179" s="19" t="s">
        <v>307</v>
      </c>
    </row>
    <row r="180" ht="16" customHeight="1" outlineLevel="2" spans="1:10">
      <c r="A180" s="18">
        <v>4</v>
      </c>
      <c r="B180" s="18">
        <v>20</v>
      </c>
      <c r="C180" s="19" t="s">
        <v>388</v>
      </c>
      <c r="D180" s="19" t="s">
        <v>387</v>
      </c>
      <c r="E180" s="19" t="s">
        <v>65</v>
      </c>
      <c r="F180" s="8" t="s">
        <v>67</v>
      </c>
      <c r="G180" s="8" t="s">
        <v>68</v>
      </c>
      <c r="H180" s="19" t="s">
        <v>86</v>
      </c>
      <c r="I180" s="19" t="s">
        <v>334</v>
      </c>
      <c r="J180" s="19" t="s">
        <v>289</v>
      </c>
    </row>
    <row r="181" ht="16" customHeight="1" outlineLevel="2" spans="1:10">
      <c r="A181" s="18">
        <v>4</v>
      </c>
      <c r="B181" s="18">
        <v>21</v>
      </c>
      <c r="C181" s="19" t="s">
        <v>661</v>
      </c>
      <c r="D181" s="19" t="s">
        <v>660</v>
      </c>
      <c r="E181" s="19" t="s">
        <v>65</v>
      </c>
      <c r="F181" s="8" t="s">
        <v>67</v>
      </c>
      <c r="G181" s="8" t="s">
        <v>68</v>
      </c>
      <c r="H181" s="19" t="s">
        <v>110</v>
      </c>
      <c r="I181" s="19" t="s">
        <v>589</v>
      </c>
      <c r="J181" s="19" t="s">
        <v>316</v>
      </c>
    </row>
    <row r="182" ht="16" customHeight="1" outlineLevel="2" spans="1:10">
      <c r="A182" s="18">
        <v>4</v>
      </c>
      <c r="B182" s="18">
        <v>22</v>
      </c>
      <c r="C182" s="19" t="s">
        <v>437</v>
      </c>
      <c r="D182" s="19" t="s">
        <v>436</v>
      </c>
      <c r="E182" s="19" t="s">
        <v>65</v>
      </c>
      <c r="F182" s="8" t="s">
        <v>67</v>
      </c>
      <c r="G182" s="8" t="s">
        <v>68</v>
      </c>
      <c r="H182" s="19" t="s">
        <v>95</v>
      </c>
      <c r="I182" s="19" t="s">
        <v>419</v>
      </c>
      <c r="J182" s="19" t="s">
        <v>235</v>
      </c>
    </row>
    <row r="183" ht="16" customHeight="1" outlineLevel="2" spans="1:10">
      <c r="A183" s="18">
        <v>4</v>
      </c>
      <c r="B183" s="18">
        <v>23</v>
      </c>
      <c r="C183" s="19" t="s">
        <v>889</v>
      </c>
      <c r="D183" s="19" t="s">
        <v>888</v>
      </c>
      <c r="E183" s="19" t="s">
        <v>65</v>
      </c>
      <c r="F183" s="8" t="s">
        <v>67</v>
      </c>
      <c r="G183" s="8" t="s">
        <v>68</v>
      </c>
      <c r="H183" s="19" t="s">
        <v>132</v>
      </c>
      <c r="I183" s="19" t="s">
        <v>843</v>
      </c>
      <c r="J183" s="19" t="s">
        <v>277</v>
      </c>
    </row>
    <row r="184" ht="16" customHeight="1" outlineLevel="2" spans="1:10">
      <c r="A184" s="18">
        <v>4</v>
      </c>
      <c r="B184" s="18">
        <v>24</v>
      </c>
      <c r="C184" s="19" t="s">
        <v>753</v>
      </c>
      <c r="D184" s="19" t="s">
        <v>752</v>
      </c>
      <c r="E184" s="19" t="s">
        <v>65</v>
      </c>
      <c r="F184" s="8" t="s">
        <v>67</v>
      </c>
      <c r="G184" s="8" t="s">
        <v>68</v>
      </c>
      <c r="H184" s="19" t="s">
        <v>118</v>
      </c>
      <c r="I184" s="19" t="s">
        <v>674</v>
      </c>
      <c r="J184" s="19" t="s">
        <v>328</v>
      </c>
    </row>
    <row r="185" ht="16" customHeight="1" outlineLevel="2" spans="1:10">
      <c r="A185" s="18">
        <v>4</v>
      </c>
      <c r="B185" s="18">
        <v>25</v>
      </c>
      <c r="C185" s="19" t="s">
        <v>1838</v>
      </c>
      <c r="D185" s="19" t="s">
        <v>1837</v>
      </c>
      <c r="E185" s="19" t="s">
        <v>65</v>
      </c>
      <c r="F185" s="8" t="s">
        <v>67</v>
      </c>
      <c r="G185" s="8" t="s">
        <v>68</v>
      </c>
      <c r="H185" s="19" t="s">
        <v>155</v>
      </c>
      <c r="I185" s="19" t="s">
        <v>1779</v>
      </c>
      <c r="J185" s="19" t="s">
        <v>295</v>
      </c>
    </row>
    <row r="186" ht="16" customHeight="1" outlineLevel="2" spans="1:10">
      <c r="A186" s="18">
        <v>4</v>
      </c>
      <c r="B186" s="18">
        <v>26</v>
      </c>
      <c r="C186" s="19" t="s">
        <v>1012</v>
      </c>
      <c r="D186" s="19" t="s">
        <v>1011</v>
      </c>
      <c r="E186" s="19" t="s">
        <v>65</v>
      </c>
      <c r="F186" s="8" t="s">
        <v>67</v>
      </c>
      <c r="G186" s="8" t="s">
        <v>68</v>
      </c>
      <c r="H186" s="19" t="s">
        <v>141</v>
      </c>
      <c r="I186" s="19" t="s">
        <v>1013</v>
      </c>
      <c r="J186" s="19" t="s">
        <v>207</v>
      </c>
    </row>
    <row r="187" ht="16" customHeight="1" outlineLevel="2" spans="1:10">
      <c r="A187" s="18">
        <v>4</v>
      </c>
      <c r="B187" s="18">
        <v>27</v>
      </c>
      <c r="C187" s="19" t="s">
        <v>455</v>
      </c>
      <c r="D187" s="19" t="s">
        <v>454</v>
      </c>
      <c r="E187" s="19" t="s">
        <v>65</v>
      </c>
      <c r="F187" s="8" t="s">
        <v>67</v>
      </c>
      <c r="G187" s="8" t="s">
        <v>68</v>
      </c>
      <c r="H187" s="19" t="s">
        <v>95</v>
      </c>
      <c r="I187" s="19" t="s">
        <v>419</v>
      </c>
      <c r="J187" s="19" t="s">
        <v>262</v>
      </c>
    </row>
    <row r="188" ht="16" customHeight="1" outlineLevel="2" spans="1:10">
      <c r="A188" s="18">
        <v>4</v>
      </c>
      <c r="B188" s="18">
        <v>28</v>
      </c>
      <c r="C188" s="19" t="s">
        <v>1035</v>
      </c>
      <c r="D188" s="19" t="s">
        <v>1034</v>
      </c>
      <c r="E188" s="19" t="s">
        <v>65</v>
      </c>
      <c r="F188" s="8" t="s">
        <v>67</v>
      </c>
      <c r="G188" s="8" t="s">
        <v>68</v>
      </c>
      <c r="H188" s="19" t="s">
        <v>141</v>
      </c>
      <c r="I188" s="19" t="s">
        <v>1013</v>
      </c>
      <c r="J188" s="19" t="s">
        <v>241</v>
      </c>
    </row>
    <row r="189" ht="16" customHeight="1" outlineLevel="2" spans="1:10">
      <c r="A189" s="18">
        <v>4</v>
      </c>
      <c r="B189" s="18">
        <v>29</v>
      </c>
      <c r="C189" s="19" t="s">
        <v>449</v>
      </c>
      <c r="D189" s="19" t="s">
        <v>448</v>
      </c>
      <c r="E189" s="19" t="s">
        <v>65</v>
      </c>
      <c r="F189" s="8" t="s">
        <v>67</v>
      </c>
      <c r="G189" s="8" t="s">
        <v>68</v>
      </c>
      <c r="H189" s="19" t="s">
        <v>95</v>
      </c>
      <c r="I189" s="19" t="s">
        <v>419</v>
      </c>
      <c r="J189" s="19" t="s">
        <v>253</v>
      </c>
    </row>
    <row r="190" ht="16" customHeight="1" outlineLevel="2" spans="1:10">
      <c r="A190" s="18">
        <v>4</v>
      </c>
      <c r="B190" s="18">
        <v>30</v>
      </c>
      <c r="C190" s="19" t="s">
        <v>568</v>
      </c>
      <c r="D190" s="19" t="s">
        <v>567</v>
      </c>
      <c r="E190" s="19" t="s">
        <v>65</v>
      </c>
      <c r="F190" s="8" t="s">
        <v>67</v>
      </c>
      <c r="G190" s="8" t="s">
        <v>68</v>
      </c>
      <c r="H190" s="19" t="s">
        <v>104</v>
      </c>
      <c r="I190" s="19" t="s">
        <v>504</v>
      </c>
      <c r="J190" s="19" t="s">
        <v>304</v>
      </c>
    </row>
    <row r="191" ht="16" customHeight="1" outlineLevel="2" spans="1:10">
      <c r="A191" s="18">
        <v>4</v>
      </c>
      <c r="B191" s="18">
        <v>31</v>
      </c>
      <c r="C191" s="19" t="s">
        <v>798</v>
      </c>
      <c r="D191" s="19" t="s">
        <v>797</v>
      </c>
      <c r="E191" s="19" t="s">
        <v>65</v>
      </c>
      <c r="F191" s="8" t="s">
        <v>67</v>
      </c>
      <c r="G191" s="8" t="s">
        <v>68</v>
      </c>
      <c r="H191" s="19" t="s">
        <v>123</v>
      </c>
      <c r="I191" s="19" t="s">
        <v>758</v>
      </c>
      <c r="J191" s="19" t="s">
        <v>268</v>
      </c>
    </row>
    <row r="192" ht="16" customHeight="1" outlineLevel="2" spans="1:10">
      <c r="A192" s="18">
        <v>4</v>
      </c>
      <c r="B192" s="18">
        <v>32</v>
      </c>
      <c r="C192" s="19" t="s">
        <v>816</v>
      </c>
      <c r="D192" s="19" t="s">
        <v>815</v>
      </c>
      <c r="E192" s="19" t="s">
        <v>65</v>
      </c>
      <c r="F192" s="8" t="s">
        <v>67</v>
      </c>
      <c r="G192" s="8" t="s">
        <v>68</v>
      </c>
      <c r="H192" s="19" t="s">
        <v>123</v>
      </c>
      <c r="I192" s="19" t="s">
        <v>758</v>
      </c>
      <c r="J192" s="19" t="s">
        <v>295</v>
      </c>
    </row>
    <row r="193" ht="16" customHeight="1" outlineLevel="2" spans="1:10">
      <c r="A193" s="18">
        <v>4</v>
      </c>
      <c r="B193" s="18">
        <v>33</v>
      </c>
      <c r="C193" s="19" t="s">
        <v>378</v>
      </c>
      <c r="D193" s="19" t="s">
        <v>377</v>
      </c>
      <c r="E193" s="19" t="s">
        <v>65</v>
      </c>
      <c r="F193" s="8" t="s">
        <v>67</v>
      </c>
      <c r="G193" s="8" t="s">
        <v>68</v>
      </c>
      <c r="H193" s="19" t="s">
        <v>86</v>
      </c>
      <c r="I193" s="19" t="s">
        <v>334</v>
      </c>
      <c r="J193" s="19" t="s">
        <v>274</v>
      </c>
    </row>
    <row r="194" ht="16" customHeight="1" outlineLevel="2" spans="1:10">
      <c r="A194" s="18">
        <v>4</v>
      </c>
      <c r="B194" s="18">
        <v>34</v>
      </c>
      <c r="C194" s="19" t="s">
        <v>996</v>
      </c>
      <c r="D194" s="19" t="s">
        <v>995</v>
      </c>
      <c r="E194" s="19" t="s">
        <v>65</v>
      </c>
      <c r="F194" s="8" t="s">
        <v>67</v>
      </c>
      <c r="G194" s="8" t="s">
        <v>68</v>
      </c>
      <c r="H194" s="19" t="s">
        <v>137</v>
      </c>
      <c r="I194" s="19" t="s">
        <v>928</v>
      </c>
      <c r="J194" s="19" t="s">
        <v>310</v>
      </c>
    </row>
    <row r="195" ht="16" customHeight="1" outlineLevel="2" spans="1:10">
      <c r="A195" s="18">
        <v>4</v>
      </c>
      <c r="B195" s="18">
        <v>35</v>
      </c>
      <c r="C195" s="19" t="s">
        <v>669</v>
      </c>
      <c r="D195" s="19" t="s">
        <v>668</v>
      </c>
      <c r="E195" s="19" t="s">
        <v>65</v>
      </c>
      <c r="F195" s="8" t="s">
        <v>67</v>
      </c>
      <c r="G195" s="8" t="s">
        <v>68</v>
      </c>
      <c r="H195" s="19" t="s">
        <v>110</v>
      </c>
      <c r="I195" s="19" t="s">
        <v>589</v>
      </c>
      <c r="J195" s="19" t="s">
        <v>328</v>
      </c>
    </row>
    <row r="196" ht="16" customHeight="1" outlineLevel="2" spans="1:10">
      <c r="A196" s="18">
        <v>4</v>
      </c>
      <c r="B196" s="18">
        <v>36</v>
      </c>
      <c r="C196" s="19" t="s">
        <v>364</v>
      </c>
      <c r="D196" s="19" t="s">
        <v>363</v>
      </c>
      <c r="E196" s="19" t="s">
        <v>65</v>
      </c>
      <c r="F196" s="8" t="s">
        <v>67</v>
      </c>
      <c r="G196" s="8" t="s">
        <v>68</v>
      </c>
      <c r="H196" s="19" t="s">
        <v>86</v>
      </c>
      <c r="I196" s="19" t="s">
        <v>334</v>
      </c>
      <c r="J196" s="19" t="s">
        <v>253</v>
      </c>
    </row>
    <row r="197" ht="16" customHeight="1" outlineLevel="2" spans="1:10">
      <c r="A197" s="18">
        <v>4</v>
      </c>
      <c r="B197" s="18">
        <v>37</v>
      </c>
      <c r="C197" s="19" t="s">
        <v>609</v>
      </c>
      <c r="D197" s="19" t="s">
        <v>608</v>
      </c>
      <c r="E197" s="19" t="s">
        <v>65</v>
      </c>
      <c r="F197" s="8" t="s">
        <v>67</v>
      </c>
      <c r="G197" s="8" t="s">
        <v>68</v>
      </c>
      <c r="H197" s="19" t="s">
        <v>110</v>
      </c>
      <c r="I197" s="19" t="s">
        <v>589</v>
      </c>
      <c r="J197" s="19" t="s">
        <v>238</v>
      </c>
    </row>
    <row r="198" ht="16" customHeight="1" outlineLevel="2" spans="1:10">
      <c r="A198" s="18">
        <v>4</v>
      </c>
      <c r="B198" s="18">
        <v>38</v>
      </c>
      <c r="C198" s="19" t="s">
        <v>1138</v>
      </c>
      <c r="D198" s="19" t="s">
        <v>1137</v>
      </c>
      <c r="E198" s="19" t="s">
        <v>65</v>
      </c>
      <c r="F198" s="8" t="s">
        <v>67</v>
      </c>
      <c r="G198" s="8" t="s">
        <v>68</v>
      </c>
      <c r="H198" s="19" t="s">
        <v>145</v>
      </c>
      <c r="I198" s="19" t="s">
        <v>1098</v>
      </c>
      <c r="J198" s="19" t="s">
        <v>268</v>
      </c>
    </row>
    <row r="199" ht="16" customHeight="1" outlineLevel="2" spans="1:10">
      <c r="A199" s="18">
        <v>4</v>
      </c>
      <c r="B199" s="18">
        <v>39</v>
      </c>
      <c r="C199" s="19" t="s">
        <v>312</v>
      </c>
      <c r="D199" s="19" t="s">
        <v>311</v>
      </c>
      <c r="E199" s="19" t="s">
        <v>65</v>
      </c>
      <c r="F199" s="8" t="s">
        <v>67</v>
      </c>
      <c r="G199" s="8" t="s">
        <v>68</v>
      </c>
      <c r="H199" s="19" t="s">
        <v>73</v>
      </c>
      <c r="I199" s="19" t="s">
        <v>206</v>
      </c>
      <c r="J199" s="19" t="s">
        <v>313</v>
      </c>
    </row>
    <row r="200" ht="16" customHeight="1" outlineLevel="2" spans="1:10">
      <c r="A200" s="18">
        <v>4</v>
      </c>
      <c r="B200" s="18">
        <v>40</v>
      </c>
      <c r="C200" s="19" t="s">
        <v>576</v>
      </c>
      <c r="D200" s="19" t="s">
        <v>575</v>
      </c>
      <c r="E200" s="19" t="s">
        <v>65</v>
      </c>
      <c r="F200" s="8" t="s">
        <v>67</v>
      </c>
      <c r="G200" s="8" t="s">
        <v>68</v>
      </c>
      <c r="H200" s="19" t="s">
        <v>104</v>
      </c>
      <c r="I200" s="19" t="s">
        <v>504</v>
      </c>
      <c r="J200" s="19" t="s">
        <v>316</v>
      </c>
    </row>
    <row r="201" ht="16" customHeight="1" outlineLevel="2" spans="1:10">
      <c r="A201" s="18">
        <v>4</v>
      </c>
      <c r="B201" s="18">
        <v>41</v>
      </c>
      <c r="C201" s="19" t="s">
        <v>1146</v>
      </c>
      <c r="D201" s="19" t="s">
        <v>1145</v>
      </c>
      <c r="E201" s="19" t="s">
        <v>65</v>
      </c>
      <c r="F201" s="8" t="s">
        <v>67</v>
      </c>
      <c r="G201" s="8" t="s">
        <v>68</v>
      </c>
      <c r="H201" s="19" t="s">
        <v>145</v>
      </c>
      <c r="I201" s="19" t="s">
        <v>1098</v>
      </c>
      <c r="J201" s="19" t="s">
        <v>280</v>
      </c>
    </row>
    <row r="202" ht="16" customHeight="1" outlineLevel="2" spans="1:10">
      <c r="A202" s="18">
        <v>4</v>
      </c>
      <c r="B202" s="18">
        <v>42</v>
      </c>
      <c r="C202" s="19" t="s">
        <v>597</v>
      </c>
      <c r="D202" s="19" t="s">
        <v>596</v>
      </c>
      <c r="E202" s="19" t="s">
        <v>65</v>
      </c>
      <c r="F202" s="8" t="s">
        <v>67</v>
      </c>
      <c r="G202" s="8" t="s">
        <v>68</v>
      </c>
      <c r="H202" s="19" t="s">
        <v>110</v>
      </c>
      <c r="I202" s="19" t="s">
        <v>589</v>
      </c>
      <c r="J202" s="19" t="s">
        <v>220</v>
      </c>
    </row>
    <row r="203" ht="16" customHeight="1" outlineLevel="2" spans="1:10">
      <c r="A203" s="18">
        <v>4</v>
      </c>
      <c r="B203" s="18">
        <v>43</v>
      </c>
      <c r="C203" s="19" t="s">
        <v>930</v>
      </c>
      <c r="D203" s="19" t="s">
        <v>929</v>
      </c>
      <c r="E203" s="19" t="s">
        <v>65</v>
      </c>
      <c r="F203" s="8" t="s">
        <v>67</v>
      </c>
      <c r="G203" s="8" t="s">
        <v>68</v>
      </c>
      <c r="H203" s="19" t="s">
        <v>137</v>
      </c>
      <c r="I203" s="19" t="s">
        <v>928</v>
      </c>
      <c r="J203" s="19" t="s">
        <v>210</v>
      </c>
    </row>
    <row r="204" ht="16" customHeight="1" outlineLevel="2" spans="1:10">
      <c r="A204" s="18">
        <v>4</v>
      </c>
      <c r="B204" s="18">
        <v>44</v>
      </c>
      <c r="C204" s="19" t="s">
        <v>724</v>
      </c>
      <c r="D204" s="19" t="s">
        <v>723</v>
      </c>
      <c r="E204" s="19" t="s">
        <v>65</v>
      </c>
      <c r="F204" s="8" t="s">
        <v>67</v>
      </c>
      <c r="G204" s="8" t="s">
        <v>68</v>
      </c>
      <c r="H204" s="19" t="s">
        <v>118</v>
      </c>
      <c r="I204" s="19" t="s">
        <v>674</v>
      </c>
      <c r="J204" s="19" t="s">
        <v>283</v>
      </c>
    </row>
    <row r="205" ht="16" customHeight="1" outlineLevel="2" spans="1:10">
      <c r="A205" s="18">
        <v>4</v>
      </c>
      <c r="B205" s="18">
        <v>45</v>
      </c>
      <c r="C205" s="19" t="s">
        <v>318</v>
      </c>
      <c r="D205" s="19" t="s">
        <v>317</v>
      </c>
      <c r="E205" s="19" t="s">
        <v>65</v>
      </c>
      <c r="F205" s="8" t="s">
        <v>67</v>
      </c>
      <c r="G205" s="8" t="s">
        <v>68</v>
      </c>
      <c r="H205" s="19" t="s">
        <v>73</v>
      </c>
      <c r="I205" s="19" t="s">
        <v>206</v>
      </c>
      <c r="J205" s="19" t="s">
        <v>319</v>
      </c>
    </row>
    <row r="206" ht="16" customHeight="1" outlineLevel="2" spans="1:10">
      <c r="A206" s="18">
        <v>4</v>
      </c>
      <c r="B206" s="18">
        <v>46</v>
      </c>
      <c r="C206" s="19" t="s">
        <v>1176</v>
      </c>
      <c r="D206" s="19" t="s">
        <v>1175</v>
      </c>
      <c r="E206" s="19" t="s">
        <v>65</v>
      </c>
      <c r="F206" s="8" t="s">
        <v>67</v>
      </c>
      <c r="G206" s="8" t="s">
        <v>68</v>
      </c>
      <c r="H206" s="19" t="s">
        <v>145</v>
      </c>
      <c r="I206" s="19" t="s">
        <v>1098</v>
      </c>
      <c r="J206" s="19" t="s">
        <v>325</v>
      </c>
    </row>
    <row r="207" ht="16" customHeight="1" outlineLevel="2" spans="1:10">
      <c r="A207" s="18">
        <v>4</v>
      </c>
      <c r="B207" s="18">
        <v>47</v>
      </c>
      <c r="C207" s="19" t="s">
        <v>603</v>
      </c>
      <c r="D207" s="19" t="s">
        <v>602</v>
      </c>
      <c r="E207" s="19" t="s">
        <v>65</v>
      </c>
      <c r="F207" s="8" t="s">
        <v>67</v>
      </c>
      <c r="G207" s="8" t="s">
        <v>68</v>
      </c>
      <c r="H207" s="19" t="s">
        <v>110</v>
      </c>
      <c r="I207" s="19" t="s">
        <v>589</v>
      </c>
      <c r="J207" s="19" t="s">
        <v>229</v>
      </c>
    </row>
    <row r="208" ht="16" customHeight="1" outlineLevel="2" spans="1:10">
      <c r="A208" s="18">
        <v>4</v>
      </c>
      <c r="B208" s="18">
        <v>48</v>
      </c>
      <c r="C208" s="19" t="s">
        <v>534</v>
      </c>
      <c r="D208" s="19" t="s">
        <v>533</v>
      </c>
      <c r="E208" s="19" t="s">
        <v>65</v>
      </c>
      <c r="F208" s="8" t="s">
        <v>67</v>
      </c>
      <c r="G208" s="8" t="s">
        <v>68</v>
      </c>
      <c r="H208" s="19" t="s">
        <v>104</v>
      </c>
      <c r="I208" s="19" t="s">
        <v>504</v>
      </c>
      <c r="J208" s="19" t="s">
        <v>253</v>
      </c>
    </row>
    <row r="209" ht="16" customHeight="1" outlineLevel="2" spans="1:10">
      <c r="A209" s="18">
        <v>4</v>
      </c>
      <c r="B209" s="18">
        <v>49</v>
      </c>
      <c r="C209" s="19" t="s">
        <v>285</v>
      </c>
      <c r="D209" s="19" t="s">
        <v>284</v>
      </c>
      <c r="E209" s="19" t="s">
        <v>65</v>
      </c>
      <c r="F209" s="8" t="s">
        <v>67</v>
      </c>
      <c r="G209" s="8" t="s">
        <v>68</v>
      </c>
      <c r="H209" s="19" t="s">
        <v>73</v>
      </c>
      <c r="I209" s="19" t="s">
        <v>206</v>
      </c>
      <c r="J209" s="19" t="s">
        <v>286</v>
      </c>
    </row>
    <row r="210" ht="16" customHeight="1" outlineLevel="2" spans="1:10">
      <c r="A210" s="18">
        <v>4</v>
      </c>
      <c r="B210" s="18">
        <v>50</v>
      </c>
      <c r="C210" s="19" t="s">
        <v>853</v>
      </c>
      <c r="D210" s="19" t="s">
        <v>852</v>
      </c>
      <c r="E210" s="19" t="s">
        <v>65</v>
      </c>
      <c r="F210" s="8" t="s">
        <v>67</v>
      </c>
      <c r="G210" s="8" t="s">
        <v>68</v>
      </c>
      <c r="H210" s="19" t="s">
        <v>132</v>
      </c>
      <c r="I210" s="19" t="s">
        <v>843</v>
      </c>
      <c r="J210" s="19" t="s">
        <v>223</v>
      </c>
    </row>
    <row r="211" ht="16" customHeight="1" outlineLevel="2" spans="1:10">
      <c r="A211" s="18">
        <v>4</v>
      </c>
      <c r="B211" s="18">
        <v>51</v>
      </c>
      <c r="C211" s="19" t="s">
        <v>651</v>
      </c>
      <c r="D211" s="19" t="s">
        <v>650</v>
      </c>
      <c r="E211" s="19" t="s">
        <v>65</v>
      </c>
      <c r="F211" s="8" t="s">
        <v>67</v>
      </c>
      <c r="G211" s="8" t="s">
        <v>68</v>
      </c>
      <c r="H211" s="19" t="s">
        <v>110</v>
      </c>
      <c r="I211" s="19" t="s">
        <v>589</v>
      </c>
      <c r="J211" s="19" t="s">
        <v>301</v>
      </c>
    </row>
    <row r="212" ht="16" customHeight="1" outlineLevel="2" spans="1:10">
      <c r="A212" s="18">
        <v>4</v>
      </c>
      <c r="B212" s="18">
        <v>52</v>
      </c>
      <c r="C212" s="19" t="s">
        <v>1019</v>
      </c>
      <c r="D212" s="19" t="s">
        <v>1018</v>
      </c>
      <c r="E212" s="19" t="s">
        <v>65</v>
      </c>
      <c r="F212" s="8" t="s">
        <v>67</v>
      </c>
      <c r="G212" s="8" t="s">
        <v>68</v>
      </c>
      <c r="H212" s="19" t="s">
        <v>141</v>
      </c>
      <c r="I212" s="19" t="s">
        <v>1013</v>
      </c>
      <c r="J212" s="19" t="s">
        <v>217</v>
      </c>
    </row>
    <row r="213" ht="16" customHeight="1" outlineLevel="1" spans="1:10">
      <c r="A213" s="21" t="s">
        <v>1915</v>
      </c>
      <c r="B213" s="18"/>
      <c r="C213" s="19">
        <f>SUBTOTAL(3,C161:C212)</f>
        <v>52</v>
      </c>
      <c r="D213" s="19"/>
      <c r="E213" s="19"/>
      <c r="F213" s="8"/>
      <c r="G213" s="8"/>
      <c r="H213" s="19"/>
      <c r="I213" s="19"/>
      <c r="J213" s="19"/>
    </row>
    <row r="214" ht="16" customHeight="1" outlineLevel="2" spans="1:10">
      <c r="A214" s="18">
        <v>5</v>
      </c>
      <c r="B214" s="18">
        <v>1</v>
      </c>
      <c r="C214" s="19" t="s">
        <v>633</v>
      </c>
      <c r="D214" s="19" t="s">
        <v>632</v>
      </c>
      <c r="E214" s="19" t="s">
        <v>65</v>
      </c>
      <c r="F214" s="8" t="s">
        <v>67</v>
      </c>
      <c r="G214" s="8" t="s">
        <v>68</v>
      </c>
      <c r="H214" s="19" t="s">
        <v>110</v>
      </c>
      <c r="I214" s="19" t="s">
        <v>589</v>
      </c>
      <c r="J214" s="19" t="s">
        <v>274</v>
      </c>
    </row>
    <row r="215" ht="16" customHeight="1" outlineLevel="2" spans="1:10">
      <c r="A215" s="18">
        <v>5</v>
      </c>
      <c r="B215" s="18">
        <v>2</v>
      </c>
      <c r="C215" s="19" t="s">
        <v>1144</v>
      </c>
      <c r="D215" s="19" t="s">
        <v>1143</v>
      </c>
      <c r="E215" s="19" t="s">
        <v>65</v>
      </c>
      <c r="F215" s="8" t="s">
        <v>67</v>
      </c>
      <c r="G215" s="8" t="s">
        <v>68</v>
      </c>
      <c r="H215" s="19" t="s">
        <v>145</v>
      </c>
      <c r="I215" s="19" t="s">
        <v>1098</v>
      </c>
      <c r="J215" s="19" t="s">
        <v>277</v>
      </c>
    </row>
    <row r="216" ht="16" customHeight="1" outlineLevel="2" spans="1:10">
      <c r="A216" s="18">
        <v>5</v>
      </c>
      <c r="B216" s="18">
        <v>3</v>
      </c>
      <c r="C216" s="19" t="s">
        <v>905</v>
      </c>
      <c r="D216" s="19" t="s">
        <v>904</v>
      </c>
      <c r="E216" s="19" t="s">
        <v>65</v>
      </c>
      <c r="F216" s="8" t="s">
        <v>67</v>
      </c>
      <c r="G216" s="8" t="s">
        <v>68</v>
      </c>
      <c r="H216" s="19" t="s">
        <v>132</v>
      </c>
      <c r="I216" s="19" t="s">
        <v>843</v>
      </c>
      <c r="J216" s="19" t="s">
        <v>301</v>
      </c>
    </row>
    <row r="217" ht="16" customHeight="1" outlineLevel="2" spans="1:10">
      <c r="A217" s="18">
        <v>5</v>
      </c>
      <c r="B217" s="18">
        <v>4</v>
      </c>
      <c r="C217" s="19" t="s">
        <v>475</v>
      </c>
      <c r="D217" s="19" t="s">
        <v>474</v>
      </c>
      <c r="E217" s="19" t="s">
        <v>65</v>
      </c>
      <c r="F217" s="8" t="s">
        <v>67</v>
      </c>
      <c r="G217" s="8" t="s">
        <v>68</v>
      </c>
      <c r="H217" s="19" t="s">
        <v>95</v>
      </c>
      <c r="I217" s="19" t="s">
        <v>419</v>
      </c>
      <c r="J217" s="19" t="s">
        <v>292</v>
      </c>
    </row>
    <row r="218" ht="16" customHeight="1" outlineLevel="2" spans="1:10">
      <c r="A218" s="18">
        <v>5</v>
      </c>
      <c r="B218" s="18">
        <v>5</v>
      </c>
      <c r="C218" s="19" t="s">
        <v>528</v>
      </c>
      <c r="D218" s="19" t="s">
        <v>527</v>
      </c>
      <c r="E218" s="19" t="s">
        <v>65</v>
      </c>
      <c r="F218" s="8" t="s">
        <v>67</v>
      </c>
      <c r="G218" s="8" t="s">
        <v>68</v>
      </c>
      <c r="H218" s="19" t="s">
        <v>104</v>
      </c>
      <c r="I218" s="19" t="s">
        <v>504</v>
      </c>
      <c r="J218" s="19" t="s">
        <v>244</v>
      </c>
    </row>
    <row r="219" ht="16" customHeight="1" outlineLevel="2" spans="1:10">
      <c r="A219" s="18">
        <v>5</v>
      </c>
      <c r="B219" s="18">
        <v>6</v>
      </c>
      <c r="C219" s="19" t="s">
        <v>526</v>
      </c>
      <c r="D219" s="19" t="s">
        <v>525</v>
      </c>
      <c r="E219" s="19" t="s">
        <v>65</v>
      </c>
      <c r="F219" s="8" t="s">
        <v>67</v>
      </c>
      <c r="G219" s="8" t="s">
        <v>68</v>
      </c>
      <c r="H219" s="19" t="s">
        <v>104</v>
      </c>
      <c r="I219" s="19" t="s">
        <v>504</v>
      </c>
      <c r="J219" s="19" t="s">
        <v>241</v>
      </c>
    </row>
    <row r="220" ht="16" customHeight="1" outlineLevel="2" spans="1:10">
      <c r="A220" s="18">
        <v>5</v>
      </c>
      <c r="B220" s="18">
        <v>7</v>
      </c>
      <c r="C220" s="19" t="s">
        <v>530</v>
      </c>
      <c r="D220" s="19" t="s">
        <v>529</v>
      </c>
      <c r="E220" s="19" t="s">
        <v>65</v>
      </c>
      <c r="F220" s="8" t="s">
        <v>67</v>
      </c>
      <c r="G220" s="8" t="s">
        <v>68</v>
      </c>
      <c r="H220" s="19" t="s">
        <v>104</v>
      </c>
      <c r="I220" s="19" t="s">
        <v>504</v>
      </c>
      <c r="J220" s="19" t="s">
        <v>247</v>
      </c>
    </row>
    <row r="221" ht="16" customHeight="1" outlineLevel="2" spans="1:10">
      <c r="A221" s="18">
        <v>5</v>
      </c>
      <c r="B221" s="18">
        <v>8</v>
      </c>
      <c r="C221" s="19" t="s">
        <v>740</v>
      </c>
      <c r="D221" s="19" t="s">
        <v>739</v>
      </c>
      <c r="E221" s="19" t="s">
        <v>65</v>
      </c>
      <c r="F221" s="8" t="s">
        <v>67</v>
      </c>
      <c r="G221" s="8" t="s">
        <v>68</v>
      </c>
      <c r="H221" s="19" t="s">
        <v>118</v>
      </c>
      <c r="I221" s="19" t="s">
        <v>674</v>
      </c>
      <c r="J221" s="19" t="s">
        <v>307</v>
      </c>
    </row>
    <row r="222" ht="16" customHeight="1" outlineLevel="2" spans="1:10">
      <c r="A222" s="18">
        <v>5</v>
      </c>
      <c r="B222" s="18">
        <v>9</v>
      </c>
      <c r="C222" s="19" t="s">
        <v>772</v>
      </c>
      <c r="D222" s="19" t="s">
        <v>771</v>
      </c>
      <c r="E222" s="19" t="s">
        <v>65</v>
      </c>
      <c r="F222" s="8" t="s">
        <v>67</v>
      </c>
      <c r="G222" s="8" t="s">
        <v>68</v>
      </c>
      <c r="H222" s="19" t="s">
        <v>123</v>
      </c>
      <c r="I222" s="19" t="s">
        <v>758</v>
      </c>
      <c r="J222" s="19" t="s">
        <v>229</v>
      </c>
    </row>
    <row r="223" ht="16" customHeight="1" outlineLevel="2" spans="1:10">
      <c r="A223" s="18">
        <v>5</v>
      </c>
      <c r="B223" s="18">
        <v>10</v>
      </c>
      <c r="C223" s="19" t="s">
        <v>1844</v>
      </c>
      <c r="D223" s="19" t="s">
        <v>1843</v>
      </c>
      <c r="E223" s="19" t="s">
        <v>65</v>
      </c>
      <c r="F223" s="8" t="s">
        <v>67</v>
      </c>
      <c r="G223" s="8" t="s">
        <v>68</v>
      </c>
      <c r="H223" s="19" t="s">
        <v>155</v>
      </c>
      <c r="I223" s="19" t="s">
        <v>1779</v>
      </c>
      <c r="J223" s="19" t="s">
        <v>304</v>
      </c>
    </row>
    <row r="224" ht="16" customHeight="1" outlineLevel="2" spans="1:10">
      <c r="A224" s="18">
        <v>5</v>
      </c>
      <c r="B224" s="18">
        <v>11</v>
      </c>
      <c r="C224" s="19" t="s">
        <v>875</v>
      </c>
      <c r="D224" s="19" t="s">
        <v>874</v>
      </c>
      <c r="E224" s="19" t="s">
        <v>65</v>
      </c>
      <c r="F224" s="8" t="s">
        <v>67</v>
      </c>
      <c r="G224" s="8" t="s">
        <v>68</v>
      </c>
      <c r="H224" s="19" t="s">
        <v>132</v>
      </c>
      <c r="I224" s="19" t="s">
        <v>843</v>
      </c>
      <c r="J224" s="19" t="s">
        <v>256</v>
      </c>
    </row>
    <row r="225" ht="16" customHeight="1" outlineLevel="2" spans="1:10">
      <c r="A225" s="18">
        <v>5</v>
      </c>
      <c r="B225" s="18">
        <v>12</v>
      </c>
      <c r="C225" s="19" t="s">
        <v>243</v>
      </c>
      <c r="D225" s="19" t="s">
        <v>242</v>
      </c>
      <c r="E225" s="19" t="s">
        <v>65</v>
      </c>
      <c r="F225" s="8" t="s">
        <v>67</v>
      </c>
      <c r="G225" s="8" t="s">
        <v>68</v>
      </c>
      <c r="H225" s="19" t="s">
        <v>73</v>
      </c>
      <c r="I225" s="19" t="s">
        <v>206</v>
      </c>
      <c r="J225" s="19" t="s">
        <v>244</v>
      </c>
    </row>
    <row r="226" ht="16" customHeight="1" outlineLevel="2" spans="1:10">
      <c r="A226" s="18">
        <v>5</v>
      </c>
      <c r="B226" s="18">
        <v>13</v>
      </c>
      <c r="C226" s="19" t="s">
        <v>615</v>
      </c>
      <c r="D226" s="19" t="s">
        <v>614</v>
      </c>
      <c r="E226" s="19" t="s">
        <v>65</v>
      </c>
      <c r="F226" s="8" t="s">
        <v>67</v>
      </c>
      <c r="G226" s="8" t="s">
        <v>68</v>
      </c>
      <c r="H226" s="19" t="s">
        <v>110</v>
      </c>
      <c r="I226" s="19" t="s">
        <v>589</v>
      </c>
      <c r="J226" s="19" t="s">
        <v>247</v>
      </c>
    </row>
    <row r="227" ht="16" customHeight="1" outlineLevel="2" spans="1:10">
      <c r="A227" s="18">
        <v>5</v>
      </c>
      <c r="B227" s="18">
        <v>14</v>
      </c>
      <c r="C227" s="19" t="s">
        <v>554</v>
      </c>
      <c r="D227" s="19" t="s">
        <v>553</v>
      </c>
      <c r="E227" s="19" t="s">
        <v>65</v>
      </c>
      <c r="F227" s="8" t="s">
        <v>67</v>
      </c>
      <c r="G227" s="8" t="s">
        <v>68</v>
      </c>
      <c r="H227" s="19" t="s">
        <v>104</v>
      </c>
      <c r="I227" s="19" t="s">
        <v>504</v>
      </c>
      <c r="J227" s="19" t="s">
        <v>283</v>
      </c>
    </row>
    <row r="228" ht="16" customHeight="1" outlineLevel="2" spans="1:10">
      <c r="A228" s="18">
        <v>5</v>
      </c>
      <c r="B228" s="18">
        <v>15</v>
      </c>
      <c r="C228" s="19" t="s">
        <v>333</v>
      </c>
      <c r="D228" s="19" t="s">
        <v>332</v>
      </c>
      <c r="E228" s="19" t="s">
        <v>65</v>
      </c>
      <c r="F228" s="8" t="s">
        <v>67</v>
      </c>
      <c r="G228" s="8" t="s">
        <v>68</v>
      </c>
      <c r="H228" s="19" t="s">
        <v>86</v>
      </c>
      <c r="I228" s="19" t="s">
        <v>334</v>
      </c>
      <c r="J228" s="19" t="s">
        <v>207</v>
      </c>
    </row>
    <row r="229" ht="16" customHeight="1" outlineLevel="2" spans="1:10">
      <c r="A229" s="18">
        <v>5</v>
      </c>
      <c r="B229" s="18">
        <v>16</v>
      </c>
      <c r="C229" s="19" t="s">
        <v>421</v>
      </c>
      <c r="D229" s="19" t="s">
        <v>420</v>
      </c>
      <c r="E229" s="19" t="s">
        <v>65</v>
      </c>
      <c r="F229" s="8" t="s">
        <v>67</v>
      </c>
      <c r="G229" s="8" t="s">
        <v>68</v>
      </c>
      <c r="H229" s="19" t="s">
        <v>95</v>
      </c>
      <c r="I229" s="19" t="s">
        <v>419</v>
      </c>
      <c r="J229" s="19" t="s">
        <v>210</v>
      </c>
    </row>
    <row r="230" ht="16" customHeight="1" outlineLevel="2" spans="1:10">
      <c r="A230" s="18">
        <v>5</v>
      </c>
      <c r="B230" s="18">
        <v>17</v>
      </c>
      <c r="C230" s="19" t="s">
        <v>1091</v>
      </c>
      <c r="D230" s="19" t="s">
        <v>1090</v>
      </c>
      <c r="E230" s="19" t="s">
        <v>65</v>
      </c>
      <c r="F230" s="8" t="s">
        <v>67</v>
      </c>
      <c r="G230" s="8" t="s">
        <v>68</v>
      </c>
      <c r="H230" s="19" t="s">
        <v>141</v>
      </c>
      <c r="I230" s="19" t="s">
        <v>1013</v>
      </c>
      <c r="J230" s="19" t="s">
        <v>325</v>
      </c>
    </row>
    <row r="231" ht="16" customHeight="1" outlineLevel="2" spans="1:10">
      <c r="A231" s="18">
        <v>5</v>
      </c>
      <c r="B231" s="18">
        <v>18</v>
      </c>
      <c r="C231" s="19" t="s">
        <v>216</v>
      </c>
      <c r="D231" s="19" t="s">
        <v>215</v>
      </c>
      <c r="E231" s="19" t="s">
        <v>65</v>
      </c>
      <c r="F231" s="8" t="s">
        <v>67</v>
      </c>
      <c r="G231" s="8" t="s">
        <v>68</v>
      </c>
      <c r="H231" s="19" t="s">
        <v>73</v>
      </c>
      <c r="I231" s="19" t="s">
        <v>206</v>
      </c>
      <c r="J231" s="19" t="s">
        <v>217</v>
      </c>
    </row>
    <row r="232" ht="16" customHeight="1" outlineLevel="2" spans="1:10">
      <c r="A232" s="18">
        <v>5</v>
      </c>
      <c r="B232" s="18">
        <v>19</v>
      </c>
      <c r="C232" s="19" t="s">
        <v>1075</v>
      </c>
      <c r="D232" s="19" t="s">
        <v>1074</v>
      </c>
      <c r="E232" s="19" t="s">
        <v>65</v>
      </c>
      <c r="F232" s="8" t="s">
        <v>67</v>
      </c>
      <c r="G232" s="8" t="s">
        <v>68</v>
      </c>
      <c r="H232" s="19" t="s">
        <v>141</v>
      </c>
      <c r="I232" s="19" t="s">
        <v>1013</v>
      </c>
      <c r="J232" s="19" t="s">
        <v>301</v>
      </c>
    </row>
    <row r="233" ht="16" customHeight="1" outlineLevel="2" spans="1:10">
      <c r="A233" s="18">
        <v>5</v>
      </c>
      <c r="B233" s="18">
        <v>20</v>
      </c>
      <c r="C233" s="19" t="s">
        <v>903</v>
      </c>
      <c r="D233" s="19" t="s">
        <v>902</v>
      </c>
      <c r="E233" s="19" t="s">
        <v>65</v>
      </c>
      <c r="F233" s="8" t="s">
        <v>67</v>
      </c>
      <c r="G233" s="8" t="s">
        <v>68</v>
      </c>
      <c r="H233" s="19" t="s">
        <v>132</v>
      </c>
      <c r="I233" s="19" t="s">
        <v>843</v>
      </c>
      <c r="J233" s="19" t="s">
        <v>298</v>
      </c>
    </row>
    <row r="234" ht="16" customHeight="1" outlineLevel="2" spans="1:10">
      <c r="A234" s="18">
        <v>5</v>
      </c>
      <c r="B234" s="18">
        <v>21</v>
      </c>
      <c r="C234" s="19" t="s">
        <v>1100</v>
      </c>
      <c r="D234" s="19" t="s">
        <v>1099</v>
      </c>
      <c r="E234" s="19" t="s">
        <v>65</v>
      </c>
      <c r="F234" s="8" t="s">
        <v>67</v>
      </c>
      <c r="G234" s="8" t="s">
        <v>68</v>
      </c>
      <c r="H234" s="7" t="s">
        <v>145</v>
      </c>
      <c r="I234" s="19" t="s">
        <v>1098</v>
      </c>
      <c r="J234" s="19" t="s">
        <v>210</v>
      </c>
    </row>
    <row r="235" ht="16" customHeight="1" outlineLevel="2" spans="1:10">
      <c r="A235" s="18">
        <v>5</v>
      </c>
      <c r="B235" s="18">
        <v>22</v>
      </c>
      <c r="C235" s="19" t="s">
        <v>619</v>
      </c>
      <c r="D235" s="19" t="s">
        <v>618</v>
      </c>
      <c r="E235" s="19" t="s">
        <v>65</v>
      </c>
      <c r="F235" s="8" t="s">
        <v>67</v>
      </c>
      <c r="G235" s="8" t="s">
        <v>68</v>
      </c>
      <c r="H235" s="19" t="s">
        <v>110</v>
      </c>
      <c r="I235" s="19" t="s">
        <v>589</v>
      </c>
      <c r="J235" s="19" t="s">
        <v>253</v>
      </c>
    </row>
    <row r="236" ht="16" customHeight="1" outlineLevel="2" spans="1:10">
      <c r="A236" s="18">
        <v>5</v>
      </c>
      <c r="B236" s="18">
        <v>23</v>
      </c>
      <c r="C236" s="19" t="s">
        <v>423</v>
      </c>
      <c r="D236" s="19" t="s">
        <v>422</v>
      </c>
      <c r="E236" s="19" t="s">
        <v>65</v>
      </c>
      <c r="F236" s="8" t="s">
        <v>67</v>
      </c>
      <c r="G236" s="8" t="s">
        <v>68</v>
      </c>
      <c r="H236" s="19" t="s">
        <v>95</v>
      </c>
      <c r="I236" s="19" t="s">
        <v>419</v>
      </c>
      <c r="J236" s="19" t="s">
        <v>214</v>
      </c>
    </row>
    <row r="237" ht="16" customHeight="1" outlineLevel="2" spans="1:10">
      <c r="A237" s="18">
        <v>5</v>
      </c>
      <c r="B237" s="18">
        <v>24</v>
      </c>
      <c r="C237" s="19" t="s">
        <v>453</v>
      </c>
      <c r="D237" s="19" t="s">
        <v>452</v>
      </c>
      <c r="E237" s="19" t="s">
        <v>65</v>
      </c>
      <c r="F237" s="8" t="s">
        <v>67</v>
      </c>
      <c r="G237" s="8" t="s">
        <v>68</v>
      </c>
      <c r="H237" s="19" t="s">
        <v>95</v>
      </c>
      <c r="I237" s="19" t="s">
        <v>419</v>
      </c>
      <c r="J237" s="19" t="s">
        <v>259</v>
      </c>
    </row>
    <row r="238" ht="16" customHeight="1" outlineLevel="2" spans="1:10">
      <c r="A238" s="18">
        <v>5</v>
      </c>
      <c r="B238" s="18">
        <v>25</v>
      </c>
      <c r="C238" s="19" t="s">
        <v>258</v>
      </c>
      <c r="D238" s="19" t="s">
        <v>257</v>
      </c>
      <c r="E238" s="19" t="s">
        <v>65</v>
      </c>
      <c r="F238" s="8" t="s">
        <v>67</v>
      </c>
      <c r="G238" s="8" t="s">
        <v>68</v>
      </c>
      <c r="H238" s="19" t="s">
        <v>73</v>
      </c>
      <c r="I238" s="19" t="s">
        <v>206</v>
      </c>
      <c r="J238" s="19" t="s">
        <v>259</v>
      </c>
    </row>
    <row r="239" ht="16" customHeight="1" outlineLevel="2" spans="1:10">
      <c r="A239" s="18">
        <v>5</v>
      </c>
      <c r="B239" s="18">
        <v>26</v>
      </c>
      <c r="C239" s="19" t="s">
        <v>228</v>
      </c>
      <c r="D239" s="19" t="s">
        <v>227</v>
      </c>
      <c r="E239" s="19" t="s">
        <v>65</v>
      </c>
      <c r="F239" s="8" t="s">
        <v>67</v>
      </c>
      <c r="G239" s="8" t="s">
        <v>68</v>
      </c>
      <c r="H239" s="19" t="s">
        <v>73</v>
      </c>
      <c r="I239" s="19" t="s">
        <v>206</v>
      </c>
      <c r="J239" s="19" t="s">
        <v>229</v>
      </c>
    </row>
    <row r="240" ht="16" customHeight="1" outlineLevel="2" spans="1:10">
      <c r="A240" s="18">
        <v>5</v>
      </c>
      <c r="B240" s="18">
        <v>27</v>
      </c>
      <c r="C240" s="19" t="s">
        <v>1106</v>
      </c>
      <c r="D240" s="19" t="s">
        <v>1105</v>
      </c>
      <c r="E240" s="19" t="s">
        <v>65</v>
      </c>
      <c r="F240" s="8" t="s">
        <v>67</v>
      </c>
      <c r="G240" s="8" t="s">
        <v>68</v>
      </c>
      <c r="H240" s="7" t="s">
        <v>145</v>
      </c>
      <c r="I240" s="19" t="s">
        <v>1098</v>
      </c>
      <c r="J240" s="7" t="s">
        <v>220</v>
      </c>
    </row>
    <row r="241" ht="16" customHeight="1" outlineLevel="2" spans="1:10">
      <c r="A241" s="18">
        <v>5</v>
      </c>
      <c r="B241" s="18">
        <v>28</v>
      </c>
      <c r="C241" s="19" t="s">
        <v>558</v>
      </c>
      <c r="D241" s="19" t="s">
        <v>557</v>
      </c>
      <c r="E241" s="19" t="s">
        <v>65</v>
      </c>
      <c r="F241" s="8" t="s">
        <v>67</v>
      </c>
      <c r="G241" s="8" t="s">
        <v>68</v>
      </c>
      <c r="H241" s="19" t="s">
        <v>104</v>
      </c>
      <c r="I241" s="19" t="s">
        <v>504</v>
      </c>
      <c r="J241" s="19" t="s">
        <v>289</v>
      </c>
    </row>
    <row r="242" ht="16" customHeight="1" outlineLevel="2" spans="1:10">
      <c r="A242" s="18">
        <v>5</v>
      </c>
      <c r="B242" s="18">
        <v>29</v>
      </c>
      <c r="C242" s="19" t="s">
        <v>1136</v>
      </c>
      <c r="D242" s="19" t="s">
        <v>1135</v>
      </c>
      <c r="E242" s="19" t="s">
        <v>65</v>
      </c>
      <c r="F242" s="8" t="s">
        <v>67</v>
      </c>
      <c r="G242" s="8" t="s">
        <v>68</v>
      </c>
      <c r="H242" s="19" t="s">
        <v>145</v>
      </c>
      <c r="I242" s="19" t="s">
        <v>1098</v>
      </c>
      <c r="J242" s="19" t="s">
        <v>265</v>
      </c>
    </row>
    <row r="243" ht="16" customHeight="1" outlineLevel="2" spans="1:10">
      <c r="A243" s="18">
        <v>5</v>
      </c>
      <c r="B243" s="18">
        <v>31</v>
      </c>
      <c r="C243" s="19" t="s">
        <v>276</v>
      </c>
      <c r="D243" s="19" t="s">
        <v>275</v>
      </c>
      <c r="E243" s="19" t="s">
        <v>65</v>
      </c>
      <c r="F243" s="8" t="s">
        <v>67</v>
      </c>
      <c r="G243" s="8" t="s">
        <v>68</v>
      </c>
      <c r="H243" s="19" t="s">
        <v>73</v>
      </c>
      <c r="I243" s="19" t="s">
        <v>206</v>
      </c>
      <c r="J243" s="19" t="s">
        <v>277</v>
      </c>
    </row>
    <row r="244" ht="16" customHeight="1" outlineLevel="2" spans="1:10">
      <c r="A244" s="18">
        <v>5</v>
      </c>
      <c r="B244" s="18">
        <v>32</v>
      </c>
      <c r="C244" s="19" t="s">
        <v>219</v>
      </c>
      <c r="D244" s="19" t="s">
        <v>218</v>
      </c>
      <c r="E244" s="19" t="s">
        <v>65</v>
      </c>
      <c r="F244" s="8" t="s">
        <v>67</v>
      </c>
      <c r="G244" s="8" t="s">
        <v>68</v>
      </c>
      <c r="H244" s="19" t="s">
        <v>73</v>
      </c>
      <c r="I244" s="19" t="s">
        <v>206</v>
      </c>
      <c r="J244" s="19" t="s">
        <v>220</v>
      </c>
    </row>
    <row r="245" ht="16" customHeight="1" outlineLevel="2" spans="1:10">
      <c r="A245" s="18">
        <v>5</v>
      </c>
      <c r="B245" s="18">
        <v>33</v>
      </c>
      <c r="C245" s="19" t="s">
        <v>611</v>
      </c>
      <c r="D245" s="19" t="s">
        <v>610</v>
      </c>
      <c r="E245" s="19" t="s">
        <v>65</v>
      </c>
      <c r="F245" s="8" t="s">
        <v>67</v>
      </c>
      <c r="G245" s="8" t="s">
        <v>68</v>
      </c>
      <c r="H245" s="19" t="s">
        <v>110</v>
      </c>
      <c r="I245" s="19" t="s">
        <v>589</v>
      </c>
      <c r="J245" s="19" t="s">
        <v>241</v>
      </c>
    </row>
    <row r="246" ht="16" customHeight="1" outlineLevel="2" spans="1:10">
      <c r="A246" s="18">
        <v>5</v>
      </c>
      <c r="B246" s="18">
        <v>34</v>
      </c>
      <c r="C246" s="19" t="s">
        <v>873</v>
      </c>
      <c r="D246" s="19" t="s">
        <v>872</v>
      </c>
      <c r="E246" s="19" t="s">
        <v>65</v>
      </c>
      <c r="F246" s="8" t="s">
        <v>67</v>
      </c>
      <c r="G246" s="8" t="s">
        <v>68</v>
      </c>
      <c r="H246" s="19" t="s">
        <v>132</v>
      </c>
      <c r="I246" s="19" t="s">
        <v>843</v>
      </c>
      <c r="J246" s="19" t="s">
        <v>253</v>
      </c>
    </row>
    <row r="247" ht="16" customHeight="1" outlineLevel="2" spans="1:10">
      <c r="A247" s="18">
        <v>5</v>
      </c>
      <c r="B247" s="18">
        <v>35</v>
      </c>
      <c r="C247" s="19" t="s">
        <v>842</v>
      </c>
      <c r="D247" s="19" t="s">
        <v>841</v>
      </c>
      <c r="E247" s="19" t="s">
        <v>65</v>
      </c>
      <c r="F247" s="8" t="s">
        <v>67</v>
      </c>
      <c r="G247" s="8" t="s">
        <v>68</v>
      </c>
      <c r="H247" s="19" t="s">
        <v>132</v>
      </c>
      <c r="I247" s="19" t="s">
        <v>843</v>
      </c>
      <c r="J247" s="19" t="s">
        <v>207</v>
      </c>
    </row>
    <row r="248" ht="16" customHeight="1" outlineLevel="2" spans="1:10">
      <c r="A248" s="18">
        <v>5</v>
      </c>
      <c r="B248" s="18">
        <v>36</v>
      </c>
      <c r="C248" s="19" t="s">
        <v>667</v>
      </c>
      <c r="D248" s="19" t="s">
        <v>666</v>
      </c>
      <c r="E248" s="19" t="s">
        <v>65</v>
      </c>
      <c r="F248" s="8" t="s">
        <v>67</v>
      </c>
      <c r="G248" s="8" t="s">
        <v>68</v>
      </c>
      <c r="H248" s="19" t="s">
        <v>110</v>
      </c>
      <c r="I248" s="19" t="s">
        <v>589</v>
      </c>
      <c r="J248" s="19" t="s">
        <v>325</v>
      </c>
    </row>
    <row r="249" ht="16" customHeight="1" outlineLevel="2" spans="1:10">
      <c r="A249" s="18">
        <v>5</v>
      </c>
      <c r="B249" s="18">
        <v>37</v>
      </c>
      <c r="C249" s="19" t="s">
        <v>1008</v>
      </c>
      <c r="D249" s="19" t="s">
        <v>1007</v>
      </c>
      <c r="E249" s="19" t="s">
        <v>65</v>
      </c>
      <c r="F249" s="8" t="s">
        <v>67</v>
      </c>
      <c r="G249" s="8" t="s">
        <v>68</v>
      </c>
      <c r="H249" s="19" t="s">
        <v>137</v>
      </c>
      <c r="I249" s="19" t="s">
        <v>928</v>
      </c>
      <c r="J249" s="19" t="s">
        <v>328</v>
      </c>
    </row>
    <row r="250" ht="16" customHeight="1" outlineLevel="2" spans="1:10">
      <c r="A250" s="18">
        <v>5</v>
      </c>
      <c r="B250" s="18">
        <v>38</v>
      </c>
      <c r="C250" s="19" t="s">
        <v>788</v>
      </c>
      <c r="D250" s="19" t="s">
        <v>787</v>
      </c>
      <c r="E250" s="19" t="s">
        <v>65</v>
      </c>
      <c r="F250" s="8" t="s">
        <v>67</v>
      </c>
      <c r="G250" s="8" t="s">
        <v>68</v>
      </c>
      <c r="H250" s="19" t="s">
        <v>123</v>
      </c>
      <c r="I250" s="19" t="s">
        <v>758</v>
      </c>
      <c r="J250" s="19" t="s">
        <v>253</v>
      </c>
    </row>
    <row r="251" ht="16" customHeight="1" outlineLevel="2" spans="1:10">
      <c r="A251" s="18">
        <v>5</v>
      </c>
      <c r="B251" s="18">
        <v>39</v>
      </c>
      <c r="C251" s="19" t="s">
        <v>627</v>
      </c>
      <c r="D251" s="19" t="s">
        <v>626</v>
      </c>
      <c r="E251" s="19" t="s">
        <v>65</v>
      </c>
      <c r="F251" s="8" t="s">
        <v>67</v>
      </c>
      <c r="G251" s="8" t="s">
        <v>68</v>
      </c>
      <c r="H251" s="19" t="s">
        <v>110</v>
      </c>
      <c r="I251" s="19" t="s">
        <v>589</v>
      </c>
      <c r="J251" s="19" t="s">
        <v>265</v>
      </c>
    </row>
    <row r="252" ht="16" customHeight="1" outlineLevel="2" spans="1:10">
      <c r="A252" s="18">
        <v>5</v>
      </c>
      <c r="B252" s="18">
        <v>40</v>
      </c>
      <c r="C252" s="19" t="s">
        <v>1053</v>
      </c>
      <c r="D252" s="19" t="s">
        <v>1052</v>
      </c>
      <c r="E252" s="19" t="s">
        <v>65</v>
      </c>
      <c r="F252" s="8" t="s">
        <v>67</v>
      </c>
      <c r="G252" s="8" t="s">
        <v>68</v>
      </c>
      <c r="H252" s="19" t="s">
        <v>141</v>
      </c>
      <c r="I252" s="19" t="s">
        <v>1013</v>
      </c>
      <c r="J252" s="19" t="s">
        <v>268</v>
      </c>
    </row>
    <row r="253" ht="16" customHeight="1" outlineLevel="2" spans="1:10">
      <c r="A253" s="18">
        <v>5</v>
      </c>
      <c r="B253" s="18">
        <v>41</v>
      </c>
      <c r="C253" s="19" t="s">
        <v>688</v>
      </c>
      <c r="D253" s="19" t="s">
        <v>687</v>
      </c>
      <c r="E253" s="19" t="s">
        <v>65</v>
      </c>
      <c r="F253" s="8" t="s">
        <v>67</v>
      </c>
      <c r="G253" s="8" t="s">
        <v>68</v>
      </c>
      <c r="H253" s="19" t="s">
        <v>118</v>
      </c>
      <c r="I253" s="19" t="s">
        <v>674</v>
      </c>
      <c r="J253" s="19" t="s">
        <v>229</v>
      </c>
    </row>
    <row r="254" ht="16" customHeight="1" outlineLevel="2" spans="1:10">
      <c r="A254" s="18">
        <v>5</v>
      </c>
      <c r="B254" s="18">
        <v>42</v>
      </c>
      <c r="C254" s="19" t="s">
        <v>1126</v>
      </c>
      <c r="D254" s="19" t="s">
        <v>1125</v>
      </c>
      <c r="E254" s="19" t="s">
        <v>65</v>
      </c>
      <c r="F254" s="8" t="s">
        <v>67</v>
      </c>
      <c r="G254" s="8" t="s">
        <v>68</v>
      </c>
      <c r="H254" s="19" t="s">
        <v>145</v>
      </c>
      <c r="I254" s="19" t="s">
        <v>1098</v>
      </c>
      <c r="J254" s="19" t="s">
        <v>250</v>
      </c>
    </row>
    <row r="255" ht="16" customHeight="1" outlineLevel="2" spans="1:10">
      <c r="A255" s="18">
        <v>5</v>
      </c>
      <c r="B255" s="18">
        <v>43</v>
      </c>
      <c r="C255" s="19" t="s">
        <v>548</v>
      </c>
      <c r="D255" s="19" t="s">
        <v>547</v>
      </c>
      <c r="E255" s="19" t="s">
        <v>65</v>
      </c>
      <c r="F255" s="8" t="s">
        <v>67</v>
      </c>
      <c r="G255" s="8" t="s">
        <v>68</v>
      </c>
      <c r="H255" s="19" t="s">
        <v>104</v>
      </c>
      <c r="I255" s="19" t="s">
        <v>504</v>
      </c>
      <c r="J255" s="19" t="s">
        <v>274</v>
      </c>
    </row>
    <row r="256" ht="16" customHeight="1" outlineLevel="2" spans="1:10">
      <c r="A256" s="18">
        <v>5</v>
      </c>
      <c r="B256" s="18">
        <v>44</v>
      </c>
      <c r="C256" s="19" t="s">
        <v>970</v>
      </c>
      <c r="D256" s="19" t="s">
        <v>969</v>
      </c>
      <c r="E256" s="19" t="s">
        <v>65</v>
      </c>
      <c r="F256" s="8" t="s">
        <v>67</v>
      </c>
      <c r="G256" s="8" t="s">
        <v>68</v>
      </c>
      <c r="H256" s="19" t="s">
        <v>137</v>
      </c>
      <c r="I256" s="19" t="s">
        <v>928</v>
      </c>
      <c r="J256" s="19" t="s">
        <v>271</v>
      </c>
    </row>
    <row r="257" ht="16" customHeight="1" outlineLevel="2" spans="1:10">
      <c r="A257" s="18">
        <v>5</v>
      </c>
      <c r="B257" s="18">
        <v>45</v>
      </c>
      <c r="C257" s="19" t="s">
        <v>1134</v>
      </c>
      <c r="D257" s="19" t="s">
        <v>1133</v>
      </c>
      <c r="E257" s="19" t="s">
        <v>65</v>
      </c>
      <c r="F257" s="8" t="s">
        <v>67</v>
      </c>
      <c r="G257" s="8" t="s">
        <v>68</v>
      </c>
      <c r="H257" s="19" t="s">
        <v>145</v>
      </c>
      <c r="I257" s="19" t="s">
        <v>1098</v>
      </c>
      <c r="J257" s="19" t="s">
        <v>262</v>
      </c>
    </row>
    <row r="258" ht="16" customHeight="1" outlineLevel="2" spans="1:10">
      <c r="A258" s="18">
        <v>5</v>
      </c>
      <c r="B258" s="18">
        <v>46</v>
      </c>
      <c r="C258" s="19" t="s">
        <v>948</v>
      </c>
      <c r="D258" s="19" t="s">
        <v>947</v>
      </c>
      <c r="E258" s="19" t="s">
        <v>65</v>
      </c>
      <c r="F258" s="8" t="s">
        <v>67</v>
      </c>
      <c r="G258" s="8" t="s">
        <v>68</v>
      </c>
      <c r="H258" s="19" t="s">
        <v>137</v>
      </c>
      <c r="I258" s="19" t="s">
        <v>928</v>
      </c>
      <c r="J258" s="19" t="s">
        <v>238</v>
      </c>
    </row>
    <row r="259" ht="16" customHeight="1" outlineLevel="2" spans="1:10">
      <c r="A259" s="18">
        <v>5</v>
      </c>
      <c r="B259" s="18">
        <v>47</v>
      </c>
      <c r="C259" s="19" t="s">
        <v>495</v>
      </c>
      <c r="D259" s="19" t="s">
        <v>494</v>
      </c>
      <c r="E259" s="19" t="s">
        <v>65</v>
      </c>
      <c r="F259" s="8" t="s">
        <v>67</v>
      </c>
      <c r="G259" s="8" t="s">
        <v>68</v>
      </c>
      <c r="H259" s="19" t="s">
        <v>95</v>
      </c>
      <c r="I259" s="19" t="s">
        <v>419</v>
      </c>
      <c r="J259" s="19" t="s">
        <v>322</v>
      </c>
    </row>
    <row r="260" ht="16" customHeight="1" outlineLevel="2" spans="1:10">
      <c r="A260" s="18">
        <v>5</v>
      </c>
      <c r="B260" s="18">
        <v>48</v>
      </c>
      <c r="C260" s="19" t="s">
        <v>1168</v>
      </c>
      <c r="D260" s="19" t="s">
        <v>1167</v>
      </c>
      <c r="E260" s="19" t="s">
        <v>65</v>
      </c>
      <c r="F260" s="8" t="s">
        <v>67</v>
      </c>
      <c r="G260" s="8" t="s">
        <v>68</v>
      </c>
      <c r="H260" s="7" t="s">
        <v>145</v>
      </c>
      <c r="I260" s="19" t="s">
        <v>1098</v>
      </c>
      <c r="J260" s="7" t="s">
        <v>313</v>
      </c>
    </row>
    <row r="261" ht="16" customHeight="1" outlineLevel="2" spans="1:10">
      <c r="A261" s="18">
        <v>5</v>
      </c>
      <c r="B261" s="18">
        <v>49</v>
      </c>
      <c r="C261" s="19" t="s">
        <v>700</v>
      </c>
      <c r="D261" s="19" t="s">
        <v>699</v>
      </c>
      <c r="E261" s="19" t="s">
        <v>65</v>
      </c>
      <c r="F261" s="8" t="s">
        <v>67</v>
      </c>
      <c r="G261" s="8" t="s">
        <v>68</v>
      </c>
      <c r="H261" s="19" t="s">
        <v>118</v>
      </c>
      <c r="I261" s="19" t="s">
        <v>674</v>
      </c>
      <c r="J261" s="19" t="s">
        <v>247</v>
      </c>
    </row>
    <row r="262" ht="16" customHeight="1" outlineLevel="2" spans="1:10">
      <c r="A262" s="18">
        <v>5</v>
      </c>
      <c r="B262" s="18">
        <v>50</v>
      </c>
      <c r="C262" s="19" t="s">
        <v>1116</v>
      </c>
      <c r="D262" s="19" t="s">
        <v>1115</v>
      </c>
      <c r="E262" s="19" t="s">
        <v>65</v>
      </c>
      <c r="F262" s="8" t="s">
        <v>67</v>
      </c>
      <c r="G262" s="8" t="s">
        <v>68</v>
      </c>
      <c r="H262" s="7" t="s">
        <v>145</v>
      </c>
      <c r="I262" s="19" t="s">
        <v>1098</v>
      </c>
      <c r="J262" s="7" t="s">
        <v>235</v>
      </c>
    </row>
    <row r="263" ht="16" customHeight="1" outlineLevel="2" spans="1:10">
      <c r="A263" s="18">
        <v>5</v>
      </c>
      <c r="B263" s="18">
        <v>51</v>
      </c>
      <c r="C263" s="19" t="s">
        <v>1065</v>
      </c>
      <c r="D263" s="19" t="s">
        <v>1064</v>
      </c>
      <c r="E263" s="19" t="s">
        <v>65</v>
      </c>
      <c r="F263" s="8" t="s">
        <v>67</v>
      </c>
      <c r="G263" s="8" t="s">
        <v>68</v>
      </c>
      <c r="H263" s="19" t="s">
        <v>141</v>
      </c>
      <c r="I263" s="19" t="s">
        <v>1013</v>
      </c>
      <c r="J263" s="19" t="s">
        <v>286</v>
      </c>
    </row>
    <row r="264" ht="16" customHeight="1" outlineLevel="2" spans="1:10">
      <c r="A264" s="18">
        <v>5</v>
      </c>
      <c r="B264" s="18">
        <v>52</v>
      </c>
      <c r="C264" s="19" t="s">
        <v>605</v>
      </c>
      <c r="D264" s="19" t="s">
        <v>604</v>
      </c>
      <c r="E264" s="19" t="s">
        <v>65</v>
      </c>
      <c r="F264" s="8" t="s">
        <v>67</v>
      </c>
      <c r="G264" s="8" t="s">
        <v>68</v>
      </c>
      <c r="H264" s="7" t="s">
        <v>110</v>
      </c>
      <c r="I264" s="19" t="s">
        <v>589</v>
      </c>
      <c r="J264" s="7" t="s">
        <v>232</v>
      </c>
    </row>
    <row r="265" ht="16" customHeight="1" outlineLevel="2" spans="1:10">
      <c r="A265" s="18">
        <v>5</v>
      </c>
      <c r="B265" s="18">
        <v>53</v>
      </c>
      <c r="C265" s="19" t="s">
        <v>552</v>
      </c>
      <c r="D265" s="19" t="s">
        <v>551</v>
      </c>
      <c r="E265" s="19" t="s">
        <v>65</v>
      </c>
      <c r="F265" s="8" t="s">
        <v>67</v>
      </c>
      <c r="G265" s="8" t="s">
        <v>68</v>
      </c>
      <c r="H265" s="7" t="s">
        <v>104</v>
      </c>
      <c r="I265" s="19" t="s">
        <v>504</v>
      </c>
      <c r="J265" s="7" t="s">
        <v>280</v>
      </c>
    </row>
    <row r="266" ht="16" customHeight="1" outlineLevel="1" spans="1:10">
      <c r="A266" s="21" t="s">
        <v>1916</v>
      </c>
      <c r="B266" s="18"/>
      <c r="C266" s="19">
        <f>SUBTOTAL(3,C214:C265)</f>
        <v>52</v>
      </c>
      <c r="D266" s="19"/>
      <c r="E266" s="19"/>
      <c r="F266" s="8"/>
      <c r="G266" s="8"/>
      <c r="H266" s="7"/>
      <c r="I266" s="19"/>
      <c r="J266" s="7"/>
    </row>
    <row r="267" ht="16" customHeight="1" outlineLevel="2" spans="1:10">
      <c r="A267" s="18">
        <v>6</v>
      </c>
      <c r="B267" s="18">
        <v>1</v>
      </c>
      <c r="C267" s="19" t="s">
        <v>380</v>
      </c>
      <c r="D267" s="19" t="s">
        <v>379</v>
      </c>
      <c r="E267" s="19" t="s">
        <v>65</v>
      </c>
      <c r="F267" s="8" t="s">
        <v>67</v>
      </c>
      <c r="G267" s="8" t="s">
        <v>68</v>
      </c>
      <c r="H267" s="19" t="s">
        <v>86</v>
      </c>
      <c r="I267" s="19" t="s">
        <v>334</v>
      </c>
      <c r="J267" s="19" t="s">
        <v>277</v>
      </c>
    </row>
    <row r="268" ht="16" customHeight="1" outlineLevel="2" spans="1:10">
      <c r="A268" s="18">
        <v>6</v>
      </c>
      <c r="B268" s="18">
        <v>2</v>
      </c>
      <c r="C268" s="19" t="s">
        <v>1104</v>
      </c>
      <c r="D268" s="19" t="s">
        <v>1103</v>
      </c>
      <c r="E268" s="19" t="s">
        <v>65</v>
      </c>
      <c r="F268" s="8" t="s">
        <v>67</v>
      </c>
      <c r="G268" s="8" t="s">
        <v>68</v>
      </c>
      <c r="H268" s="19" t="s">
        <v>145</v>
      </c>
      <c r="I268" s="19" t="s">
        <v>1098</v>
      </c>
      <c r="J268" s="19" t="s">
        <v>217</v>
      </c>
    </row>
    <row r="269" ht="16" customHeight="1" outlineLevel="2" spans="1:10">
      <c r="A269" s="18">
        <v>6</v>
      </c>
      <c r="B269" s="18">
        <v>3</v>
      </c>
      <c r="C269" s="19" t="s">
        <v>392</v>
      </c>
      <c r="D269" s="19" t="s">
        <v>391</v>
      </c>
      <c r="E269" s="19" t="s">
        <v>65</v>
      </c>
      <c r="F269" s="8" t="s">
        <v>67</v>
      </c>
      <c r="G269" s="8" t="s">
        <v>68</v>
      </c>
      <c r="H269" s="19" t="s">
        <v>86</v>
      </c>
      <c r="I269" s="19" t="s">
        <v>334</v>
      </c>
      <c r="J269" s="19" t="s">
        <v>295</v>
      </c>
    </row>
    <row r="270" ht="16" customHeight="1" outlineLevel="2" spans="1:10">
      <c r="A270" s="18">
        <v>6</v>
      </c>
      <c r="B270" s="18">
        <v>4</v>
      </c>
      <c r="C270" s="19" t="s">
        <v>877</v>
      </c>
      <c r="D270" s="19" t="s">
        <v>876</v>
      </c>
      <c r="E270" s="19" t="s">
        <v>65</v>
      </c>
      <c r="F270" s="8" t="s">
        <v>67</v>
      </c>
      <c r="G270" s="8" t="s">
        <v>68</v>
      </c>
      <c r="H270" s="19" t="s">
        <v>132</v>
      </c>
      <c r="I270" s="19" t="s">
        <v>843</v>
      </c>
      <c r="J270" s="19" t="s">
        <v>259</v>
      </c>
    </row>
    <row r="271" ht="16" customHeight="1" outlineLevel="2" spans="1:10">
      <c r="A271" s="18">
        <v>6</v>
      </c>
      <c r="B271" s="18">
        <v>5</v>
      </c>
      <c r="C271" s="19" t="s">
        <v>479</v>
      </c>
      <c r="D271" s="19" t="s">
        <v>478</v>
      </c>
      <c r="E271" s="19" t="s">
        <v>65</v>
      </c>
      <c r="F271" s="8" t="s">
        <v>67</v>
      </c>
      <c r="G271" s="8" t="s">
        <v>68</v>
      </c>
      <c r="H271" s="19" t="s">
        <v>95</v>
      </c>
      <c r="I271" s="19" t="s">
        <v>419</v>
      </c>
      <c r="J271" s="19" t="s">
        <v>298</v>
      </c>
    </row>
    <row r="272" ht="16" customHeight="1" outlineLevel="2" spans="1:10">
      <c r="A272" s="18">
        <v>6</v>
      </c>
      <c r="B272" s="18">
        <v>6</v>
      </c>
      <c r="C272" s="19" t="s">
        <v>629</v>
      </c>
      <c r="D272" s="19" t="s">
        <v>628</v>
      </c>
      <c r="E272" s="19" t="s">
        <v>65</v>
      </c>
      <c r="F272" s="8" t="s">
        <v>67</v>
      </c>
      <c r="G272" s="8" t="s">
        <v>68</v>
      </c>
      <c r="H272" s="19" t="s">
        <v>110</v>
      </c>
      <c r="I272" s="19" t="s">
        <v>589</v>
      </c>
      <c r="J272" s="19" t="s">
        <v>268</v>
      </c>
    </row>
    <row r="273" ht="16" customHeight="1" outlineLevel="2" spans="1:10">
      <c r="A273" s="18">
        <v>6</v>
      </c>
      <c r="B273" s="18">
        <v>7</v>
      </c>
      <c r="C273" s="19" t="s">
        <v>893</v>
      </c>
      <c r="D273" s="19" t="s">
        <v>892</v>
      </c>
      <c r="E273" s="19" t="s">
        <v>65</v>
      </c>
      <c r="F273" s="8" t="s">
        <v>67</v>
      </c>
      <c r="G273" s="8" t="s">
        <v>68</v>
      </c>
      <c r="H273" s="19" t="s">
        <v>132</v>
      </c>
      <c r="I273" s="19" t="s">
        <v>843</v>
      </c>
      <c r="J273" s="19" t="s">
        <v>283</v>
      </c>
    </row>
    <row r="274" ht="16" customHeight="1" outlineLevel="2" spans="1:10">
      <c r="A274" s="18">
        <v>6</v>
      </c>
      <c r="B274" s="18">
        <v>8</v>
      </c>
      <c r="C274" s="19" t="s">
        <v>483</v>
      </c>
      <c r="D274" s="19" t="s">
        <v>482</v>
      </c>
      <c r="E274" s="19" t="s">
        <v>65</v>
      </c>
      <c r="F274" s="8" t="s">
        <v>67</v>
      </c>
      <c r="G274" s="8" t="s">
        <v>68</v>
      </c>
      <c r="H274" s="19" t="s">
        <v>95</v>
      </c>
      <c r="I274" s="19" t="s">
        <v>419</v>
      </c>
      <c r="J274" s="19" t="s">
        <v>304</v>
      </c>
    </row>
    <row r="275" ht="16" customHeight="1" outlineLevel="2" spans="1:10">
      <c r="A275" s="18">
        <v>6</v>
      </c>
      <c r="B275" s="18">
        <v>9</v>
      </c>
      <c r="C275" s="19" t="s">
        <v>418</v>
      </c>
      <c r="D275" s="19" t="s">
        <v>417</v>
      </c>
      <c r="E275" s="19" t="s">
        <v>65</v>
      </c>
      <c r="F275" s="8" t="s">
        <v>67</v>
      </c>
      <c r="G275" s="8" t="s">
        <v>68</v>
      </c>
      <c r="H275" s="19" t="s">
        <v>95</v>
      </c>
      <c r="I275" s="19" t="s">
        <v>419</v>
      </c>
      <c r="J275" s="19" t="s">
        <v>207</v>
      </c>
    </row>
    <row r="276" ht="16" customHeight="1" outlineLevel="2" spans="1:10">
      <c r="A276" s="18">
        <v>6</v>
      </c>
      <c r="B276" s="18">
        <v>10</v>
      </c>
      <c r="C276" s="19" t="s">
        <v>294</v>
      </c>
      <c r="D276" s="19" t="s">
        <v>293</v>
      </c>
      <c r="E276" s="19" t="s">
        <v>65</v>
      </c>
      <c r="F276" s="8" t="s">
        <v>67</v>
      </c>
      <c r="G276" s="8" t="s">
        <v>68</v>
      </c>
      <c r="H276" s="19" t="s">
        <v>73</v>
      </c>
      <c r="I276" s="19" t="s">
        <v>206</v>
      </c>
      <c r="J276" s="19" t="s">
        <v>295</v>
      </c>
    </row>
    <row r="277" ht="16" customHeight="1" outlineLevel="2" spans="1:10">
      <c r="A277" s="18">
        <v>6</v>
      </c>
      <c r="B277" s="18">
        <v>11</v>
      </c>
      <c r="C277" s="19" t="s">
        <v>439</v>
      </c>
      <c r="D277" s="19" t="s">
        <v>438</v>
      </c>
      <c r="E277" s="19" t="s">
        <v>65</v>
      </c>
      <c r="F277" s="8" t="s">
        <v>67</v>
      </c>
      <c r="G277" s="8" t="s">
        <v>68</v>
      </c>
      <c r="H277" s="19" t="s">
        <v>95</v>
      </c>
      <c r="I277" s="19" t="s">
        <v>419</v>
      </c>
      <c r="J277" s="19" t="s">
        <v>238</v>
      </c>
    </row>
    <row r="278" ht="16" customHeight="1" outlineLevel="2" spans="1:10">
      <c r="A278" s="18">
        <v>6</v>
      </c>
      <c r="B278" s="18">
        <v>12</v>
      </c>
      <c r="C278" s="19" t="s">
        <v>485</v>
      </c>
      <c r="D278" s="19" t="s">
        <v>484</v>
      </c>
      <c r="E278" s="19" t="s">
        <v>65</v>
      </c>
      <c r="F278" s="8" t="s">
        <v>67</v>
      </c>
      <c r="G278" s="8" t="s">
        <v>68</v>
      </c>
      <c r="H278" s="19" t="s">
        <v>95</v>
      </c>
      <c r="I278" s="19" t="s">
        <v>419</v>
      </c>
      <c r="J278" s="19" t="s">
        <v>307</v>
      </c>
    </row>
    <row r="279" ht="16" customHeight="1" outlineLevel="2" spans="1:10">
      <c r="A279" s="18">
        <v>6</v>
      </c>
      <c r="B279" s="18">
        <v>13</v>
      </c>
      <c r="C279" s="19" t="s">
        <v>684</v>
      </c>
      <c r="D279" s="19" t="s">
        <v>683</v>
      </c>
      <c r="E279" s="19" t="s">
        <v>65</v>
      </c>
      <c r="F279" s="8" t="s">
        <v>67</v>
      </c>
      <c r="G279" s="8" t="s">
        <v>68</v>
      </c>
      <c r="H279" s="19" t="s">
        <v>118</v>
      </c>
      <c r="I279" s="19" t="s">
        <v>674</v>
      </c>
      <c r="J279" s="19" t="s">
        <v>223</v>
      </c>
    </row>
    <row r="280" ht="16" customHeight="1" outlineLevel="2" spans="1:10">
      <c r="A280" s="18">
        <v>6</v>
      </c>
      <c r="B280" s="18">
        <v>14</v>
      </c>
      <c r="C280" s="19" t="s">
        <v>804</v>
      </c>
      <c r="D280" s="19" t="s">
        <v>803</v>
      </c>
      <c r="E280" s="19" t="s">
        <v>65</v>
      </c>
      <c r="F280" s="8" t="s">
        <v>67</v>
      </c>
      <c r="G280" s="8" t="s">
        <v>68</v>
      </c>
      <c r="H280" s="19" t="s">
        <v>123</v>
      </c>
      <c r="I280" s="19" t="s">
        <v>758</v>
      </c>
      <c r="J280" s="19" t="s">
        <v>277</v>
      </c>
    </row>
    <row r="281" ht="16" customHeight="1" outlineLevel="2" spans="1:10">
      <c r="A281" s="18">
        <v>6</v>
      </c>
      <c r="B281" s="18">
        <v>15</v>
      </c>
      <c r="C281" s="19" t="s">
        <v>698</v>
      </c>
      <c r="D281" s="19" t="s">
        <v>697</v>
      </c>
      <c r="E281" s="19" t="s">
        <v>65</v>
      </c>
      <c r="F281" s="8" t="s">
        <v>67</v>
      </c>
      <c r="G281" s="8" t="s">
        <v>68</v>
      </c>
      <c r="H281" s="19" t="s">
        <v>118</v>
      </c>
      <c r="I281" s="19" t="s">
        <v>674</v>
      </c>
      <c r="J281" s="19" t="s">
        <v>244</v>
      </c>
    </row>
    <row r="282" ht="16" customHeight="1" outlineLevel="2" spans="1:10">
      <c r="A282" s="18">
        <v>6</v>
      </c>
      <c r="B282" s="18">
        <v>16</v>
      </c>
      <c r="C282" s="19" t="s">
        <v>506</v>
      </c>
      <c r="D282" s="19" t="s">
        <v>505</v>
      </c>
      <c r="E282" s="19" t="s">
        <v>65</v>
      </c>
      <c r="F282" s="8" t="s">
        <v>67</v>
      </c>
      <c r="G282" s="8" t="s">
        <v>68</v>
      </c>
      <c r="H282" s="19" t="s">
        <v>104</v>
      </c>
      <c r="I282" s="19" t="s">
        <v>504</v>
      </c>
      <c r="J282" s="19" t="s">
        <v>210</v>
      </c>
    </row>
    <row r="283" ht="16" customHeight="1" outlineLevel="2" spans="1:10">
      <c r="A283" s="18">
        <v>6</v>
      </c>
      <c r="B283" s="18">
        <v>17</v>
      </c>
      <c r="C283" s="19" t="s">
        <v>942</v>
      </c>
      <c r="D283" s="19" t="s">
        <v>941</v>
      </c>
      <c r="E283" s="19" t="s">
        <v>65</v>
      </c>
      <c r="F283" s="8" t="s">
        <v>67</v>
      </c>
      <c r="G283" s="8" t="s">
        <v>68</v>
      </c>
      <c r="H283" s="19" t="s">
        <v>137</v>
      </c>
      <c r="I283" s="19" t="s">
        <v>928</v>
      </c>
      <c r="J283" s="19" t="s">
        <v>229</v>
      </c>
    </row>
    <row r="284" ht="16" customHeight="1" outlineLevel="2" spans="1:10">
      <c r="A284" s="18">
        <v>6</v>
      </c>
      <c r="B284" s="18">
        <v>18</v>
      </c>
      <c r="C284" s="19" t="s">
        <v>1114</v>
      </c>
      <c r="D284" s="19" t="s">
        <v>1113</v>
      </c>
      <c r="E284" s="19" t="s">
        <v>65</v>
      </c>
      <c r="F284" s="8" t="s">
        <v>67</v>
      </c>
      <c r="G284" s="8" t="s">
        <v>68</v>
      </c>
      <c r="H284" s="7" t="s">
        <v>145</v>
      </c>
      <c r="I284" s="19" t="s">
        <v>1098</v>
      </c>
      <c r="J284" s="7" t="s">
        <v>232</v>
      </c>
    </row>
    <row r="285" ht="16" customHeight="1" outlineLevel="2" spans="1:10">
      <c r="A285" s="18">
        <v>6</v>
      </c>
      <c r="B285" s="18">
        <v>19</v>
      </c>
      <c r="C285" s="19" t="s">
        <v>396</v>
      </c>
      <c r="D285" s="19" t="s">
        <v>395</v>
      </c>
      <c r="E285" s="19" t="s">
        <v>65</v>
      </c>
      <c r="F285" s="8" t="s">
        <v>67</v>
      </c>
      <c r="G285" s="8" t="s">
        <v>68</v>
      </c>
      <c r="H285" s="19" t="s">
        <v>86</v>
      </c>
      <c r="I285" s="19" t="s">
        <v>334</v>
      </c>
      <c r="J285" s="19" t="s">
        <v>301</v>
      </c>
    </row>
    <row r="286" ht="16" customHeight="1" outlineLevel="2" spans="1:10">
      <c r="A286" s="18">
        <v>6</v>
      </c>
      <c r="B286" s="18">
        <v>20</v>
      </c>
      <c r="C286" s="19" t="s">
        <v>915</v>
      </c>
      <c r="D286" s="19" t="s">
        <v>914</v>
      </c>
      <c r="E286" s="19" t="s">
        <v>65</v>
      </c>
      <c r="F286" s="8" t="s">
        <v>67</v>
      </c>
      <c r="G286" s="8" t="s">
        <v>68</v>
      </c>
      <c r="H286" s="19" t="s">
        <v>132</v>
      </c>
      <c r="I286" s="19" t="s">
        <v>843</v>
      </c>
      <c r="J286" s="19" t="s">
        <v>316</v>
      </c>
    </row>
    <row r="287" ht="16" customHeight="1" outlineLevel="2" spans="1:10">
      <c r="A287" s="18">
        <v>6</v>
      </c>
      <c r="B287" s="18">
        <v>21</v>
      </c>
      <c r="C287" s="19" t="s">
        <v>1010</v>
      </c>
      <c r="D287" s="19" t="s">
        <v>1009</v>
      </c>
      <c r="E287" s="19" t="s">
        <v>65</v>
      </c>
      <c r="F287" s="8" t="s">
        <v>67</v>
      </c>
      <c r="G287" s="8" t="s">
        <v>68</v>
      </c>
      <c r="H287" s="19" t="s">
        <v>137</v>
      </c>
      <c r="I287" s="19" t="s">
        <v>928</v>
      </c>
      <c r="J287" s="19" t="s">
        <v>331</v>
      </c>
    </row>
    <row r="288" ht="16" customHeight="1" outlineLevel="2" spans="1:10">
      <c r="A288" s="18">
        <v>6</v>
      </c>
      <c r="B288" s="18">
        <v>22</v>
      </c>
      <c r="C288" s="19" t="s">
        <v>680</v>
      </c>
      <c r="D288" s="19" t="s">
        <v>679</v>
      </c>
      <c r="E288" s="19" t="s">
        <v>65</v>
      </c>
      <c r="F288" s="8" t="s">
        <v>67</v>
      </c>
      <c r="G288" s="8" t="s">
        <v>68</v>
      </c>
      <c r="H288" s="19" t="s">
        <v>118</v>
      </c>
      <c r="I288" s="19" t="s">
        <v>674</v>
      </c>
      <c r="J288" s="19" t="s">
        <v>217</v>
      </c>
    </row>
    <row r="289" ht="16" customHeight="1" outlineLevel="2" spans="1:10">
      <c r="A289" s="18">
        <v>6</v>
      </c>
      <c r="B289" s="18">
        <v>23</v>
      </c>
      <c r="C289" s="19" t="s">
        <v>441</v>
      </c>
      <c r="D289" s="19" t="s">
        <v>440</v>
      </c>
      <c r="E289" s="19" t="s">
        <v>65</v>
      </c>
      <c r="F289" s="8" t="s">
        <v>67</v>
      </c>
      <c r="G289" s="8" t="s">
        <v>68</v>
      </c>
      <c r="H289" s="19" t="s">
        <v>95</v>
      </c>
      <c r="I289" s="19" t="s">
        <v>419</v>
      </c>
      <c r="J289" s="19" t="s">
        <v>241</v>
      </c>
    </row>
    <row r="290" ht="16" customHeight="1" outlineLevel="2" spans="1:10">
      <c r="A290" s="18">
        <v>6</v>
      </c>
      <c r="B290" s="18">
        <v>24</v>
      </c>
      <c r="C290" s="19" t="s">
        <v>514</v>
      </c>
      <c r="D290" s="19" t="s">
        <v>513</v>
      </c>
      <c r="E290" s="19" t="s">
        <v>65</v>
      </c>
      <c r="F290" s="8" t="s">
        <v>67</v>
      </c>
      <c r="G290" s="8" t="s">
        <v>68</v>
      </c>
      <c r="H290" s="19" t="s">
        <v>104</v>
      </c>
      <c r="I290" s="19" t="s">
        <v>504</v>
      </c>
      <c r="J290" s="19" t="s">
        <v>223</v>
      </c>
    </row>
    <row r="291" ht="16" customHeight="1" outlineLevel="2" spans="1:10">
      <c r="A291" s="18">
        <v>6</v>
      </c>
      <c r="B291" s="18">
        <v>25</v>
      </c>
      <c r="C291" s="19" t="s">
        <v>734</v>
      </c>
      <c r="D291" s="19" t="s">
        <v>733</v>
      </c>
      <c r="E291" s="19" t="s">
        <v>65</v>
      </c>
      <c r="F291" s="8" t="s">
        <v>67</v>
      </c>
      <c r="G291" s="8" t="s">
        <v>68</v>
      </c>
      <c r="H291" s="19" t="s">
        <v>118</v>
      </c>
      <c r="I291" s="19" t="s">
        <v>674</v>
      </c>
      <c r="J291" s="19" t="s">
        <v>298</v>
      </c>
    </row>
    <row r="292" ht="16" customHeight="1" outlineLevel="2" spans="1:10">
      <c r="A292" s="18">
        <v>6</v>
      </c>
      <c r="B292" s="18">
        <v>26</v>
      </c>
      <c r="C292" s="19" t="s">
        <v>1124</v>
      </c>
      <c r="D292" s="19" t="s">
        <v>1123</v>
      </c>
      <c r="E292" s="19" t="s">
        <v>65</v>
      </c>
      <c r="F292" s="8" t="s">
        <v>67</v>
      </c>
      <c r="G292" s="8" t="s">
        <v>68</v>
      </c>
      <c r="H292" s="19" t="s">
        <v>145</v>
      </c>
      <c r="I292" s="19" t="s">
        <v>1098</v>
      </c>
      <c r="J292" s="19" t="s">
        <v>247</v>
      </c>
    </row>
    <row r="293" ht="16" customHeight="1" outlineLevel="2" spans="1:10">
      <c r="A293" s="18">
        <v>6</v>
      </c>
      <c r="B293" s="18">
        <v>27</v>
      </c>
      <c r="C293" s="19" t="s">
        <v>988</v>
      </c>
      <c r="D293" s="19" t="s">
        <v>987</v>
      </c>
      <c r="E293" s="19" t="s">
        <v>65</v>
      </c>
      <c r="F293" s="8" t="s">
        <v>67</v>
      </c>
      <c r="G293" s="8" t="s">
        <v>68</v>
      </c>
      <c r="H293" s="19" t="s">
        <v>137</v>
      </c>
      <c r="I293" s="19" t="s">
        <v>928</v>
      </c>
      <c r="J293" s="19" t="s">
        <v>298</v>
      </c>
    </row>
    <row r="294" ht="16" customHeight="1" outlineLevel="2" spans="1:10">
      <c r="A294" s="18">
        <v>6</v>
      </c>
      <c r="B294" s="18">
        <v>28</v>
      </c>
      <c r="C294" s="19" t="s">
        <v>288</v>
      </c>
      <c r="D294" s="19" t="s">
        <v>287</v>
      </c>
      <c r="E294" s="19" t="s">
        <v>65</v>
      </c>
      <c r="F294" s="8" t="s">
        <v>67</v>
      </c>
      <c r="G294" s="8" t="s">
        <v>68</v>
      </c>
      <c r="H294" s="19" t="s">
        <v>73</v>
      </c>
      <c r="I294" s="19" t="s">
        <v>206</v>
      </c>
      <c r="J294" s="19" t="s">
        <v>289</v>
      </c>
    </row>
    <row r="295" ht="16" customHeight="1" outlineLevel="2" spans="1:10">
      <c r="A295" s="18">
        <v>6</v>
      </c>
      <c r="B295" s="18">
        <v>29</v>
      </c>
      <c r="C295" s="19" t="s">
        <v>493</v>
      </c>
      <c r="D295" s="19" t="s">
        <v>492</v>
      </c>
      <c r="E295" s="19" t="s">
        <v>65</v>
      </c>
      <c r="F295" s="8" t="s">
        <v>67</v>
      </c>
      <c r="G295" s="8" t="s">
        <v>68</v>
      </c>
      <c r="H295" s="19" t="s">
        <v>95</v>
      </c>
      <c r="I295" s="19" t="s">
        <v>419</v>
      </c>
      <c r="J295" s="19" t="s">
        <v>319</v>
      </c>
    </row>
    <row r="296" ht="16" customHeight="1" outlineLevel="2" spans="1:10">
      <c r="A296" s="18">
        <v>6</v>
      </c>
      <c r="B296" s="18">
        <v>30</v>
      </c>
      <c r="C296" s="19" t="s">
        <v>742</v>
      </c>
      <c r="D296" s="19" t="s">
        <v>741</v>
      </c>
      <c r="E296" s="19" t="s">
        <v>65</v>
      </c>
      <c r="F296" s="8" t="s">
        <v>67</v>
      </c>
      <c r="G296" s="8" t="s">
        <v>68</v>
      </c>
      <c r="H296" s="19" t="s">
        <v>118</v>
      </c>
      <c r="I296" s="19" t="s">
        <v>674</v>
      </c>
      <c r="J296" s="19" t="s">
        <v>310</v>
      </c>
    </row>
    <row r="297" ht="16" customHeight="1" outlineLevel="2" spans="1:10">
      <c r="A297" s="18">
        <v>6</v>
      </c>
      <c r="B297" s="18">
        <v>31</v>
      </c>
      <c r="C297" s="19" t="s">
        <v>726</v>
      </c>
      <c r="D297" s="19" t="s">
        <v>725</v>
      </c>
      <c r="E297" s="19" t="s">
        <v>65</v>
      </c>
      <c r="F297" s="8" t="s">
        <v>67</v>
      </c>
      <c r="G297" s="8" t="s">
        <v>68</v>
      </c>
      <c r="H297" s="19" t="s">
        <v>118</v>
      </c>
      <c r="I297" s="19" t="s">
        <v>674</v>
      </c>
      <c r="J297" s="19" t="s">
        <v>286</v>
      </c>
    </row>
    <row r="298" ht="16" customHeight="1" outlineLevel="2" spans="1:10">
      <c r="A298" s="18">
        <v>6</v>
      </c>
      <c r="B298" s="18">
        <v>32</v>
      </c>
      <c r="C298" s="19" t="s">
        <v>1172</v>
      </c>
      <c r="D298" s="19" t="s">
        <v>1171</v>
      </c>
      <c r="E298" s="19" t="s">
        <v>65</v>
      </c>
      <c r="F298" s="8" t="s">
        <v>67</v>
      </c>
      <c r="G298" s="8" t="s">
        <v>68</v>
      </c>
      <c r="H298" s="7" t="s">
        <v>145</v>
      </c>
      <c r="I298" s="19" t="s">
        <v>1098</v>
      </c>
      <c r="J298" s="7" t="s">
        <v>319</v>
      </c>
    </row>
    <row r="299" ht="16" customHeight="1" outlineLevel="2" spans="1:10">
      <c r="A299" s="18">
        <v>6</v>
      </c>
      <c r="B299" s="18">
        <v>33</v>
      </c>
      <c r="C299" s="19" t="s">
        <v>522</v>
      </c>
      <c r="D299" s="19" t="s">
        <v>521</v>
      </c>
      <c r="E299" s="19" t="s">
        <v>65</v>
      </c>
      <c r="F299" s="8" t="s">
        <v>67</v>
      </c>
      <c r="G299" s="8" t="s">
        <v>68</v>
      </c>
      <c r="H299" s="19" t="s">
        <v>104</v>
      </c>
      <c r="I299" s="19" t="s">
        <v>504</v>
      </c>
      <c r="J299" s="19" t="s">
        <v>235</v>
      </c>
    </row>
    <row r="300" ht="16" customHeight="1" outlineLevel="2" spans="1:10">
      <c r="A300" s="18">
        <v>6</v>
      </c>
      <c r="B300" s="18">
        <v>34</v>
      </c>
      <c r="C300" s="19" t="s">
        <v>671</v>
      </c>
      <c r="D300" s="19" t="s">
        <v>670</v>
      </c>
      <c r="E300" s="19" t="s">
        <v>65</v>
      </c>
      <c r="F300" s="8" t="s">
        <v>67</v>
      </c>
      <c r="G300" s="8" t="s">
        <v>68</v>
      </c>
      <c r="H300" s="19" t="s">
        <v>110</v>
      </c>
      <c r="I300" s="19" t="s">
        <v>589</v>
      </c>
      <c r="J300" s="19" t="s">
        <v>331</v>
      </c>
    </row>
    <row r="301" ht="16" customHeight="1" outlineLevel="2" spans="1:10">
      <c r="A301" s="18">
        <v>6</v>
      </c>
      <c r="B301" s="18">
        <v>35</v>
      </c>
      <c r="C301" s="19" t="s">
        <v>282</v>
      </c>
      <c r="D301" s="19" t="s">
        <v>281</v>
      </c>
      <c r="E301" s="19" t="s">
        <v>65</v>
      </c>
      <c r="F301" s="8" t="s">
        <v>67</v>
      </c>
      <c r="G301" s="8" t="s">
        <v>68</v>
      </c>
      <c r="H301" s="19" t="s">
        <v>73</v>
      </c>
      <c r="I301" s="19" t="s">
        <v>206</v>
      </c>
      <c r="J301" s="19" t="s">
        <v>283</v>
      </c>
    </row>
    <row r="302" ht="16" customHeight="1" outlineLevel="2" spans="1:10">
      <c r="A302" s="18">
        <v>6</v>
      </c>
      <c r="B302" s="18">
        <v>36</v>
      </c>
      <c r="C302" s="19" t="s">
        <v>794</v>
      </c>
      <c r="D302" s="19" t="s">
        <v>793</v>
      </c>
      <c r="E302" s="19" t="s">
        <v>65</v>
      </c>
      <c r="F302" s="8" t="s">
        <v>67</v>
      </c>
      <c r="G302" s="8" t="s">
        <v>68</v>
      </c>
      <c r="H302" s="19" t="s">
        <v>123</v>
      </c>
      <c r="I302" s="19" t="s">
        <v>758</v>
      </c>
      <c r="J302" s="19" t="s">
        <v>262</v>
      </c>
    </row>
    <row r="303" ht="16" customHeight="1" outlineLevel="2" spans="1:10">
      <c r="A303" s="18">
        <v>6</v>
      </c>
      <c r="B303" s="18">
        <v>37</v>
      </c>
      <c r="C303" s="19" t="s">
        <v>907</v>
      </c>
      <c r="D303" s="19" t="s">
        <v>906</v>
      </c>
      <c r="E303" s="19" t="s">
        <v>65</v>
      </c>
      <c r="F303" s="8" t="s">
        <v>67</v>
      </c>
      <c r="G303" s="8" t="s">
        <v>68</v>
      </c>
      <c r="H303" s="19" t="s">
        <v>132</v>
      </c>
      <c r="I303" s="19" t="s">
        <v>843</v>
      </c>
      <c r="J303" s="19" t="s">
        <v>304</v>
      </c>
    </row>
    <row r="304" ht="16" customHeight="1" outlineLevel="2" spans="1:10">
      <c r="A304" s="18">
        <v>6</v>
      </c>
      <c r="B304" s="18">
        <v>38</v>
      </c>
      <c r="C304" s="19" t="s">
        <v>802</v>
      </c>
      <c r="D304" s="19" t="s">
        <v>801</v>
      </c>
      <c r="E304" s="19" t="s">
        <v>65</v>
      </c>
      <c r="F304" s="8" t="s">
        <v>67</v>
      </c>
      <c r="G304" s="8" t="s">
        <v>68</v>
      </c>
      <c r="H304" s="19" t="s">
        <v>123</v>
      </c>
      <c r="I304" s="19" t="s">
        <v>758</v>
      </c>
      <c r="J304" s="19" t="s">
        <v>274</v>
      </c>
    </row>
    <row r="305" ht="16" customHeight="1" outlineLevel="2" spans="1:10">
      <c r="A305" s="18">
        <v>6</v>
      </c>
      <c r="B305" s="18">
        <v>39</v>
      </c>
      <c r="C305" s="19" t="s">
        <v>879</v>
      </c>
      <c r="D305" s="19" t="s">
        <v>878</v>
      </c>
      <c r="E305" s="19" t="s">
        <v>65</v>
      </c>
      <c r="F305" s="8" t="s">
        <v>67</v>
      </c>
      <c r="G305" s="8" t="s">
        <v>68</v>
      </c>
      <c r="H305" s="19" t="s">
        <v>132</v>
      </c>
      <c r="I305" s="19" t="s">
        <v>843</v>
      </c>
      <c r="J305" s="19" t="s">
        <v>262</v>
      </c>
    </row>
    <row r="306" ht="16" customHeight="1" outlineLevel="2" spans="1:10">
      <c r="A306" s="18">
        <v>6</v>
      </c>
      <c r="B306" s="18">
        <v>40</v>
      </c>
      <c r="C306" s="19" t="s">
        <v>1148</v>
      </c>
      <c r="D306" s="19" t="s">
        <v>1147</v>
      </c>
      <c r="E306" s="19" t="s">
        <v>65</v>
      </c>
      <c r="F306" s="8" t="s">
        <v>67</v>
      </c>
      <c r="G306" s="8" t="s">
        <v>68</v>
      </c>
      <c r="H306" s="19" t="s">
        <v>145</v>
      </c>
      <c r="I306" s="19" t="s">
        <v>1098</v>
      </c>
      <c r="J306" s="19" t="s">
        <v>283</v>
      </c>
    </row>
    <row r="307" ht="16" customHeight="1" outlineLevel="2" spans="1:10">
      <c r="A307" s="18">
        <v>6</v>
      </c>
      <c r="B307" s="18">
        <v>41</v>
      </c>
      <c r="C307" s="19" t="s">
        <v>686</v>
      </c>
      <c r="D307" s="19" t="s">
        <v>685</v>
      </c>
      <c r="E307" s="19" t="s">
        <v>65</v>
      </c>
      <c r="F307" s="8" t="s">
        <v>67</v>
      </c>
      <c r="G307" s="8" t="s">
        <v>68</v>
      </c>
      <c r="H307" s="19" t="s">
        <v>118</v>
      </c>
      <c r="I307" s="19" t="s">
        <v>674</v>
      </c>
      <c r="J307" s="19" t="s">
        <v>226</v>
      </c>
    </row>
    <row r="308" ht="16" customHeight="1" outlineLevel="2" spans="1:10">
      <c r="A308" s="18">
        <v>6</v>
      </c>
      <c r="B308" s="18">
        <v>42</v>
      </c>
      <c r="C308" s="19" t="s">
        <v>255</v>
      </c>
      <c r="D308" s="19" t="s">
        <v>254</v>
      </c>
      <c r="E308" s="19" t="s">
        <v>65</v>
      </c>
      <c r="F308" s="8" t="s">
        <v>67</v>
      </c>
      <c r="G308" s="8" t="s">
        <v>68</v>
      </c>
      <c r="H308" s="19" t="s">
        <v>73</v>
      </c>
      <c r="I308" s="19" t="s">
        <v>206</v>
      </c>
      <c r="J308" s="19" t="s">
        <v>256</v>
      </c>
    </row>
    <row r="309" ht="16" customHeight="1" outlineLevel="2" spans="1:10">
      <c r="A309" s="18">
        <v>6</v>
      </c>
      <c r="B309" s="18">
        <v>43</v>
      </c>
      <c r="C309" s="19" t="s">
        <v>338</v>
      </c>
      <c r="D309" s="19" t="s">
        <v>337</v>
      </c>
      <c r="E309" s="19" t="s">
        <v>65</v>
      </c>
      <c r="F309" s="8" t="s">
        <v>67</v>
      </c>
      <c r="G309" s="8" t="s">
        <v>68</v>
      </c>
      <c r="H309" s="19" t="s">
        <v>86</v>
      </c>
      <c r="I309" s="19" t="s">
        <v>334</v>
      </c>
      <c r="J309" s="19" t="s">
        <v>214</v>
      </c>
    </row>
    <row r="310" ht="16" customHeight="1" outlineLevel="2" spans="1:10">
      <c r="A310" s="18">
        <v>6</v>
      </c>
      <c r="B310" s="18">
        <v>44</v>
      </c>
      <c r="C310" s="19" t="s">
        <v>435</v>
      </c>
      <c r="D310" s="19" t="s">
        <v>434</v>
      </c>
      <c r="E310" s="19" t="s">
        <v>65</v>
      </c>
      <c r="F310" s="8" t="s">
        <v>67</v>
      </c>
      <c r="G310" s="8" t="s">
        <v>68</v>
      </c>
      <c r="H310" s="19" t="s">
        <v>95</v>
      </c>
      <c r="I310" s="19" t="s">
        <v>419</v>
      </c>
      <c r="J310" s="19" t="s">
        <v>232</v>
      </c>
    </row>
    <row r="311" ht="16" customHeight="1" outlineLevel="2" spans="1:10">
      <c r="A311" s="18">
        <v>6</v>
      </c>
      <c r="B311" s="18">
        <v>45</v>
      </c>
      <c r="C311" s="19" t="s">
        <v>919</v>
      </c>
      <c r="D311" s="19" t="s">
        <v>918</v>
      </c>
      <c r="E311" s="19" t="s">
        <v>65</v>
      </c>
      <c r="F311" s="8" t="s">
        <v>67</v>
      </c>
      <c r="G311" s="8" t="s">
        <v>68</v>
      </c>
      <c r="H311" s="19" t="s">
        <v>132</v>
      </c>
      <c r="I311" s="19" t="s">
        <v>843</v>
      </c>
      <c r="J311" s="19" t="s">
        <v>322</v>
      </c>
    </row>
    <row r="312" ht="16" customHeight="1" outlineLevel="2" spans="1:10">
      <c r="A312" s="18">
        <v>6</v>
      </c>
      <c r="B312" s="18">
        <v>46</v>
      </c>
      <c r="C312" s="19" t="s">
        <v>1051</v>
      </c>
      <c r="D312" s="19" t="s">
        <v>1050</v>
      </c>
      <c r="E312" s="19" t="s">
        <v>65</v>
      </c>
      <c r="F312" s="8" t="s">
        <v>67</v>
      </c>
      <c r="G312" s="8" t="s">
        <v>68</v>
      </c>
      <c r="H312" s="19" t="s">
        <v>141</v>
      </c>
      <c r="I312" s="19" t="s">
        <v>1013</v>
      </c>
      <c r="J312" s="19" t="s">
        <v>265</v>
      </c>
    </row>
    <row r="313" ht="16" customHeight="1" outlineLevel="2" spans="1:10">
      <c r="A313" s="18">
        <v>6</v>
      </c>
      <c r="B313" s="18">
        <v>47</v>
      </c>
      <c r="C313" s="19" t="s">
        <v>887</v>
      </c>
      <c r="D313" s="19" t="s">
        <v>886</v>
      </c>
      <c r="E313" s="19" t="s">
        <v>65</v>
      </c>
      <c r="F313" s="8" t="s">
        <v>67</v>
      </c>
      <c r="G313" s="8" t="s">
        <v>68</v>
      </c>
      <c r="H313" s="19" t="s">
        <v>132</v>
      </c>
      <c r="I313" s="19" t="s">
        <v>843</v>
      </c>
      <c r="J313" s="19" t="s">
        <v>274</v>
      </c>
    </row>
    <row r="314" ht="16" customHeight="1" outlineLevel="2" spans="1:10">
      <c r="A314" s="18">
        <v>6</v>
      </c>
      <c r="B314" s="18">
        <v>48</v>
      </c>
      <c r="C314" s="19" t="s">
        <v>342</v>
      </c>
      <c r="D314" s="19" t="s">
        <v>341</v>
      </c>
      <c r="E314" s="19" t="s">
        <v>65</v>
      </c>
      <c r="F314" s="8" t="s">
        <v>67</v>
      </c>
      <c r="G314" s="8" t="s">
        <v>68</v>
      </c>
      <c r="H314" s="19" t="s">
        <v>86</v>
      </c>
      <c r="I314" s="19" t="s">
        <v>334</v>
      </c>
      <c r="J314" s="19" t="s">
        <v>220</v>
      </c>
    </row>
    <row r="315" ht="16" customHeight="1" outlineLevel="2" spans="1:10">
      <c r="A315" s="18">
        <v>6</v>
      </c>
      <c r="B315" s="18">
        <v>49</v>
      </c>
      <c r="C315" s="19" t="s">
        <v>653</v>
      </c>
      <c r="D315" s="19" t="s">
        <v>652</v>
      </c>
      <c r="E315" s="19" t="s">
        <v>65</v>
      </c>
      <c r="F315" s="8" t="s">
        <v>67</v>
      </c>
      <c r="G315" s="8" t="s">
        <v>68</v>
      </c>
      <c r="H315" s="19" t="s">
        <v>110</v>
      </c>
      <c r="I315" s="19" t="s">
        <v>589</v>
      </c>
      <c r="J315" s="19" t="s">
        <v>304</v>
      </c>
    </row>
    <row r="316" ht="16" customHeight="1" outlineLevel="2" spans="1:10">
      <c r="A316" s="18">
        <v>6</v>
      </c>
      <c r="B316" s="18">
        <v>50</v>
      </c>
      <c r="C316" s="19" t="s">
        <v>871</v>
      </c>
      <c r="D316" s="19" t="s">
        <v>870</v>
      </c>
      <c r="E316" s="19" t="s">
        <v>65</v>
      </c>
      <c r="F316" s="8" t="s">
        <v>67</v>
      </c>
      <c r="G316" s="8" t="s">
        <v>68</v>
      </c>
      <c r="H316" s="19" t="s">
        <v>132</v>
      </c>
      <c r="I316" s="19" t="s">
        <v>843</v>
      </c>
      <c r="J316" s="19" t="s">
        <v>250</v>
      </c>
    </row>
    <row r="317" ht="16" customHeight="1" outlineLevel="2" spans="1:10">
      <c r="A317" s="18">
        <v>6</v>
      </c>
      <c r="B317" s="18">
        <v>51</v>
      </c>
      <c r="C317" s="19" t="s">
        <v>1170</v>
      </c>
      <c r="D317" s="19" t="s">
        <v>1169</v>
      </c>
      <c r="E317" s="19" t="s">
        <v>65</v>
      </c>
      <c r="F317" s="8" t="s">
        <v>67</v>
      </c>
      <c r="G317" s="8" t="s">
        <v>68</v>
      </c>
      <c r="H317" s="19" t="s">
        <v>145</v>
      </c>
      <c r="I317" s="19" t="s">
        <v>1098</v>
      </c>
      <c r="J317" s="19" t="s">
        <v>316</v>
      </c>
    </row>
    <row r="318" ht="16" customHeight="1" outlineLevel="2" spans="1:10">
      <c r="A318" s="18">
        <v>6</v>
      </c>
      <c r="B318" s="18">
        <v>52</v>
      </c>
      <c r="C318" s="19" t="s">
        <v>940</v>
      </c>
      <c r="D318" s="19" t="s">
        <v>939</v>
      </c>
      <c r="E318" s="19" t="s">
        <v>65</v>
      </c>
      <c r="F318" s="8" t="s">
        <v>67</v>
      </c>
      <c r="G318" s="8" t="s">
        <v>68</v>
      </c>
      <c r="H318" s="7" t="s">
        <v>137</v>
      </c>
      <c r="I318" s="19" t="s">
        <v>928</v>
      </c>
      <c r="J318" s="7" t="s">
        <v>226</v>
      </c>
    </row>
    <row r="319" ht="16" customHeight="1" outlineLevel="1" spans="1:10">
      <c r="A319" s="21" t="s">
        <v>1917</v>
      </c>
      <c r="B319" s="18"/>
      <c r="C319" s="19">
        <f>SUBTOTAL(3,C267:C318)</f>
        <v>52</v>
      </c>
      <c r="D319" s="19"/>
      <c r="E319" s="19"/>
      <c r="F319" s="8"/>
      <c r="G319" s="8"/>
      <c r="H319" s="7"/>
      <c r="I319" s="19"/>
      <c r="J319" s="7"/>
    </row>
    <row r="320" ht="16" customHeight="1" outlineLevel="2" spans="1:10">
      <c r="A320" s="18">
        <v>7</v>
      </c>
      <c r="B320" s="18">
        <v>1</v>
      </c>
      <c r="C320" s="19" t="s">
        <v>203</v>
      </c>
      <c r="D320" s="19" t="s">
        <v>202</v>
      </c>
      <c r="E320" s="19" t="s">
        <v>65</v>
      </c>
      <c r="F320" s="8" t="s">
        <v>67</v>
      </c>
      <c r="G320" s="8" t="s">
        <v>68</v>
      </c>
      <c r="H320" s="19" t="s">
        <v>73</v>
      </c>
      <c r="I320" s="19" t="s">
        <v>206</v>
      </c>
      <c r="J320" s="19" t="s">
        <v>207</v>
      </c>
    </row>
    <row r="321" ht="16" customHeight="1" outlineLevel="2" spans="1:10">
      <c r="A321" s="18">
        <v>7</v>
      </c>
      <c r="B321" s="18">
        <v>2</v>
      </c>
      <c r="C321" s="19" t="s">
        <v>678</v>
      </c>
      <c r="D321" s="19" t="s">
        <v>677</v>
      </c>
      <c r="E321" s="19" t="s">
        <v>65</v>
      </c>
      <c r="F321" s="8" t="s">
        <v>67</v>
      </c>
      <c r="G321" s="8" t="s">
        <v>68</v>
      </c>
      <c r="H321" s="19" t="s">
        <v>118</v>
      </c>
      <c r="I321" s="19" t="s">
        <v>674</v>
      </c>
      <c r="J321" s="19" t="s">
        <v>214</v>
      </c>
    </row>
    <row r="322" ht="16" customHeight="1" outlineLevel="2" spans="1:10">
      <c r="A322" s="18">
        <v>7</v>
      </c>
      <c r="B322" s="18">
        <v>3</v>
      </c>
      <c r="C322" s="19" t="s">
        <v>1033</v>
      </c>
      <c r="D322" s="19" t="s">
        <v>1032</v>
      </c>
      <c r="E322" s="19" t="s">
        <v>65</v>
      </c>
      <c r="F322" s="8" t="s">
        <v>67</v>
      </c>
      <c r="G322" s="8" t="s">
        <v>68</v>
      </c>
      <c r="H322" s="19" t="s">
        <v>141</v>
      </c>
      <c r="I322" s="19" t="s">
        <v>1013</v>
      </c>
      <c r="J322" s="19" t="s">
        <v>238</v>
      </c>
    </row>
    <row r="323" ht="16" customHeight="1" outlineLevel="2" spans="1:10">
      <c r="A323" s="18">
        <v>7</v>
      </c>
      <c r="B323" s="18">
        <v>4</v>
      </c>
      <c r="C323" s="19" t="s">
        <v>757</v>
      </c>
      <c r="D323" s="19" t="s">
        <v>756</v>
      </c>
      <c r="E323" s="19" t="s">
        <v>65</v>
      </c>
      <c r="F323" s="8" t="s">
        <v>67</v>
      </c>
      <c r="G323" s="8" t="s">
        <v>68</v>
      </c>
      <c r="H323" s="19" t="s">
        <v>123</v>
      </c>
      <c r="I323" s="19" t="s">
        <v>758</v>
      </c>
      <c r="J323" s="19" t="s">
        <v>207</v>
      </c>
    </row>
    <row r="324" ht="16" customHeight="1" outlineLevel="2" spans="1:10">
      <c r="A324" s="18">
        <v>7</v>
      </c>
      <c r="B324" s="18">
        <v>5</v>
      </c>
      <c r="C324" s="19" t="s">
        <v>394</v>
      </c>
      <c r="D324" s="19" t="s">
        <v>393</v>
      </c>
      <c r="E324" s="19" t="s">
        <v>65</v>
      </c>
      <c r="F324" s="8" t="s">
        <v>67</v>
      </c>
      <c r="G324" s="8" t="s">
        <v>68</v>
      </c>
      <c r="H324" s="19" t="s">
        <v>86</v>
      </c>
      <c r="I324" s="19" t="s">
        <v>334</v>
      </c>
      <c r="J324" s="19" t="s">
        <v>298</v>
      </c>
    </row>
    <row r="325" ht="16" customHeight="1" outlineLevel="2" spans="1:10">
      <c r="A325" s="18">
        <v>7</v>
      </c>
      <c r="B325" s="18">
        <v>6</v>
      </c>
      <c r="C325" s="19" t="s">
        <v>1039</v>
      </c>
      <c r="D325" s="19" t="s">
        <v>1038</v>
      </c>
      <c r="E325" s="19" t="s">
        <v>65</v>
      </c>
      <c r="F325" s="8" t="s">
        <v>67</v>
      </c>
      <c r="G325" s="8" t="s">
        <v>68</v>
      </c>
      <c r="H325" s="19" t="s">
        <v>141</v>
      </c>
      <c r="I325" s="19" t="s">
        <v>1013</v>
      </c>
      <c r="J325" s="19" t="s">
        <v>247</v>
      </c>
    </row>
    <row r="326" ht="16" customHeight="1" outlineLevel="2" spans="1:10">
      <c r="A326" s="18">
        <v>7</v>
      </c>
      <c r="B326" s="18">
        <v>7</v>
      </c>
      <c r="C326" s="19" t="s">
        <v>722</v>
      </c>
      <c r="D326" s="19" t="s">
        <v>721</v>
      </c>
      <c r="E326" s="19" t="s">
        <v>65</v>
      </c>
      <c r="F326" s="8" t="s">
        <v>67</v>
      </c>
      <c r="G326" s="8" t="s">
        <v>68</v>
      </c>
      <c r="H326" s="19" t="s">
        <v>118</v>
      </c>
      <c r="I326" s="19" t="s">
        <v>674</v>
      </c>
      <c r="J326" s="19" t="s">
        <v>280</v>
      </c>
    </row>
    <row r="327" ht="16" customHeight="1" outlineLevel="2" spans="1:10">
      <c r="A327" s="18">
        <v>7</v>
      </c>
      <c r="B327" s="18">
        <v>8</v>
      </c>
      <c r="C327" s="19" t="s">
        <v>1061</v>
      </c>
      <c r="D327" s="19" t="s">
        <v>1060</v>
      </c>
      <c r="E327" s="19" t="s">
        <v>65</v>
      </c>
      <c r="F327" s="8" t="s">
        <v>67</v>
      </c>
      <c r="G327" s="8" t="s">
        <v>68</v>
      </c>
      <c r="H327" s="19" t="s">
        <v>141</v>
      </c>
      <c r="I327" s="19" t="s">
        <v>1013</v>
      </c>
      <c r="J327" s="19" t="s">
        <v>280</v>
      </c>
    </row>
    <row r="328" ht="16" customHeight="1" outlineLevel="2" spans="1:10">
      <c r="A328" s="18">
        <v>7</v>
      </c>
      <c r="B328" s="18">
        <v>9</v>
      </c>
      <c r="C328" s="19" t="s">
        <v>649</v>
      </c>
      <c r="D328" s="19" t="s">
        <v>648</v>
      </c>
      <c r="E328" s="19" t="s">
        <v>65</v>
      </c>
      <c r="F328" s="8" t="s">
        <v>67</v>
      </c>
      <c r="G328" s="8" t="s">
        <v>68</v>
      </c>
      <c r="H328" s="19" t="s">
        <v>110</v>
      </c>
      <c r="I328" s="19" t="s">
        <v>589</v>
      </c>
      <c r="J328" s="19" t="s">
        <v>298</v>
      </c>
    </row>
    <row r="329" ht="16" customHeight="1" outlineLevel="2" spans="1:10">
      <c r="A329" s="18">
        <v>7</v>
      </c>
      <c r="B329" s="18">
        <v>10</v>
      </c>
      <c r="C329" s="19" t="s">
        <v>861</v>
      </c>
      <c r="D329" s="19" t="s">
        <v>860</v>
      </c>
      <c r="E329" s="19" t="s">
        <v>65</v>
      </c>
      <c r="F329" s="8" t="s">
        <v>67</v>
      </c>
      <c r="G329" s="8" t="s">
        <v>68</v>
      </c>
      <c r="H329" s="19" t="s">
        <v>132</v>
      </c>
      <c r="I329" s="19" t="s">
        <v>843</v>
      </c>
      <c r="J329" s="19" t="s">
        <v>235</v>
      </c>
    </row>
    <row r="330" ht="16" customHeight="1" outlineLevel="2" spans="1:10">
      <c r="A330" s="18">
        <v>7</v>
      </c>
      <c r="B330" s="18">
        <v>11</v>
      </c>
      <c r="C330" s="19" t="s">
        <v>1089</v>
      </c>
      <c r="D330" s="19" t="s">
        <v>1088</v>
      </c>
      <c r="E330" s="19" t="s">
        <v>65</v>
      </c>
      <c r="F330" s="8" t="s">
        <v>67</v>
      </c>
      <c r="G330" s="8" t="s">
        <v>68</v>
      </c>
      <c r="H330" s="19" t="s">
        <v>141</v>
      </c>
      <c r="I330" s="19" t="s">
        <v>1013</v>
      </c>
      <c r="J330" s="19" t="s">
        <v>322</v>
      </c>
    </row>
    <row r="331" ht="16" customHeight="1" outlineLevel="2" spans="1:10">
      <c r="A331" s="18">
        <v>7</v>
      </c>
      <c r="B331" s="18">
        <v>12</v>
      </c>
      <c r="C331" s="19" t="s">
        <v>1093</v>
      </c>
      <c r="D331" s="19" t="s">
        <v>1092</v>
      </c>
      <c r="E331" s="19" t="s">
        <v>65</v>
      </c>
      <c r="F331" s="8" t="s">
        <v>67</v>
      </c>
      <c r="G331" s="8" t="s">
        <v>68</v>
      </c>
      <c r="H331" s="19" t="s">
        <v>141</v>
      </c>
      <c r="I331" s="19" t="s">
        <v>1013</v>
      </c>
      <c r="J331" s="19" t="s">
        <v>328</v>
      </c>
    </row>
    <row r="332" ht="16" customHeight="1" outlineLevel="2" spans="1:10">
      <c r="A332" s="18">
        <v>7</v>
      </c>
      <c r="B332" s="18">
        <v>13</v>
      </c>
      <c r="C332" s="19" t="s">
        <v>792</v>
      </c>
      <c r="D332" s="19" t="s">
        <v>791</v>
      </c>
      <c r="E332" s="19" t="s">
        <v>65</v>
      </c>
      <c r="F332" s="8" t="s">
        <v>67</v>
      </c>
      <c r="G332" s="8" t="s">
        <v>68</v>
      </c>
      <c r="H332" s="19" t="s">
        <v>123</v>
      </c>
      <c r="I332" s="19" t="s">
        <v>758</v>
      </c>
      <c r="J332" s="19" t="s">
        <v>259</v>
      </c>
    </row>
    <row r="333" ht="16" customHeight="1" outlineLevel="2" spans="1:10">
      <c r="A333" s="18">
        <v>7</v>
      </c>
      <c r="B333" s="18">
        <v>14</v>
      </c>
      <c r="C333" s="19" t="s">
        <v>865</v>
      </c>
      <c r="D333" s="19" t="s">
        <v>864</v>
      </c>
      <c r="E333" s="19" t="s">
        <v>65</v>
      </c>
      <c r="F333" s="8" t="s">
        <v>67</v>
      </c>
      <c r="G333" s="8" t="s">
        <v>68</v>
      </c>
      <c r="H333" s="19" t="s">
        <v>132</v>
      </c>
      <c r="I333" s="19" t="s">
        <v>843</v>
      </c>
      <c r="J333" s="19" t="s">
        <v>241</v>
      </c>
    </row>
    <row r="334" ht="16" customHeight="1" outlineLevel="2" spans="1:10">
      <c r="A334" s="18">
        <v>7</v>
      </c>
      <c r="B334" s="18">
        <v>15</v>
      </c>
      <c r="C334" s="19" t="s">
        <v>710</v>
      </c>
      <c r="D334" s="19" t="s">
        <v>709</v>
      </c>
      <c r="E334" s="19" t="s">
        <v>65</v>
      </c>
      <c r="F334" s="8" t="s">
        <v>67</v>
      </c>
      <c r="G334" s="8" t="s">
        <v>68</v>
      </c>
      <c r="H334" s="19" t="s">
        <v>118</v>
      </c>
      <c r="I334" s="19" t="s">
        <v>674</v>
      </c>
      <c r="J334" s="19" t="s">
        <v>262</v>
      </c>
    </row>
    <row r="335" ht="16" customHeight="1" outlineLevel="2" spans="1:10">
      <c r="A335" s="18">
        <v>7</v>
      </c>
      <c r="B335" s="18">
        <v>16</v>
      </c>
      <c r="C335" s="19" t="s">
        <v>786</v>
      </c>
      <c r="D335" s="19" t="s">
        <v>785</v>
      </c>
      <c r="E335" s="19" t="s">
        <v>65</v>
      </c>
      <c r="F335" s="8" t="s">
        <v>67</v>
      </c>
      <c r="G335" s="8" t="s">
        <v>68</v>
      </c>
      <c r="H335" s="19" t="s">
        <v>123</v>
      </c>
      <c r="I335" s="19" t="s">
        <v>758</v>
      </c>
      <c r="J335" s="19" t="s">
        <v>250</v>
      </c>
    </row>
    <row r="336" ht="16" customHeight="1" outlineLevel="2" spans="1:10">
      <c r="A336" s="18">
        <v>7</v>
      </c>
      <c r="B336" s="18">
        <v>17</v>
      </c>
      <c r="C336" s="19" t="s">
        <v>1122</v>
      </c>
      <c r="D336" s="19" t="s">
        <v>1121</v>
      </c>
      <c r="E336" s="19" t="s">
        <v>65</v>
      </c>
      <c r="F336" s="8" t="s">
        <v>67</v>
      </c>
      <c r="G336" s="8" t="s">
        <v>68</v>
      </c>
      <c r="H336" s="19" t="s">
        <v>145</v>
      </c>
      <c r="I336" s="19" t="s">
        <v>1098</v>
      </c>
      <c r="J336" s="19" t="s">
        <v>244</v>
      </c>
    </row>
    <row r="337" ht="16" customHeight="1" outlineLevel="2" spans="1:10">
      <c r="A337" s="18">
        <v>7</v>
      </c>
      <c r="B337" s="18">
        <v>18</v>
      </c>
      <c r="C337" s="19" t="s">
        <v>398</v>
      </c>
      <c r="D337" s="19" t="s">
        <v>397</v>
      </c>
      <c r="E337" s="19" t="s">
        <v>65</v>
      </c>
      <c r="F337" s="8" t="s">
        <v>67</v>
      </c>
      <c r="G337" s="8" t="s">
        <v>68</v>
      </c>
      <c r="H337" s="19" t="s">
        <v>86</v>
      </c>
      <c r="I337" s="19" t="s">
        <v>334</v>
      </c>
      <c r="J337" s="19" t="s">
        <v>304</v>
      </c>
    </row>
    <row r="338" ht="16" customHeight="1" outlineLevel="2" spans="1:10">
      <c r="A338" s="18">
        <v>7</v>
      </c>
      <c r="B338" s="18">
        <v>19</v>
      </c>
      <c r="C338" s="19" t="s">
        <v>917</v>
      </c>
      <c r="D338" s="19" t="s">
        <v>916</v>
      </c>
      <c r="E338" s="19" t="s">
        <v>65</v>
      </c>
      <c r="F338" s="8" t="s">
        <v>67</v>
      </c>
      <c r="G338" s="8" t="s">
        <v>68</v>
      </c>
      <c r="H338" s="19" t="s">
        <v>132</v>
      </c>
      <c r="I338" s="19" t="s">
        <v>843</v>
      </c>
      <c r="J338" s="19" t="s">
        <v>319</v>
      </c>
    </row>
    <row r="339" ht="16" customHeight="1" outlineLevel="2" spans="1:10">
      <c r="A339" s="18">
        <v>7</v>
      </c>
      <c r="B339" s="18">
        <v>20</v>
      </c>
      <c r="C339" s="19" t="s">
        <v>560</v>
      </c>
      <c r="D339" s="19" t="s">
        <v>559</v>
      </c>
      <c r="E339" s="19" t="s">
        <v>65</v>
      </c>
      <c r="F339" s="8" t="s">
        <v>67</v>
      </c>
      <c r="G339" s="8" t="s">
        <v>68</v>
      </c>
      <c r="H339" s="7" t="s">
        <v>104</v>
      </c>
      <c r="I339" s="19" t="s">
        <v>504</v>
      </c>
      <c r="J339" s="7" t="s">
        <v>292</v>
      </c>
    </row>
    <row r="340" ht="16" customHeight="1" outlineLevel="2" spans="1:10">
      <c r="A340" s="18">
        <v>7</v>
      </c>
      <c r="B340" s="18">
        <v>21</v>
      </c>
      <c r="C340" s="19" t="s">
        <v>826</v>
      </c>
      <c r="D340" s="19" t="s">
        <v>825</v>
      </c>
      <c r="E340" s="19" t="s">
        <v>65</v>
      </c>
      <c r="F340" s="8" t="s">
        <v>67</v>
      </c>
      <c r="G340" s="8" t="s">
        <v>68</v>
      </c>
      <c r="H340" s="19" t="s">
        <v>123</v>
      </c>
      <c r="I340" s="19" t="s">
        <v>758</v>
      </c>
      <c r="J340" s="19" t="s">
        <v>310</v>
      </c>
    </row>
    <row r="341" ht="16" customHeight="1" outlineLevel="2" spans="1:10">
      <c r="A341" s="18">
        <v>7</v>
      </c>
      <c r="B341" s="18">
        <v>22</v>
      </c>
      <c r="C341" s="19" t="s">
        <v>1077</v>
      </c>
      <c r="D341" s="19" t="s">
        <v>1076</v>
      </c>
      <c r="E341" s="19" t="s">
        <v>65</v>
      </c>
      <c r="F341" s="8" t="s">
        <v>67</v>
      </c>
      <c r="G341" s="8" t="s">
        <v>68</v>
      </c>
      <c r="H341" s="19" t="s">
        <v>141</v>
      </c>
      <c r="I341" s="19" t="s">
        <v>1013</v>
      </c>
      <c r="J341" s="19" t="s">
        <v>304</v>
      </c>
    </row>
    <row r="342" ht="16" customHeight="1" outlineLevel="2" spans="1:10">
      <c r="A342" s="18">
        <v>7</v>
      </c>
      <c r="B342" s="18">
        <v>23</v>
      </c>
      <c r="C342" s="19" t="s">
        <v>591</v>
      </c>
      <c r="D342" s="19" t="s">
        <v>590</v>
      </c>
      <c r="E342" s="19" t="s">
        <v>65</v>
      </c>
      <c r="F342" s="8" t="s">
        <v>67</v>
      </c>
      <c r="G342" s="8" t="s">
        <v>68</v>
      </c>
      <c r="H342" s="19" t="s">
        <v>110</v>
      </c>
      <c r="I342" s="19" t="s">
        <v>589</v>
      </c>
      <c r="J342" s="19" t="s">
        <v>210</v>
      </c>
    </row>
    <row r="343" ht="16" customHeight="1" outlineLevel="2" spans="1:10">
      <c r="A343" s="18">
        <v>7</v>
      </c>
      <c r="B343" s="18">
        <v>24</v>
      </c>
      <c r="C343" s="19" t="s">
        <v>524</v>
      </c>
      <c r="D343" s="19" t="s">
        <v>523</v>
      </c>
      <c r="E343" s="19" t="s">
        <v>65</v>
      </c>
      <c r="F343" s="8" t="s">
        <v>67</v>
      </c>
      <c r="G343" s="8" t="s">
        <v>68</v>
      </c>
      <c r="H343" s="19" t="s">
        <v>104</v>
      </c>
      <c r="I343" s="19" t="s">
        <v>504</v>
      </c>
      <c r="J343" s="19" t="s">
        <v>238</v>
      </c>
    </row>
    <row r="344" ht="16" customHeight="1" outlineLevel="2" spans="1:10">
      <c r="A344" s="18">
        <v>7</v>
      </c>
      <c r="B344" s="18">
        <v>25</v>
      </c>
      <c r="C344" s="19" t="s">
        <v>934</v>
      </c>
      <c r="D344" s="19" t="s">
        <v>933</v>
      </c>
      <c r="E344" s="19" t="s">
        <v>65</v>
      </c>
      <c r="F344" s="8" t="s">
        <v>67</v>
      </c>
      <c r="G344" s="8" t="s">
        <v>68</v>
      </c>
      <c r="H344" s="19" t="s">
        <v>137</v>
      </c>
      <c r="I344" s="19" t="s">
        <v>928</v>
      </c>
      <c r="J344" s="19" t="s">
        <v>217</v>
      </c>
    </row>
    <row r="345" ht="16" customHeight="1" outlineLevel="2" spans="1:10">
      <c r="A345" s="18">
        <v>7</v>
      </c>
      <c r="B345" s="18">
        <v>26</v>
      </c>
      <c r="C345" s="19" t="s">
        <v>800</v>
      </c>
      <c r="D345" s="19" t="s">
        <v>799</v>
      </c>
      <c r="E345" s="19" t="s">
        <v>65</v>
      </c>
      <c r="F345" s="8" t="s">
        <v>67</v>
      </c>
      <c r="G345" s="8" t="s">
        <v>68</v>
      </c>
      <c r="H345" s="19" t="s">
        <v>123</v>
      </c>
      <c r="I345" s="19" t="s">
        <v>758</v>
      </c>
      <c r="J345" s="19" t="s">
        <v>271</v>
      </c>
    </row>
    <row r="346" ht="16" customHeight="1" outlineLevel="2" spans="1:10">
      <c r="A346" s="18">
        <v>7</v>
      </c>
      <c r="B346" s="18">
        <v>27</v>
      </c>
      <c r="C346" s="19" t="s">
        <v>978</v>
      </c>
      <c r="D346" s="19" t="s">
        <v>977</v>
      </c>
      <c r="E346" s="19" t="s">
        <v>65</v>
      </c>
      <c r="F346" s="8" t="s">
        <v>67</v>
      </c>
      <c r="G346" s="8" t="s">
        <v>68</v>
      </c>
      <c r="H346" s="19" t="s">
        <v>137</v>
      </c>
      <c r="I346" s="19" t="s">
        <v>928</v>
      </c>
      <c r="J346" s="19" t="s">
        <v>283</v>
      </c>
    </row>
    <row r="347" ht="16" customHeight="1" outlineLevel="2" spans="1:10">
      <c r="A347" s="18">
        <v>7</v>
      </c>
      <c r="B347" s="18">
        <v>28</v>
      </c>
      <c r="C347" s="19" t="s">
        <v>1112</v>
      </c>
      <c r="D347" s="19" t="s">
        <v>1111</v>
      </c>
      <c r="E347" s="19" t="s">
        <v>65</v>
      </c>
      <c r="F347" s="8" t="s">
        <v>67</v>
      </c>
      <c r="G347" s="8" t="s">
        <v>68</v>
      </c>
      <c r="H347" s="7" t="s">
        <v>145</v>
      </c>
      <c r="I347" s="19" t="s">
        <v>1098</v>
      </c>
      <c r="J347" s="7" t="s">
        <v>229</v>
      </c>
    </row>
    <row r="348" ht="16" customHeight="1" outlineLevel="2" spans="1:10">
      <c r="A348" s="18">
        <v>7</v>
      </c>
      <c r="B348" s="18">
        <v>29</v>
      </c>
      <c r="C348" s="19" t="s">
        <v>546</v>
      </c>
      <c r="D348" s="19" t="s">
        <v>545</v>
      </c>
      <c r="E348" s="19" t="s">
        <v>65</v>
      </c>
      <c r="F348" s="8" t="s">
        <v>67</v>
      </c>
      <c r="G348" s="8" t="s">
        <v>68</v>
      </c>
      <c r="H348" s="7" t="s">
        <v>104</v>
      </c>
      <c r="I348" s="19" t="s">
        <v>504</v>
      </c>
      <c r="J348" s="7" t="s">
        <v>271</v>
      </c>
    </row>
    <row r="349" ht="16" customHeight="1" outlineLevel="2" spans="1:10">
      <c r="A349" s="18">
        <v>7</v>
      </c>
      <c r="B349" s="18">
        <v>30</v>
      </c>
      <c r="C349" s="19" t="s">
        <v>1087</v>
      </c>
      <c r="D349" s="19" t="s">
        <v>1086</v>
      </c>
      <c r="E349" s="19" t="s">
        <v>65</v>
      </c>
      <c r="F349" s="8" t="s">
        <v>67</v>
      </c>
      <c r="G349" s="8" t="s">
        <v>68</v>
      </c>
      <c r="H349" s="19" t="s">
        <v>141</v>
      </c>
      <c r="I349" s="19" t="s">
        <v>1013</v>
      </c>
      <c r="J349" s="19" t="s">
        <v>319</v>
      </c>
    </row>
    <row r="350" ht="16" customHeight="1" outlineLevel="2" spans="1:10">
      <c r="A350" s="18">
        <v>7</v>
      </c>
      <c r="B350" s="18">
        <v>31</v>
      </c>
      <c r="C350" s="19" t="s">
        <v>267</v>
      </c>
      <c r="D350" s="19" t="s">
        <v>266</v>
      </c>
      <c r="E350" s="19" t="s">
        <v>65</v>
      </c>
      <c r="F350" s="8" t="s">
        <v>67</v>
      </c>
      <c r="G350" s="8" t="s">
        <v>68</v>
      </c>
      <c r="H350" s="19" t="s">
        <v>73</v>
      </c>
      <c r="I350" s="19" t="s">
        <v>206</v>
      </c>
      <c r="J350" s="19" t="s">
        <v>268</v>
      </c>
    </row>
    <row r="351" ht="16" customHeight="1" outlineLevel="2" spans="1:10">
      <c r="A351" s="18">
        <v>7</v>
      </c>
      <c r="B351" s="18">
        <v>32</v>
      </c>
      <c r="C351" s="19" t="s">
        <v>635</v>
      </c>
      <c r="D351" s="19" t="s">
        <v>634</v>
      </c>
      <c r="E351" s="19" t="s">
        <v>65</v>
      </c>
      <c r="F351" s="8" t="s">
        <v>67</v>
      </c>
      <c r="G351" s="8" t="s">
        <v>68</v>
      </c>
      <c r="H351" s="19" t="s">
        <v>110</v>
      </c>
      <c r="I351" s="19" t="s">
        <v>589</v>
      </c>
      <c r="J351" s="19" t="s">
        <v>277</v>
      </c>
    </row>
    <row r="352" ht="16" customHeight="1" outlineLevel="2" spans="1:10">
      <c r="A352" s="18">
        <v>7</v>
      </c>
      <c r="B352" s="18">
        <v>33</v>
      </c>
      <c r="C352" s="19" t="s">
        <v>1166</v>
      </c>
      <c r="D352" s="19" t="s">
        <v>1165</v>
      </c>
      <c r="E352" s="19" t="s">
        <v>65</v>
      </c>
      <c r="F352" s="8" t="s">
        <v>67</v>
      </c>
      <c r="G352" s="8" t="s">
        <v>68</v>
      </c>
      <c r="H352" s="19" t="s">
        <v>145</v>
      </c>
      <c r="I352" s="19" t="s">
        <v>1098</v>
      </c>
      <c r="J352" s="19" t="s">
        <v>310</v>
      </c>
    </row>
    <row r="353" ht="16" customHeight="1" outlineLevel="2" spans="1:10">
      <c r="A353" s="18">
        <v>7</v>
      </c>
      <c r="B353" s="18">
        <v>34</v>
      </c>
      <c r="C353" s="19" t="s">
        <v>570</v>
      </c>
      <c r="D353" s="19" t="s">
        <v>569</v>
      </c>
      <c r="E353" s="19" t="s">
        <v>65</v>
      </c>
      <c r="F353" s="8" t="s">
        <v>67</v>
      </c>
      <c r="G353" s="8" t="s">
        <v>68</v>
      </c>
      <c r="H353" s="19" t="s">
        <v>104</v>
      </c>
      <c r="I353" s="19" t="s">
        <v>504</v>
      </c>
      <c r="J353" s="19" t="s">
        <v>307</v>
      </c>
    </row>
    <row r="354" ht="16" customHeight="1" outlineLevel="2" spans="1:10">
      <c r="A354" s="18">
        <v>7</v>
      </c>
      <c r="B354" s="18">
        <v>35</v>
      </c>
      <c r="C354" s="19" t="s">
        <v>520</v>
      </c>
      <c r="D354" s="19" t="s">
        <v>519</v>
      </c>
      <c r="E354" s="19" t="s">
        <v>65</v>
      </c>
      <c r="F354" s="8" t="s">
        <v>67</v>
      </c>
      <c r="G354" s="8" t="s">
        <v>68</v>
      </c>
      <c r="H354" s="19" t="s">
        <v>104</v>
      </c>
      <c r="I354" s="19" t="s">
        <v>504</v>
      </c>
      <c r="J354" s="19" t="s">
        <v>232</v>
      </c>
    </row>
    <row r="355" ht="16" customHeight="1" outlineLevel="2" spans="1:10">
      <c r="A355" s="18">
        <v>7</v>
      </c>
      <c r="B355" s="18">
        <v>36</v>
      </c>
      <c r="C355" s="19" t="s">
        <v>350</v>
      </c>
      <c r="D355" s="19" t="s">
        <v>349</v>
      </c>
      <c r="E355" s="19" t="s">
        <v>65</v>
      </c>
      <c r="F355" s="8" t="s">
        <v>67</v>
      </c>
      <c r="G355" s="8" t="s">
        <v>68</v>
      </c>
      <c r="H355" s="19" t="s">
        <v>86</v>
      </c>
      <c r="I355" s="19" t="s">
        <v>334</v>
      </c>
      <c r="J355" s="19" t="s">
        <v>232</v>
      </c>
    </row>
    <row r="356" ht="16" customHeight="1" outlineLevel="2" spans="1:10">
      <c r="A356" s="18">
        <v>7</v>
      </c>
      <c r="B356" s="18">
        <v>37</v>
      </c>
      <c r="C356" s="19" t="s">
        <v>1156</v>
      </c>
      <c r="D356" s="19" t="s">
        <v>1155</v>
      </c>
      <c r="E356" s="19" t="s">
        <v>65</v>
      </c>
      <c r="F356" s="8" t="s">
        <v>67</v>
      </c>
      <c r="G356" s="8" t="s">
        <v>68</v>
      </c>
      <c r="H356" s="19" t="s">
        <v>145</v>
      </c>
      <c r="I356" s="19" t="s">
        <v>1098</v>
      </c>
      <c r="J356" s="19" t="s">
        <v>295</v>
      </c>
    </row>
    <row r="357" ht="16" customHeight="1" outlineLevel="2" spans="1:10">
      <c r="A357" s="18">
        <v>7</v>
      </c>
      <c r="B357" s="18">
        <v>38</v>
      </c>
      <c r="C357" s="19" t="s">
        <v>994</v>
      </c>
      <c r="D357" s="19" t="s">
        <v>993</v>
      </c>
      <c r="E357" s="19" t="s">
        <v>65</v>
      </c>
      <c r="F357" s="8" t="s">
        <v>67</v>
      </c>
      <c r="G357" s="8" t="s">
        <v>68</v>
      </c>
      <c r="H357" s="19" t="s">
        <v>137</v>
      </c>
      <c r="I357" s="19" t="s">
        <v>928</v>
      </c>
      <c r="J357" s="19" t="s">
        <v>307</v>
      </c>
    </row>
    <row r="358" ht="16" customHeight="1" outlineLevel="2" spans="1:10">
      <c r="A358" s="18">
        <v>7</v>
      </c>
      <c r="B358" s="18">
        <v>39</v>
      </c>
      <c r="C358" s="19" t="s">
        <v>824</v>
      </c>
      <c r="D358" s="19" t="s">
        <v>823</v>
      </c>
      <c r="E358" s="19" t="s">
        <v>65</v>
      </c>
      <c r="F358" s="8" t="s">
        <v>67</v>
      </c>
      <c r="G358" s="8" t="s">
        <v>68</v>
      </c>
      <c r="H358" s="19" t="s">
        <v>123</v>
      </c>
      <c r="I358" s="19" t="s">
        <v>758</v>
      </c>
      <c r="J358" s="19" t="s">
        <v>307</v>
      </c>
    </row>
    <row r="359" ht="16" customHeight="1" outlineLevel="2" spans="1:10">
      <c r="A359" s="18">
        <v>7</v>
      </c>
      <c r="B359" s="18">
        <v>40</v>
      </c>
      <c r="C359" s="19" t="s">
        <v>340</v>
      </c>
      <c r="D359" s="19" t="s">
        <v>339</v>
      </c>
      <c r="E359" s="19" t="s">
        <v>65</v>
      </c>
      <c r="F359" s="8" t="s">
        <v>67</v>
      </c>
      <c r="G359" s="8" t="s">
        <v>68</v>
      </c>
      <c r="H359" s="19" t="s">
        <v>86</v>
      </c>
      <c r="I359" s="19" t="s">
        <v>334</v>
      </c>
      <c r="J359" s="19" t="s">
        <v>217</v>
      </c>
    </row>
    <row r="360" ht="16" customHeight="1" outlineLevel="2" spans="1:10">
      <c r="A360" s="18">
        <v>7</v>
      </c>
      <c r="B360" s="18">
        <v>41</v>
      </c>
      <c r="C360" s="19" t="s">
        <v>386</v>
      </c>
      <c r="D360" s="19" t="s">
        <v>385</v>
      </c>
      <c r="E360" s="19" t="s">
        <v>65</v>
      </c>
      <c r="F360" s="8" t="s">
        <v>67</v>
      </c>
      <c r="G360" s="8" t="s">
        <v>68</v>
      </c>
      <c r="H360" s="19" t="s">
        <v>86</v>
      </c>
      <c r="I360" s="19" t="s">
        <v>334</v>
      </c>
      <c r="J360" s="19" t="s">
        <v>286</v>
      </c>
    </row>
    <row r="361" ht="16" customHeight="1" outlineLevel="2" spans="1:10">
      <c r="A361" s="18">
        <v>7</v>
      </c>
      <c r="B361" s="18">
        <v>42</v>
      </c>
      <c r="C361" s="19" t="s">
        <v>354</v>
      </c>
      <c r="D361" s="19" t="s">
        <v>353</v>
      </c>
      <c r="E361" s="19" t="s">
        <v>65</v>
      </c>
      <c r="F361" s="8" t="s">
        <v>67</v>
      </c>
      <c r="G361" s="8" t="s">
        <v>68</v>
      </c>
      <c r="H361" s="19" t="s">
        <v>86</v>
      </c>
      <c r="I361" s="19" t="s">
        <v>334</v>
      </c>
      <c r="J361" s="19" t="s">
        <v>238</v>
      </c>
    </row>
    <row r="362" ht="16" customHeight="1" outlineLevel="2" spans="1:10">
      <c r="A362" s="18">
        <v>7</v>
      </c>
      <c r="B362" s="18">
        <v>43</v>
      </c>
      <c r="C362" s="19" t="s">
        <v>659</v>
      </c>
      <c r="D362" s="19" t="s">
        <v>658</v>
      </c>
      <c r="E362" s="19" t="s">
        <v>65</v>
      </c>
      <c r="F362" s="8" t="s">
        <v>67</v>
      </c>
      <c r="G362" s="8" t="s">
        <v>68</v>
      </c>
      <c r="H362" s="19" t="s">
        <v>110</v>
      </c>
      <c r="I362" s="19" t="s">
        <v>589</v>
      </c>
      <c r="J362" s="19" t="s">
        <v>313</v>
      </c>
    </row>
    <row r="363" ht="16" customHeight="1" outlineLevel="2" spans="1:10">
      <c r="A363" s="18">
        <v>7</v>
      </c>
      <c r="B363" s="18">
        <v>44</v>
      </c>
      <c r="C363" s="19" t="s">
        <v>516</v>
      </c>
      <c r="D363" s="19" t="s">
        <v>515</v>
      </c>
      <c r="E363" s="19" t="s">
        <v>65</v>
      </c>
      <c r="F363" s="8" t="s">
        <v>67</v>
      </c>
      <c r="G363" s="8" t="s">
        <v>68</v>
      </c>
      <c r="H363" s="19" t="s">
        <v>104</v>
      </c>
      <c r="I363" s="19" t="s">
        <v>504</v>
      </c>
      <c r="J363" s="19" t="s">
        <v>226</v>
      </c>
    </row>
    <row r="364" ht="16" customHeight="1" outlineLevel="2" spans="1:10">
      <c r="A364" s="18">
        <v>7</v>
      </c>
      <c r="B364" s="18">
        <v>45</v>
      </c>
      <c r="C364" s="19" t="s">
        <v>538</v>
      </c>
      <c r="D364" s="19" t="s">
        <v>537</v>
      </c>
      <c r="E364" s="19" t="s">
        <v>65</v>
      </c>
      <c r="F364" s="8" t="s">
        <v>67</v>
      </c>
      <c r="G364" s="8" t="s">
        <v>68</v>
      </c>
      <c r="H364" s="19" t="s">
        <v>104</v>
      </c>
      <c r="I364" s="19" t="s">
        <v>504</v>
      </c>
      <c r="J364" s="19" t="s">
        <v>259</v>
      </c>
    </row>
    <row r="365" ht="16" customHeight="1" outlineLevel="2" spans="1:10">
      <c r="A365" s="18">
        <v>7</v>
      </c>
      <c r="B365" s="18">
        <v>46</v>
      </c>
      <c r="C365" s="19" t="s">
        <v>599</v>
      </c>
      <c r="D365" s="19" t="s">
        <v>598</v>
      </c>
      <c r="E365" s="19" t="s">
        <v>65</v>
      </c>
      <c r="F365" s="8" t="s">
        <v>67</v>
      </c>
      <c r="G365" s="8" t="s">
        <v>68</v>
      </c>
      <c r="H365" s="19" t="s">
        <v>110</v>
      </c>
      <c r="I365" s="19" t="s">
        <v>589</v>
      </c>
      <c r="J365" s="19" t="s">
        <v>223</v>
      </c>
    </row>
    <row r="366" ht="16" customHeight="1" outlineLevel="2" spans="1:10">
      <c r="A366" s="18">
        <v>7</v>
      </c>
      <c r="B366" s="18">
        <v>47</v>
      </c>
      <c r="C366" s="19" t="s">
        <v>851</v>
      </c>
      <c r="D366" s="19" t="s">
        <v>850</v>
      </c>
      <c r="E366" s="19" t="s">
        <v>65</v>
      </c>
      <c r="F366" s="8" t="s">
        <v>67</v>
      </c>
      <c r="G366" s="8" t="s">
        <v>68</v>
      </c>
      <c r="H366" s="19" t="s">
        <v>132</v>
      </c>
      <c r="I366" s="19" t="s">
        <v>843</v>
      </c>
      <c r="J366" s="19" t="s">
        <v>220</v>
      </c>
    </row>
    <row r="367" ht="16" customHeight="1" outlineLevel="2" spans="1:10">
      <c r="A367" s="18">
        <v>7</v>
      </c>
      <c r="B367" s="18">
        <v>48</v>
      </c>
      <c r="C367" s="19" t="s">
        <v>433</v>
      </c>
      <c r="D367" s="19" t="s">
        <v>432</v>
      </c>
      <c r="E367" s="19" t="s">
        <v>65</v>
      </c>
      <c r="F367" s="8" t="s">
        <v>67</v>
      </c>
      <c r="G367" s="8" t="s">
        <v>68</v>
      </c>
      <c r="H367" s="19" t="s">
        <v>95</v>
      </c>
      <c r="I367" s="19" t="s">
        <v>419</v>
      </c>
      <c r="J367" s="19" t="s">
        <v>229</v>
      </c>
    </row>
    <row r="368" ht="16" customHeight="1" outlineLevel="2" spans="1:10">
      <c r="A368" s="18">
        <v>7</v>
      </c>
      <c r="B368" s="18">
        <v>49</v>
      </c>
      <c r="C368" s="19" t="s">
        <v>869</v>
      </c>
      <c r="D368" s="19" t="s">
        <v>868</v>
      </c>
      <c r="E368" s="19" t="s">
        <v>65</v>
      </c>
      <c r="F368" s="8" t="s">
        <v>67</v>
      </c>
      <c r="G368" s="8" t="s">
        <v>68</v>
      </c>
      <c r="H368" s="19" t="s">
        <v>132</v>
      </c>
      <c r="I368" s="19" t="s">
        <v>843</v>
      </c>
      <c r="J368" s="19" t="s">
        <v>247</v>
      </c>
    </row>
    <row r="369" ht="16" customHeight="1" outlineLevel="2" spans="1:10">
      <c r="A369" s="18">
        <v>7</v>
      </c>
      <c r="B369" s="18">
        <v>50</v>
      </c>
      <c r="C369" s="19" t="s">
        <v>1041</v>
      </c>
      <c r="D369" s="19" t="s">
        <v>1040</v>
      </c>
      <c r="E369" s="19" t="s">
        <v>65</v>
      </c>
      <c r="F369" s="8" t="s">
        <v>67</v>
      </c>
      <c r="G369" s="8" t="s">
        <v>68</v>
      </c>
      <c r="H369" s="19" t="s">
        <v>141</v>
      </c>
      <c r="I369" s="19" t="s">
        <v>1013</v>
      </c>
      <c r="J369" s="19" t="s">
        <v>250</v>
      </c>
    </row>
    <row r="370" ht="16" customHeight="1" outlineLevel="2" spans="1:10">
      <c r="A370" s="18">
        <v>7</v>
      </c>
      <c r="B370" s="18">
        <v>51</v>
      </c>
      <c r="C370" s="19" t="s">
        <v>356</v>
      </c>
      <c r="D370" s="19" t="s">
        <v>355</v>
      </c>
      <c r="E370" s="19" t="s">
        <v>65</v>
      </c>
      <c r="F370" s="8" t="s">
        <v>67</v>
      </c>
      <c r="G370" s="8" t="s">
        <v>68</v>
      </c>
      <c r="H370" s="19" t="s">
        <v>86</v>
      </c>
      <c r="I370" s="19" t="s">
        <v>334</v>
      </c>
      <c r="J370" s="19" t="s">
        <v>241</v>
      </c>
    </row>
    <row r="371" ht="16" customHeight="1" outlineLevel="2" spans="1:10">
      <c r="A371" s="18">
        <v>7</v>
      </c>
      <c r="B371" s="18">
        <v>52</v>
      </c>
      <c r="C371" s="19" t="s">
        <v>782</v>
      </c>
      <c r="D371" s="19" t="s">
        <v>781</v>
      </c>
      <c r="E371" s="19" t="s">
        <v>65</v>
      </c>
      <c r="F371" s="8" t="s">
        <v>67</v>
      </c>
      <c r="G371" s="8" t="s">
        <v>68</v>
      </c>
      <c r="H371" s="19" t="s">
        <v>123</v>
      </c>
      <c r="I371" s="19" t="s">
        <v>758</v>
      </c>
      <c r="J371" s="19" t="s">
        <v>244</v>
      </c>
    </row>
    <row r="372" ht="16" customHeight="1" outlineLevel="1" spans="1:10">
      <c r="A372" s="21" t="s">
        <v>1918</v>
      </c>
      <c r="B372" s="18"/>
      <c r="C372" s="19">
        <f>SUBTOTAL(3,C320:C371)</f>
        <v>52</v>
      </c>
      <c r="D372" s="19"/>
      <c r="E372" s="19"/>
      <c r="F372" s="8"/>
      <c r="G372" s="8"/>
      <c r="H372" s="19"/>
      <c r="I372" s="19"/>
      <c r="J372" s="19"/>
    </row>
    <row r="373" ht="16" customHeight="1" outlineLevel="2" spans="1:10">
      <c r="A373" s="18">
        <v>8</v>
      </c>
      <c r="B373" s="18">
        <v>2</v>
      </c>
      <c r="C373" s="19" t="s">
        <v>714</v>
      </c>
      <c r="D373" s="19" t="s">
        <v>713</v>
      </c>
      <c r="E373" s="19" t="s">
        <v>65</v>
      </c>
      <c r="F373" s="8" t="s">
        <v>67</v>
      </c>
      <c r="G373" s="8" t="s">
        <v>68</v>
      </c>
      <c r="H373" s="19" t="s">
        <v>118</v>
      </c>
      <c r="I373" s="19" t="s">
        <v>674</v>
      </c>
      <c r="J373" s="19" t="s">
        <v>268</v>
      </c>
    </row>
    <row r="374" ht="16" customHeight="1" outlineLevel="2" spans="1:10">
      <c r="A374" s="18">
        <v>8</v>
      </c>
      <c r="B374" s="18">
        <v>3</v>
      </c>
      <c r="C374" s="19" t="s">
        <v>716</v>
      </c>
      <c r="D374" s="19" t="s">
        <v>715</v>
      </c>
      <c r="E374" s="19" t="s">
        <v>65</v>
      </c>
      <c r="F374" s="8" t="s">
        <v>67</v>
      </c>
      <c r="G374" s="8" t="s">
        <v>68</v>
      </c>
      <c r="H374" s="19" t="s">
        <v>118</v>
      </c>
      <c r="I374" s="19" t="s">
        <v>674</v>
      </c>
      <c r="J374" s="19" t="s">
        <v>271</v>
      </c>
    </row>
    <row r="375" ht="16" customHeight="1" outlineLevel="2" spans="1:10">
      <c r="A375" s="18">
        <v>8</v>
      </c>
      <c r="B375" s="18">
        <v>4</v>
      </c>
      <c r="C375" s="19" t="s">
        <v>368</v>
      </c>
      <c r="D375" s="19" t="s">
        <v>367</v>
      </c>
      <c r="E375" s="19" t="s">
        <v>65</v>
      </c>
      <c r="F375" s="8" t="s">
        <v>67</v>
      </c>
      <c r="G375" s="8" t="s">
        <v>68</v>
      </c>
      <c r="H375" s="19" t="s">
        <v>86</v>
      </c>
      <c r="I375" s="19" t="s">
        <v>334</v>
      </c>
      <c r="J375" s="19" t="s">
        <v>259</v>
      </c>
    </row>
    <row r="376" ht="16" customHeight="1" outlineLevel="2" spans="1:10">
      <c r="A376" s="18">
        <v>8</v>
      </c>
      <c r="B376" s="18">
        <v>5</v>
      </c>
      <c r="C376" s="19" t="s">
        <v>704</v>
      </c>
      <c r="D376" s="19" t="s">
        <v>703</v>
      </c>
      <c r="E376" s="19" t="s">
        <v>65</v>
      </c>
      <c r="F376" s="8" t="s">
        <v>67</v>
      </c>
      <c r="G376" s="8" t="s">
        <v>68</v>
      </c>
      <c r="H376" s="19" t="s">
        <v>118</v>
      </c>
      <c r="I376" s="19" t="s">
        <v>674</v>
      </c>
      <c r="J376" s="19" t="s">
        <v>253</v>
      </c>
    </row>
    <row r="377" ht="16" customHeight="1" outlineLevel="2" spans="1:10">
      <c r="A377" s="18">
        <v>8</v>
      </c>
      <c r="B377" s="18">
        <v>6</v>
      </c>
      <c r="C377" s="19" t="s">
        <v>431</v>
      </c>
      <c r="D377" s="19" t="s">
        <v>430</v>
      </c>
      <c r="E377" s="19" t="s">
        <v>65</v>
      </c>
      <c r="F377" s="8" t="s">
        <v>67</v>
      </c>
      <c r="G377" s="8" t="s">
        <v>68</v>
      </c>
      <c r="H377" s="19" t="s">
        <v>95</v>
      </c>
      <c r="I377" s="19" t="s">
        <v>419</v>
      </c>
      <c r="J377" s="19" t="s">
        <v>226</v>
      </c>
    </row>
    <row r="378" ht="16" customHeight="1" outlineLevel="2" spans="1:10">
      <c r="A378" s="18">
        <v>8</v>
      </c>
      <c r="B378" s="18">
        <v>7</v>
      </c>
      <c r="C378" s="19" t="s">
        <v>321</v>
      </c>
      <c r="D378" s="19" t="s">
        <v>320</v>
      </c>
      <c r="E378" s="19" t="s">
        <v>65</v>
      </c>
      <c r="F378" s="8" t="s">
        <v>67</v>
      </c>
      <c r="G378" s="8" t="s">
        <v>68</v>
      </c>
      <c r="H378" s="19" t="s">
        <v>73</v>
      </c>
      <c r="I378" s="19" t="s">
        <v>206</v>
      </c>
      <c r="J378" s="19" t="s">
        <v>322</v>
      </c>
    </row>
    <row r="379" ht="16" customHeight="1" outlineLevel="2" spans="1:10">
      <c r="A379" s="18">
        <v>8</v>
      </c>
      <c r="B379" s="18">
        <v>8</v>
      </c>
      <c r="C379" s="19" t="s">
        <v>780</v>
      </c>
      <c r="D379" s="19" t="s">
        <v>779</v>
      </c>
      <c r="E379" s="19" t="s">
        <v>65</v>
      </c>
      <c r="F379" s="8" t="s">
        <v>67</v>
      </c>
      <c r="G379" s="8" t="s">
        <v>68</v>
      </c>
      <c r="H379" s="19" t="s">
        <v>123</v>
      </c>
      <c r="I379" s="19" t="s">
        <v>758</v>
      </c>
      <c r="J379" s="19" t="s">
        <v>241</v>
      </c>
    </row>
    <row r="380" ht="16" customHeight="1" outlineLevel="2" spans="1:10">
      <c r="A380" s="18">
        <v>8</v>
      </c>
      <c r="B380" s="18">
        <v>9</v>
      </c>
      <c r="C380" s="19" t="s">
        <v>720</v>
      </c>
      <c r="D380" s="19" t="s">
        <v>719</v>
      </c>
      <c r="E380" s="19" t="s">
        <v>65</v>
      </c>
      <c r="F380" s="8" t="s">
        <v>67</v>
      </c>
      <c r="G380" s="8" t="s">
        <v>68</v>
      </c>
      <c r="H380" s="19" t="s">
        <v>118</v>
      </c>
      <c r="I380" s="19" t="s">
        <v>674</v>
      </c>
      <c r="J380" s="19" t="s">
        <v>277</v>
      </c>
    </row>
    <row r="381" ht="16" customHeight="1" outlineLevel="2" spans="1:10">
      <c r="A381" s="18">
        <v>8</v>
      </c>
      <c r="B381" s="18">
        <v>10</v>
      </c>
      <c r="C381" s="19" t="s">
        <v>601</v>
      </c>
      <c r="D381" s="19" t="s">
        <v>600</v>
      </c>
      <c r="E381" s="19" t="s">
        <v>65</v>
      </c>
      <c r="F381" s="8" t="s">
        <v>67</v>
      </c>
      <c r="G381" s="8" t="s">
        <v>68</v>
      </c>
      <c r="H381" s="19" t="s">
        <v>110</v>
      </c>
      <c r="I381" s="19" t="s">
        <v>589</v>
      </c>
      <c r="J381" s="19" t="s">
        <v>226</v>
      </c>
    </row>
    <row r="382" ht="16" customHeight="1" outlineLevel="2" spans="1:10">
      <c r="A382" s="18">
        <v>8</v>
      </c>
      <c r="B382" s="18">
        <v>11</v>
      </c>
      <c r="C382" s="19" t="s">
        <v>631</v>
      </c>
      <c r="D382" s="19" t="s">
        <v>630</v>
      </c>
      <c r="E382" s="19" t="s">
        <v>65</v>
      </c>
      <c r="F382" s="8" t="s">
        <v>67</v>
      </c>
      <c r="G382" s="8" t="s">
        <v>68</v>
      </c>
      <c r="H382" s="19" t="s">
        <v>110</v>
      </c>
      <c r="I382" s="19" t="s">
        <v>589</v>
      </c>
      <c r="J382" s="19" t="s">
        <v>271</v>
      </c>
    </row>
    <row r="383" ht="16" customHeight="1" outlineLevel="2" spans="1:10">
      <c r="A383" s="18">
        <v>8</v>
      </c>
      <c r="B383" s="18">
        <v>12</v>
      </c>
      <c r="C383" s="19" t="s">
        <v>1162</v>
      </c>
      <c r="D383" s="19" t="s">
        <v>1161</v>
      </c>
      <c r="E383" s="19" t="s">
        <v>65</v>
      </c>
      <c r="F383" s="8" t="s">
        <v>67</v>
      </c>
      <c r="G383" s="8" t="s">
        <v>68</v>
      </c>
      <c r="H383" s="7" t="s">
        <v>145</v>
      </c>
      <c r="I383" s="19" t="s">
        <v>1098</v>
      </c>
      <c r="J383" s="7" t="s">
        <v>304</v>
      </c>
    </row>
    <row r="384" ht="16" customHeight="1" outlineLevel="2" spans="1:10">
      <c r="A384" s="18">
        <v>8</v>
      </c>
      <c r="B384" s="18">
        <v>13</v>
      </c>
      <c r="C384" s="19" t="s">
        <v>790</v>
      </c>
      <c r="D384" s="19" t="s">
        <v>789</v>
      </c>
      <c r="E384" s="19" t="s">
        <v>65</v>
      </c>
      <c r="F384" s="8" t="s">
        <v>67</v>
      </c>
      <c r="G384" s="8" t="s">
        <v>68</v>
      </c>
      <c r="H384" s="19" t="s">
        <v>123</v>
      </c>
      <c r="I384" s="19" t="s">
        <v>758</v>
      </c>
      <c r="J384" s="19" t="s">
        <v>256</v>
      </c>
    </row>
    <row r="385" ht="16" customHeight="1" outlineLevel="2" spans="1:10">
      <c r="A385" s="18">
        <v>8</v>
      </c>
      <c r="B385" s="18">
        <v>14</v>
      </c>
      <c r="C385" s="19" t="s">
        <v>566</v>
      </c>
      <c r="D385" s="19" t="s">
        <v>565</v>
      </c>
      <c r="E385" s="19" t="s">
        <v>65</v>
      </c>
      <c r="F385" s="8" t="s">
        <v>67</v>
      </c>
      <c r="G385" s="8" t="s">
        <v>68</v>
      </c>
      <c r="H385" s="19" t="s">
        <v>104</v>
      </c>
      <c r="I385" s="19" t="s">
        <v>504</v>
      </c>
      <c r="J385" s="19" t="s">
        <v>301</v>
      </c>
    </row>
    <row r="386" ht="16" customHeight="1" outlineLevel="2" spans="1:10">
      <c r="A386" s="18">
        <v>8</v>
      </c>
      <c r="B386" s="18">
        <v>15</v>
      </c>
      <c r="C386" s="19" t="s">
        <v>744</v>
      </c>
      <c r="D386" s="19" t="s">
        <v>743</v>
      </c>
      <c r="E386" s="19" t="s">
        <v>65</v>
      </c>
      <c r="F386" s="8" t="s">
        <v>67</v>
      </c>
      <c r="G386" s="8" t="s">
        <v>68</v>
      </c>
      <c r="H386" s="19" t="s">
        <v>118</v>
      </c>
      <c r="I386" s="19" t="s">
        <v>674</v>
      </c>
      <c r="J386" s="19" t="s">
        <v>313</v>
      </c>
    </row>
    <row r="387" ht="16" customHeight="1" outlineLevel="2" spans="1:10">
      <c r="A387" s="18">
        <v>8</v>
      </c>
      <c r="B387" s="18">
        <v>16</v>
      </c>
      <c r="C387" s="19" t="s">
        <v>1057</v>
      </c>
      <c r="D387" s="19" t="s">
        <v>1056</v>
      </c>
      <c r="E387" s="19" t="s">
        <v>65</v>
      </c>
      <c r="F387" s="8" t="s">
        <v>67</v>
      </c>
      <c r="G387" s="8" t="s">
        <v>68</v>
      </c>
      <c r="H387" s="19" t="s">
        <v>141</v>
      </c>
      <c r="I387" s="19" t="s">
        <v>1013</v>
      </c>
      <c r="J387" s="19" t="s">
        <v>274</v>
      </c>
    </row>
    <row r="388" ht="16" customHeight="1" outlineLevel="2" spans="1:10">
      <c r="A388" s="18">
        <v>8</v>
      </c>
      <c r="B388" s="18">
        <v>17</v>
      </c>
      <c r="C388" s="19" t="s">
        <v>222</v>
      </c>
      <c r="D388" s="19" t="s">
        <v>221</v>
      </c>
      <c r="E388" s="19" t="s">
        <v>65</v>
      </c>
      <c r="F388" s="8" t="s">
        <v>67</v>
      </c>
      <c r="G388" s="8" t="s">
        <v>68</v>
      </c>
      <c r="H388" s="19" t="s">
        <v>73</v>
      </c>
      <c r="I388" s="19" t="s">
        <v>206</v>
      </c>
      <c r="J388" s="19" t="s">
        <v>223</v>
      </c>
    </row>
    <row r="389" ht="16" customHeight="1" outlineLevel="2" spans="1:10">
      <c r="A389" s="18">
        <v>8</v>
      </c>
      <c r="B389" s="18">
        <v>18</v>
      </c>
      <c r="C389" s="19" t="s">
        <v>344</v>
      </c>
      <c r="D389" s="19" t="s">
        <v>343</v>
      </c>
      <c r="E389" s="19" t="s">
        <v>65</v>
      </c>
      <c r="F389" s="8" t="s">
        <v>67</v>
      </c>
      <c r="G389" s="8" t="s">
        <v>68</v>
      </c>
      <c r="H389" s="19" t="s">
        <v>86</v>
      </c>
      <c r="I389" s="19" t="s">
        <v>334</v>
      </c>
      <c r="J389" s="19" t="s">
        <v>223</v>
      </c>
    </row>
    <row r="390" ht="16" customHeight="1" outlineLevel="2" spans="1:10">
      <c r="A390" s="18">
        <v>8</v>
      </c>
      <c r="B390" s="18">
        <v>19</v>
      </c>
      <c r="C390" s="19" t="s">
        <v>574</v>
      </c>
      <c r="D390" s="19" t="s">
        <v>573</v>
      </c>
      <c r="E390" s="19" t="s">
        <v>65</v>
      </c>
      <c r="F390" s="8" t="s">
        <v>67</v>
      </c>
      <c r="G390" s="8" t="s">
        <v>68</v>
      </c>
      <c r="H390" s="19" t="s">
        <v>104</v>
      </c>
      <c r="I390" s="19" t="s">
        <v>504</v>
      </c>
      <c r="J390" s="19" t="s">
        <v>313</v>
      </c>
    </row>
    <row r="391" ht="16" customHeight="1" outlineLevel="2" spans="1:10">
      <c r="A391" s="18">
        <v>8</v>
      </c>
      <c r="B391" s="18">
        <v>20</v>
      </c>
      <c r="C391" s="19" t="s">
        <v>1006</v>
      </c>
      <c r="D391" s="19" t="s">
        <v>1005</v>
      </c>
      <c r="E391" s="19" t="s">
        <v>65</v>
      </c>
      <c r="F391" s="8" t="s">
        <v>67</v>
      </c>
      <c r="G391" s="8" t="s">
        <v>68</v>
      </c>
      <c r="H391" s="19" t="s">
        <v>137</v>
      </c>
      <c r="I391" s="19" t="s">
        <v>928</v>
      </c>
      <c r="J391" s="19" t="s">
        <v>325</v>
      </c>
    </row>
    <row r="392" ht="16" customHeight="1" outlineLevel="2" spans="1:10">
      <c r="A392" s="18">
        <v>8</v>
      </c>
      <c r="B392" s="18">
        <v>21</v>
      </c>
      <c r="C392" s="19" t="s">
        <v>613</v>
      </c>
      <c r="D392" s="19" t="s">
        <v>612</v>
      </c>
      <c r="E392" s="19" t="s">
        <v>65</v>
      </c>
      <c r="F392" s="8" t="s">
        <v>67</v>
      </c>
      <c r="G392" s="8" t="s">
        <v>68</v>
      </c>
      <c r="H392" s="19" t="s">
        <v>110</v>
      </c>
      <c r="I392" s="19" t="s">
        <v>589</v>
      </c>
      <c r="J392" s="19" t="s">
        <v>244</v>
      </c>
    </row>
    <row r="393" ht="16" customHeight="1" outlineLevel="2" spans="1:10">
      <c r="A393" s="18">
        <v>8</v>
      </c>
      <c r="B393" s="18">
        <v>22</v>
      </c>
      <c r="C393" s="19" t="s">
        <v>1017</v>
      </c>
      <c r="D393" s="19" t="s">
        <v>1016</v>
      </c>
      <c r="E393" s="19" t="s">
        <v>65</v>
      </c>
      <c r="F393" s="8" t="s">
        <v>67</v>
      </c>
      <c r="G393" s="8" t="s">
        <v>68</v>
      </c>
      <c r="H393" s="19" t="s">
        <v>141</v>
      </c>
      <c r="I393" s="19" t="s">
        <v>1013</v>
      </c>
      <c r="J393" s="19" t="s">
        <v>214</v>
      </c>
    </row>
    <row r="394" ht="16" customHeight="1" outlineLevel="2" spans="1:10">
      <c r="A394" s="18">
        <v>8</v>
      </c>
      <c r="B394" s="18">
        <v>23</v>
      </c>
      <c r="C394" s="19" t="s">
        <v>706</v>
      </c>
      <c r="D394" s="19" t="s">
        <v>705</v>
      </c>
      <c r="E394" s="19" t="s">
        <v>65</v>
      </c>
      <c r="F394" s="8" t="s">
        <v>67</v>
      </c>
      <c r="G394" s="8" t="s">
        <v>68</v>
      </c>
      <c r="H394" s="19" t="s">
        <v>118</v>
      </c>
      <c r="I394" s="19" t="s">
        <v>674</v>
      </c>
      <c r="J394" s="19" t="s">
        <v>256</v>
      </c>
    </row>
    <row r="395" ht="16" customHeight="1" outlineLevel="2" spans="1:10">
      <c r="A395" s="18">
        <v>8</v>
      </c>
      <c r="B395" s="18">
        <v>24</v>
      </c>
      <c r="C395" s="19" t="s">
        <v>384</v>
      </c>
      <c r="D395" s="19" t="s">
        <v>383</v>
      </c>
      <c r="E395" s="19" t="s">
        <v>65</v>
      </c>
      <c r="F395" s="8" t="s">
        <v>67</v>
      </c>
      <c r="G395" s="8" t="s">
        <v>68</v>
      </c>
      <c r="H395" s="19" t="s">
        <v>86</v>
      </c>
      <c r="I395" s="19" t="s">
        <v>334</v>
      </c>
      <c r="J395" s="19" t="s">
        <v>283</v>
      </c>
    </row>
    <row r="396" ht="16" customHeight="1" outlineLevel="2" spans="1:10">
      <c r="A396" s="18">
        <v>8</v>
      </c>
      <c r="B396" s="18">
        <v>25</v>
      </c>
      <c r="C396" s="19" t="s">
        <v>376</v>
      </c>
      <c r="D396" s="19" t="s">
        <v>375</v>
      </c>
      <c r="E396" s="19" t="s">
        <v>65</v>
      </c>
      <c r="F396" s="8" t="s">
        <v>67</v>
      </c>
      <c r="G396" s="8" t="s">
        <v>68</v>
      </c>
      <c r="H396" s="19" t="s">
        <v>86</v>
      </c>
      <c r="I396" s="19" t="s">
        <v>334</v>
      </c>
      <c r="J396" s="19" t="s">
        <v>271</v>
      </c>
    </row>
    <row r="397" ht="16" customHeight="1" outlineLevel="2" spans="1:10">
      <c r="A397" s="18">
        <v>8</v>
      </c>
      <c r="B397" s="18">
        <v>26</v>
      </c>
      <c r="C397" s="19" t="s">
        <v>481</v>
      </c>
      <c r="D397" s="19" t="s">
        <v>480</v>
      </c>
      <c r="E397" s="19" t="s">
        <v>65</v>
      </c>
      <c r="F397" s="8" t="s">
        <v>67</v>
      </c>
      <c r="G397" s="8" t="s">
        <v>68</v>
      </c>
      <c r="H397" s="19" t="s">
        <v>95</v>
      </c>
      <c r="I397" s="19" t="s">
        <v>419</v>
      </c>
      <c r="J397" s="19" t="s">
        <v>301</v>
      </c>
    </row>
    <row r="398" ht="16" customHeight="1" outlineLevel="2" spans="1:10">
      <c r="A398" s="18">
        <v>8</v>
      </c>
      <c r="B398" s="18">
        <v>27</v>
      </c>
      <c r="C398" s="19" t="s">
        <v>249</v>
      </c>
      <c r="D398" s="19" t="s">
        <v>248</v>
      </c>
      <c r="E398" s="19" t="s">
        <v>65</v>
      </c>
      <c r="F398" s="8" t="s">
        <v>67</v>
      </c>
      <c r="G398" s="8" t="s">
        <v>68</v>
      </c>
      <c r="H398" s="19" t="s">
        <v>73</v>
      </c>
      <c r="I398" s="19" t="s">
        <v>206</v>
      </c>
      <c r="J398" s="19" t="s">
        <v>250</v>
      </c>
    </row>
    <row r="399" ht="16" customHeight="1" outlineLevel="2" spans="1:10">
      <c r="A399" s="18">
        <v>8</v>
      </c>
      <c r="B399" s="18">
        <v>28</v>
      </c>
      <c r="C399" s="19" t="s">
        <v>489</v>
      </c>
      <c r="D399" s="19" t="s">
        <v>488</v>
      </c>
      <c r="E399" s="19" t="s">
        <v>65</v>
      </c>
      <c r="F399" s="8" t="s">
        <v>67</v>
      </c>
      <c r="G399" s="8" t="s">
        <v>68</v>
      </c>
      <c r="H399" s="19" t="s">
        <v>95</v>
      </c>
      <c r="I399" s="19" t="s">
        <v>419</v>
      </c>
      <c r="J399" s="19" t="s">
        <v>313</v>
      </c>
    </row>
    <row r="400" ht="16" customHeight="1" outlineLevel="2" spans="1:10">
      <c r="A400" s="18">
        <v>8</v>
      </c>
      <c r="B400" s="18">
        <v>30</v>
      </c>
      <c r="C400" s="19" t="s">
        <v>360</v>
      </c>
      <c r="D400" s="19" t="s">
        <v>359</v>
      </c>
      <c r="E400" s="19" t="s">
        <v>65</v>
      </c>
      <c r="F400" s="8" t="s">
        <v>67</v>
      </c>
      <c r="G400" s="8" t="s">
        <v>68</v>
      </c>
      <c r="H400" s="19" t="s">
        <v>86</v>
      </c>
      <c r="I400" s="19" t="s">
        <v>334</v>
      </c>
      <c r="J400" s="19" t="s">
        <v>247</v>
      </c>
    </row>
    <row r="401" ht="16" customHeight="1" outlineLevel="2" spans="1:10">
      <c r="A401" s="18">
        <v>8</v>
      </c>
      <c r="B401" s="18">
        <v>31</v>
      </c>
      <c r="C401" s="19" t="s">
        <v>1043</v>
      </c>
      <c r="D401" s="19" t="s">
        <v>1042</v>
      </c>
      <c r="E401" s="19" t="s">
        <v>65</v>
      </c>
      <c r="F401" s="8" t="s">
        <v>67</v>
      </c>
      <c r="G401" s="8" t="s">
        <v>68</v>
      </c>
      <c r="H401" s="19" t="s">
        <v>141</v>
      </c>
      <c r="I401" s="19" t="s">
        <v>1013</v>
      </c>
      <c r="J401" s="19" t="s">
        <v>253</v>
      </c>
    </row>
    <row r="402" ht="16" customHeight="1" outlineLevel="2" spans="1:10">
      <c r="A402" s="18">
        <v>8</v>
      </c>
      <c r="B402" s="18">
        <v>32</v>
      </c>
      <c r="C402" s="19" t="s">
        <v>834</v>
      </c>
      <c r="D402" s="19" t="s">
        <v>833</v>
      </c>
      <c r="E402" s="19" t="s">
        <v>65</v>
      </c>
      <c r="F402" s="8" t="s">
        <v>67</v>
      </c>
      <c r="G402" s="8" t="s">
        <v>68</v>
      </c>
      <c r="H402" s="19" t="s">
        <v>123</v>
      </c>
      <c r="I402" s="19" t="s">
        <v>758</v>
      </c>
      <c r="J402" s="19" t="s">
        <v>322</v>
      </c>
    </row>
    <row r="403" ht="16" customHeight="1" outlineLevel="2" spans="1:10">
      <c r="A403" s="18">
        <v>8</v>
      </c>
      <c r="B403" s="18">
        <v>33</v>
      </c>
      <c r="C403" s="19" t="s">
        <v>755</v>
      </c>
      <c r="D403" s="19" t="s">
        <v>754</v>
      </c>
      <c r="E403" s="19" t="s">
        <v>65</v>
      </c>
      <c r="F403" s="8" t="s">
        <v>67</v>
      </c>
      <c r="G403" s="8" t="s">
        <v>68</v>
      </c>
      <c r="H403" s="19" t="s">
        <v>118</v>
      </c>
      <c r="I403" s="19" t="s">
        <v>674</v>
      </c>
      <c r="J403" s="19" t="s">
        <v>331</v>
      </c>
    </row>
    <row r="404" ht="16" customHeight="1" outlineLevel="2" spans="1:10">
      <c r="A404" s="18">
        <v>8</v>
      </c>
      <c r="B404" s="18">
        <v>34</v>
      </c>
      <c r="C404" s="19" t="s">
        <v>499</v>
      </c>
      <c r="D404" s="19" t="s">
        <v>498</v>
      </c>
      <c r="E404" s="19" t="s">
        <v>65</v>
      </c>
      <c r="F404" s="8" t="s">
        <v>67</v>
      </c>
      <c r="G404" s="8" t="s">
        <v>68</v>
      </c>
      <c r="H404" s="19" t="s">
        <v>95</v>
      </c>
      <c r="I404" s="19" t="s">
        <v>419</v>
      </c>
      <c r="J404" s="19" t="s">
        <v>328</v>
      </c>
    </row>
    <row r="405" ht="16" customHeight="1" outlineLevel="2" spans="1:10">
      <c r="A405" s="18">
        <v>8</v>
      </c>
      <c r="B405" s="18">
        <v>35</v>
      </c>
      <c r="C405" s="19" t="s">
        <v>550</v>
      </c>
      <c r="D405" s="19" t="s">
        <v>549</v>
      </c>
      <c r="E405" s="19" t="s">
        <v>65</v>
      </c>
      <c r="F405" s="8" t="s">
        <v>67</v>
      </c>
      <c r="G405" s="8" t="s">
        <v>68</v>
      </c>
      <c r="H405" s="19" t="s">
        <v>104</v>
      </c>
      <c r="I405" s="19" t="s">
        <v>504</v>
      </c>
      <c r="J405" s="19" t="s">
        <v>277</v>
      </c>
    </row>
    <row r="406" ht="16" customHeight="1" outlineLevel="2" spans="1:10">
      <c r="A406" s="18">
        <v>8</v>
      </c>
      <c r="B406" s="18">
        <v>36</v>
      </c>
      <c r="C406" s="19" t="s">
        <v>572</v>
      </c>
      <c r="D406" s="19" t="s">
        <v>571</v>
      </c>
      <c r="E406" s="19" t="s">
        <v>65</v>
      </c>
      <c r="F406" s="8" t="s">
        <v>67</v>
      </c>
      <c r="G406" s="8" t="s">
        <v>68</v>
      </c>
      <c r="H406" s="19" t="s">
        <v>104</v>
      </c>
      <c r="I406" s="19" t="s">
        <v>504</v>
      </c>
      <c r="J406" s="19" t="s">
        <v>310</v>
      </c>
    </row>
    <row r="407" ht="16" customHeight="1" outlineLevel="2" spans="1:10">
      <c r="A407" s="18">
        <v>8</v>
      </c>
      <c r="B407" s="18">
        <v>37</v>
      </c>
      <c r="C407" s="19" t="s">
        <v>1102</v>
      </c>
      <c r="D407" s="19" t="s">
        <v>1101</v>
      </c>
      <c r="E407" s="19" t="s">
        <v>65</v>
      </c>
      <c r="F407" s="8" t="s">
        <v>67</v>
      </c>
      <c r="G407" s="8" t="s">
        <v>68</v>
      </c>
      <c r="H407" s="19" t="s">
        <v>145</v>
      </c>
      <c r="I407" s="19" t="s">
        <v>1098</v>
      </c>
      <c r="J407" s="19" t="s">
        <v>214</v>
      </c>
    </row>
    <row r="408" ht="16" customHeight="1" outlineLevel="2" spans="1:10">
      <c r="A408" s="18">
        <v>8</v>
      </c>
      <c r="B408" s="18">
        <v>38</v>
      </c>
      <c r="C408" s="19" t="s">
        <v>1059</v>
      </c>
      <c r="D408" s="19" t="s">
        <v>1058</v>
      </c>
      <c r="E408" s="19" t="s">
        <v>65</v>
      </c>
      <c r="F408" s="8" t="s">
        <v>67</v>
      </c>
      <c r="G408" s="8" t="s">
        <v>68</v>
      </c>
      <c r="H408" s="19" t="s">
        <v>141</v>
      </c>
      <c r="I408" s="19" t="s">
        <v>1013</v>
      </c>
      <c r="J408" s="19" t="s">
        <v>277</v>
      </c>
    </row>
    <row r="409" ht="16" customHeight="1" outlineLevel="2" spans="1:10">
      <c r="A409" s="18">
        <v>8</v>
      </c>
      <c r="B409" s="18">
        <v>39</v>
      </c>
      <c r="C409" s="19" t="s">
        <v>315</v>
      </c>
      <c r="D409" s="19" t="s">
        <v>314</v>
      </c>
      <c r="E409" s="19" t="s">
        <v>65</v>
      </c>
      <c r="F409" s="8" t="s">
        <v>67</v>
      </c>
      <c r="G409" s="8" t="s">
        <v>68</v>
      </c>
      <c r="H409" s="19" t="s">
        <v>73</v>
      </c>
      <c r="I409" s="19" t="s">
        <v>206</v>
      </c>
      <c r="J409" s="19" t="s">
        <v>316</v>
      </c>
    </row>
    <row r="410" ht="16" customHeight="1" outlineLevel="2" spans="1:10">
      <c r="A410" s="18">
        <v>8</v>
      </c>
      <c r="B410" s="18">
        <v>40</v>
      </c>
      <c r="C410" s="19" t="s">
        <v>736</v>
      </c>
      <c r="D410" s="19" t="s">
        <v>735</v>
      </c>
      <c r="E410" s="19" t="s">
        <v>65</v>
      </c>
      <c r="F410" s="8" t="s">
        <v>67</v>
      </c>
      <c r="G410" s="8" t="s">
        <v>68</v>
      </c>
      <c r="H410" s="19" t="s">
        <v>118</v>
      </c>
      <c r="I410" s="19" t="s">
        <v>674</v>
      </c>
      <c r="J410" s="19" t="s">
        <v>301</v>
      </c>
    </row>
    <row r="411" ht="16" customHeight="1" outlineLevel="2" spans="1:10">
      <c r="A411" s="18">
        <v>8</v>
      </c>
      <c r="B411" s="18">
        <v>41</v>
      </c>
      <c r="C411" s="19" t="s">
        <v>580</v>
      </c>
      <c r="D411" s="19" t="s">
        <v>579</v>
      </c>
      <c r="E411" s="19" t="s">
        <v>65</v>
      </c>
      <c r="F411" s="8" t="s">
        <v>67</v>
      </c>
      <c r="G411" s="8" t="s">
        <v>68</v>
      </c>
      <c r="H411" s="19" t="s">
        <v>104</v>
      </c>
      <c r="I411" s="19" t="s">
        <v>504</v>
      </c>
      <c r="J411" s="19" t="s">
        <v>322</v>
      </c>
    </row>
    <row r="412" ht="16" customHeight="1" outlineLevel="2" spans="1:10">
      <c r="A412" s="18">
        <v>8</v>
      </c>
      <c r="B412" s="18">
        <v>42</v>
      </c>
      <c r="C412" s="19" t="s">
        <v>414</v>
      </c>
      <c r="D412" s="19" t="s">
        <v>413</v>
      </c>
      <c r="E412" s="19" t="s">
        <v>65</v>
      </c>
      <c r="F412" s="8" t="s">
        <v>67</v>
      </c>
      <c r="G412" s="8" t="s">
        <v>68</v>
      </c>
      <c r="H412" s="19" t="s">
        <v>86</v>
      </c>
      <c r="I412" s="19" t="s">
        <v>334</v>
      </c>
      <c r="J412" s="19" t="s">
        <v>328</v>
      </c>
    </row>
    <row r="413" ht="16" customHeight="1" outlineLevel="2" spans="1:10">
      <c r="A413" s="18">
        <v>8</v>
      </c>
      <c r="B413" s="18">
        <v>43</v>
      </c>
      <c r="C413" s="19" t="s">
        <v>564</v>
      </c>
      <c r="D413" s="19" t="s">
        <v>563</v>
      </c>
      <c r="E413" s="19" t="s">
        <v>65</v>
      </c>
      <c r="F413" s="8" t="s">
        <v>67</v>
      </c>
      <c r="G413" s="8" t="s">
        <v>68</v>
      </c>
      <c r="H413" s="19" t="s">
        <v>104</v>
      </c>
      <c r="I413" s="19" t="s">
        <v>504</v>
      </c>
      <c r="J413" s="19" t="s">
        <v>298</v>
      </c>
    </row>
    <row r="414" ht="16" customHeight="1" outlineLevel="2" spans="1:10">
      <c r="A414" s="18">
        <v>8</v>
      </c>
      <c r="B414" s="18">
        <v>44</v>
      </c>
      <c r="C414" s="19" t="s">
        <v>445</v>
      </c>
      <c r="D414" s="19" t="s">
        <v>444</v>
      </c>
      <c r="E414" s="19" t="s">
        <v>65</v>
      </c>
      <c r="F414" s="8" t="s">
        <v>67</v>
      </c>
      <c r="G414" s="8" t="s">
        <v>68</v>
      </c>
      <c r="H414" s="19" t="s">
        <v>95</v>
      </c>
      <c r="I414" s="19" t="s">
        <v>419</v>
      </c>
      <c r="J414" s="19" t="s">
        <v>247</v>
      </c>
    </row>
    <row r="415" ht="16" customHeight="1" outlineLevel="2" spans="1:10">
      <c r="A415" s="18">
        <v>8</v>
      </c>
      <c r="B415" s="18">
        <v>45</v>
      </c>
      <c r="C415" s="19" t="s">
        <v>1178</v>
      </c>
      <c r="D415" s="19" t="s">
        <v>1177</v>
      </c>
      <c r="E415" s="19" t="s">
        <v>65</v>
      </c>
      <c r="F415" s="8" t="s">
        <v>67</v>
      </c>
      <c r="G415" s="8" t="s">
        <v>68</v>
      </c>
      <c r="H415" s="19" t="s">
        <v>145</v>
      </c>
      <c r="I415" s="19" t="s">
        <v>1098</v>
      </c>
      <c r="J415" s="19" t="s">
        <v>328</v>
      </c>
    </row>
    <row r="416" ht="16" customHeight="1" outlineLevel="2" spans="1:10">
      <c r="A416" s="18">
        <v>8</v>
      </c>
      <c r="B416" s="18">
        <v>46</v>
      </c>
      <c r="C416" s="19" t="s">
        <v>1027</v>
      </c>
      <c r="D416" s="19" t="s">
        <v>1026</v>
      </c>
      <c r="E416" s="19" t="s">
        <v>65</v>
      </c>
      <c r="F416" s="8" t="s">
        <v>67</v>
      </c>
      <c r="G416" s="8" t="s">
        <v>68</v>
      </c>
      <c r="H416" s="19" t="s">
        <v>141</v>
      </c>
      <c r="I416" s="19" t="s">
        <v>1013</v>
      </c>
      <c r="J416" s="19" t="s">
        <v>229</v>
      </c>
    </row>
    <row r="417" ht="16" customHeight="1" outlineLevel="2" spans="1:10">
      <c r="A417" s="18">
        <v>8</v>
      </c>
      <c r="B417" s="18">
        <v>47</v>
      </c>
      <c r="C417" s="19" t="s">
        <v>778</v>
      </c>
      <c r="D417" s="19" t="s">
        <v>777</v>
      </c>
      <c r="E417" s="19" t="s">
        <v>65</v>
      </c>
      <c r="F417" s="8" t="s">
        <v>67</v>
      </c>
      <c r="G417" s="8" t="s">
        <v>68</v>
      </c>
      <c r="H417" s="19" t="s">
        <v>123</v>
      </c>
      <c r="I417" s="19" t="s">
        <v>758</v>
      </c>
      <c r="J417" s="19" t="s">
        <v>238</v>
      </c>
    </row>
    <row r="418" ht="16" customHeight="1" outlineLevel="2" spans="1:10">
      <c r="A418" s="18">
        <v>8</v>
      </c>
      <c r="B418" s="18">
        <v>48</v>
      </c>
      <c r="C418" s="19" t="s">
        <v>264</v>
      </c>
      <c r="D418" s="19" t="s">
        <v>263</v>
      </c>
      <c r="E418" s="19" t="s">
        <v>65</v>
      </c>
      <c r="F418" s="8" t="s">
        <v>67</v>
      </c>
      <c r="G418" s="8" t="s">
        <v>68</v>
      </c>
      <c r="H418" s="19" t="s">
        <v>73</v>
      </c>
      <c r="I418" s="19" t="s">
        <v>206</v>
      </c>
      <c r="J418" s="19" t="s">
        <v>265</v>
      </c>
    </row>
    <row r="419" ht="16" customHeight="1" outlineLevel="2" spans="1:10">
      <c r="A419" s="18">
        <v>8</v>
      </c>
      <c r="B419" s="18">
        <v>49</v>
      </c>
      <c r="C419" s="19" t="s">
        <v>237</v>
      </c>
      <c r="D419" s="19" t="s">
        <v>236</v>
      </c>
      <c r="E419" s="19" t="s">
        <v>65</v>
      </c>
      <c r="F419" s="8" t="s">
        <v>67</v>
      </c>
      <c r="G419" s="8" t="s">
        <v>68</v>
      </c>
      <c r="H419" s="19" t="s">
        <v>73</v>
      </c>
      <c r="I419" s="19" t="s">
        <v>206</v>
      </c>
      <c r="J419" s="19" t="s">
        <v>238</v>
      </c>
    </row>
    <row r="420" ht="16" customHeight="1" outlineLevel="2" spans="1:10">
      <c r="A420" s="18">
        <v>8</v>
      </c>
      <c r="B420" s="18">
        <v>50</v>
      </c>
      <c r="C420" s="19" t="s">
        <v>427</v>
      </c>
      <c r="D420" s="19" t="s">
        <v>426</v>
      </c>
      <c r="E420" s="19" t="s">
        <v>65</v>
      </c>
      <c r="F420" s="8" t="s">
        <v>67</v>
      </c>
      <c r="G420" s="8" t="s">
        <v>68</v>
      </c>
      <c r="H420" s="19" t="s">
        <v>95</v>
      </c>
      <c r="I420" s="19" t="s">
        <v>419</v>
      </c>
      <c r="J420" s="19" t="s">
        <v>220</v>
      </c>
    </row>
    <row r="421" ht="16" customHeight="1" outlineLevel="2" spans="1:10">
      <c r="A421" s="18">
        <v>8</v>
      </c>
      <c r="B421" s="18">
        <v>51</v>
      </c>
      <c r="C421" s="19" t="s">
        <v>212</v>
      </c>
      <c r="D421" s="19" t="s">
        <v>211</v>
      </c>
      <c r="E421" s="19" t="s">
        <v>65</v>
      </c>
      <c r="F421" s="8" t="s">
        <v>67</v>
      </c>
      <c r="G421" s="8" t="s">
        <v>68</v>
      </c>
      <c r="H421" s="19" t="s">
        <v>73</v>
      </c>
      <c r="I421" s="19" t="s">
        <v>206</v>
      </c>
      <c r="J421" s="19" t="s">
        <v>214</v>
      </c>
    </row>
    <row r="422" ht="16" customHeight="1" outlineLevel="2" spans="1:10">
      <c r="A422" s="18">
        <v>8</v>
      </c>
      <c r="B422" s="18">
        <v>52</v>
      </c>
      <c r="C422" s="19" t="s">
        <v>556</v>
      </c>
      <c r="D422" s="19" t="s">
        <v>555</v>
      </c>
      <c r="E422" s="19" t="s">
        <v>65</v>
      </c>
      <c r="F422" s="8" t="s">
        <v>67</v>
      </c>
      <c r="G422" s="8" t="s">
        <v>68</v>
      </c>
      <c r="H422" s="19" t="s">
        <v>104</v>
      </c>
      <c r="I422" s="19" t="s">
        <v>504</v>
      </c>
      <c r="J422" s="19" t="s">
        <v>286</v>
      </c>
    </row>
    <row r="423" ht="16" customHeight="1" outlineLevel="2" spans="1:10">
      <c r="A423" s="18">
        <v>8</v>
      </c>
      <c r="B423" s="18">
        <v>53</v>
      </c>
      <c r="C423" s="19" t="s">
        <v>497</v>
      </c>
      <c r="D423" s="19" t="s">
        <v>496</v>
      </c>
      <c r="E423" s="19" t="s">
        <v>65</v>
      </c>
      <c r="F423" s="8" t="s">
        <v>67</v>
      </c>
      <c r="G423" s="8" t="s">
        <v>68</v>
      </c>
      <c r="H423" s="19" t="s">
        <v>95</v>
      </c>
      <c r="I423" s="19" t="s">
        <v>419</v>
      </c>
      <c r="J423" s="19" t="s">
        <v>325</v>
      </c>
    </row>
    <row r="424" ht="16" customHeight="1" outlineLevel="2" spans="1:10">
      <c r="A424" s="18">
        <v>8</v>
      </c>
      <c r="B424" s="18">
        <v>54</v>
      </c>
      <c r="C424" s="19" t="s">
        <v>1081</v>
      </c>
      <c r="D424" s="19" t="s">
        <v>1080</v>
      </c>
      <c r="E424" s="19" t="s">
        <v>65</v>
      </c>
      <c r="F424" s="8" t="s">
        <v>67</v>
      </c>
      <c r="G424" s="8" t="s">
        <v>68</v>
      </c>
      <c r="H424" s="19" t="s">
        <v>141</v>
      </c>
      <c r="I424" s="19" t="s">
        <v>1013</v>
      </c>
      <c r="J424" s="19" t="s">
        <v>310</v>
      </c>
    </row>
    <row r="425" ht="16" customHeight="1" outlineLevel="1" spans="1:10">
      <c r="A425" s="21" t="s">
        <v>1919</v>
      </c>
      <c r="B425" s="18"/>
      <c r="C425" s="19">
        <f>SUBTOTAL(3,C373:C424)</f>
        <v>52</v>
      </c>
      <c r="D425" s="19"/>
      <c r="E425" s="19"/>
      <c r="F425" s="8"/>
      <c r="G425" s="8"/>
      <c r="H425" s="19"/>
      <c r="I425" s="19"/>
      <c r="J425" s="19"/>
    </row>
    <row r="426" ht="16" customHeight="1" outlineLevel="2" spans="1:10">
      <c r="A426" s="18">
        <v>9</v>
      </c>
      <c r="B426" s="18">
        <v>1</v>
      </c>
      <c r="C426" s="19" t="s">
        <v>617</v>
      </c>
      <c r="D426" s="19" t="s">
        <v>616</v>
      </c>
      <c r="E426" s="19" t="s">
        <v>65</v>
      </c>
      <c r="F426" s="8" t="s">
        <v>67</v>
      </c>
      <c r="G426" s="8" t="s">
        <v>68</v>
      </c>
      <c r="H426" s="19" t="s">
        <v>110</v>
      </c>
      <c r="I426" s="19" t="s">
        <v>589</v>
      </c>
      <c r="J426" s="19" t="s">
        <v>250</v>
      </c>
    </row>
    <row r="427" ht="16" customHeight="1" outlineLevel="2" spans="1:10">
      <c r="A427" s="18">
        <v>9</v>
      </c>
      <c r="B427" s="18">
        <v>2</v>
      </c>
      <c r="C427" s="19" t="s">
        <v>840</v>
      </c>
      <c r="D427" s="19" t="s">
        <v>839</v>
      </c>
      <c r="E427" s="19" t="s">
        <v>65</v>
      </c>
      <c r="F427" s="8" t="s">
        <v>67</v>
      </c>
      <c r="G427" s="8" t="s">
        <v>68</v>
      </c>
      <c r="H427" s="19" t="s">
        <v>123</v>
      </c>
      <c r="I427" s="19" t="s">
        <v>758</v>
      </c>
      <c r="J427" s="19" t="s">
        <v>331</v>
      </c>
    </row>
    <row r="428" ht="16" customHeight="1" outlineLevel="2" spans="1:10">
      <c r="A428" s="18">
        <v>9</v>
      </c>
      <c r="B428" s="18">
        <v>3</v>
      </c>
      <c r="C428" s="19" t="s">
        <v>621</v>
      </c>
      <c r="D428" s="19" t="s">
        <v>620</v>
      </c>
      <c r="E428" s="19" t="s">
        <v>65</v>
      </c>
      <c r="F428" s="8" t="s">
        <v>67</v>
      </c>
      <c r="G428" s="8" t="s">
        <v>68</v>
      </c>
      <c r="H428" s="7" t="s">
        <v>110</v>
      </c>
      <c r="I428" s="19" t="s">
        <v>589</v>
      </c>
      <c r="J428" s="7" t="s">
        <v>256</v>
      </c>
    </row>
    <row r="429" ht="16" customHeight="1" outlineLevel="2" spans="1:10">
      <c r="A429" s="18">
        <v>9</v>
      </c>
      <c r="B429" s="18">
        <v>4</v>
      </c>
      <c r="C429" s="19" t="s">
        <v>1095</v>
      </c>
      <c r="D429" s="19" t="s">
        <v>1094</v>
      </c>
      <c r="E429" s="19" t="s">
        <v>65</v>
      </c>
      <c r="F429" s="8" t="s">
        <v>67</v>
      </c>
      <c r="G429" s="8" t="s">
        <v>68</v>
      </c>
      <c r="H429" s="19" t="s">
        <v>141</v>
      </c>
      <c r="I429" s="19" t="s">
        <v>1013</v>
      </c>
      <c r="J429" s="19" t="s">
        <v>331</v>
      </c>
    </row>
    <row r="430" ht="16" customHeight="1" outlineLevel="2" spans="1:10">
      <c r="A430" s="18">
        <v>9</v>
      </c>
      <c r="B430" s="18">
        <v>5</v>
      </c>
      <c r="C430" s="19" t="s">
        <v>370</v>
      </c>
      <c r="D430" s="19" t="s">
        <v>369</v>
      </c>
      <c r="E430" s="19" t="s">
        <v>65</v>
      </c>
      <c r="F430" s="8" t="s">
        <v>67</v>
      </c>
      <c r="G430" s="8" t="s">
        <v>68</v>
      </c>
      <c r="H430" s="19" t="s">
        <v>86</v>
      </c>
      <c r="I430" s="19" t="s">
        <v>334</v>
      </c>
      <c r="J430" s="19" t="s">
        <v>262</v>
      </c>
    </row>
    <row r="431" ht="16" customHeight="1" outlineLevel="2" spans="1:10">
      <c r="A431" s="18">
        <v>9</v>
      </c>
      <c r="B431" s="18">
        <v>6</v>
      </c>
      <c r="C431" s="19" t="s">
        <v>643</v>
      </c>
      <c r="D431" s="19" t="s">
        <v>642</v>
      </c>
      <c r="E431" s="19" t="s">
        <v>65</v>
      </c>
      <c r="F431" s="8" t="s">
        <v>67</v>
      </c>
      <c r="G431" s="8" t="s">
        <v>68</v>
      </c>
      <c r="H431" s="19" t="s">
        <v>110</v>
      </c>
      <c r="I431" s="19" t="s">
        <v>589</v>
      </c>
      <c r="J431" s="19" t="s">
        <v>289</v>
      </c>
    </row>
    <row r="432" ht="16" customHeight="1" outlineLevel="2" spans="1:10">
      <c r="A432" s="18">
        <v>9</v>
      </c>
      <c r="B432" s="18">
        <v>7</v>
      </c>
      <c r="C432" s="19" t="s">
        <v>1120</v>
      </c>
      <c r="D432" s="19" t="s">
        <v>1119</v>
      </c>
      <c r="E432" s="19" t="s">
        <v>65</v>
      </c>
      <c r="F432" s="8" t="s">
        <v>67</v>
      </c>
      <c r="G432" s="8" t="s">
        <v>68</v>
      </c>
      <c r="H432" s="19" t="s">
        <v>145</v>
      </c>
      <c r="I432" s="19" t="s">
        <v>1098</v>
      </c>
      <c r="J432" s="19" t="s">
        <v>241</v>
      </c>
    </row>
    <row r="433" ht="16" customHeight="1" outlineLevel="2" spans="1:10">
      <c r="A433" s="18">
        <v>9</v>
      </c>
      <c r="B433" s="18">
        <v>8</v>
      </c>
      <c r="C433" s="19" t="s">
        <v>855</v>
      </c>
      <c r="D433" s="19" t="s">
        <v>854</v>
      </c>
      <c r="E433" s="19" t="s">
        <v>65</v>
      </c>
      <c r="F433" s="8" t="s">
        <v>67</v>
      </c>
      <c r="G433" s="8" t="s">
        <v>68</v>
      </c>
      <c r="H433" s="19" t="s">
        <v>132</v>
      </c>
      <c r="I433" s="19" t="s">
        <v>843</v>
      </c>
      <c r="J433" s="19" t="s">
        <v>226</v>
      </c>
    </row>
    <row r="434" ht="16" customHeight="1" outlineLevel="2" spans="1:10">
      <c r="A434" s="18">
        <v>9</v>
      </c>
      <c r="B434" s="18">
        <v>10</v>
      </c>
      <c r="C434" s="19" t="s">
        <v>1110</v>
      </c>
      <c r="D434" s="19" t="s">
        <v>1109</v>
      </c>
      <c r="E434" s="19" t="s">
        <v>65</v>
      </c>
      <c r="F434" s="8" t="s">
        <v>67</v>
      </c>
      <c r="G434" s="8" t="s">
        <v>68</v>
      </c>
      <c r="H434" s="7" t="s">
        <v>145</v>
      </c>
      <c r="I434" s="19" t="s">
        <v>1098</v>
      </c>
      <c r="J434" s="7" t="s">
        <v>226</v>
      </c>
    </row>
    <row r="435" ht="16" customHeight="1" outlineLevel="2" spans="1:10">
      <c r="A435" s="18">
        <v>9</v>
      </c>
      <c r="B435" s="18">
        <v>11</v>
      </c>
      <c r="C435" s="19" t="s">
        <v>818</v>
      </c>
      <c r="D435" s="19" t="s">
        <v>817</v>
      </c>
      <c r="E435" s="19" t="s">
        <v>65</v>
      </c>
      <c r="F435" s="8" t="s">
        <v>67</v>
      </c>
      <c r="G435" s="8" t="s">
        <v>68</v>
      </c>
      <c r="H435" s="19" t="s">
        <v>123</v>
      </c>
      <c r="I435" s="19" t="s">
        <v>758</v>
      </c>
      <c r="J435" s="19" t="s">
        <v>298</v>
      </c>
    </row>
    <row r="436" ht="16" customHeight="1" outlineLevel="2" spans="1:10">
      <c r="A436" s="18">
        <v>9</v>
      </c>
      <c r="B436" s="18">
        <v>12</v>
      </c>
      <c r="C436" s="19" t="s">
        <v>712</v>
      </c>
      <c r="D436" s="19" t="s">
        <v>711</v>
      </c>
      <c r="E436" s="19" t="s">
        <v>65</v>
      </c>
      <c r="F436" s="8" t="s">
        <v>67</v>
      </c>
      <c r="G436" s="8" t="s">
        <v>68</v>
      </c>
      <c r="H436" s="19" t="s">
        <v>118</v>
      </c>
      <c r="I436" s="19" t="s">
        <v>674</v>
      </c>
      <c r="J436" s="19" t="s">
        <v>265</v>
      </c>
    </row>
    <row r="437" ht="16" customHeight="1" outlineLevel="2" spans="1:10">
      <c r="A437" s="18">
        <v>9</v>
      </c>
      <c r="B437" s="18">
        <v>13</v>
      </c>
      <c r="C437" s="19" t="s">
        <v>830</v>
      </c>
      <c r="D437" s="19" t="s">
        <v>829</v>
      </c>
      <c r="E437" s="19" t="s">
        <v>65</v>
      </c>
      <c r="F437" s="8" t="s">
        <v>67</v>
      </c>
      <c r="G437" s="8" t="s">
        <v>68</v>
      </c>
      <c r="H437" s="19" t="s">
        <v>123</v>
      </c>
      <c r="I437" s="19" t="s">
        <v>758</v>
      </c>
      <c r="J437" s="19" t="s">
        <v>316</v>
      </c>
    </row>
    <row r="438" ht="16" customHeight="1" outlineLevel="2" spans="1:10">
      <c r="A438" s="18">
        <v>9</v>
      </c>
      <c r="B438" s="18">
        <v>14</v>
      </c>
      <c r="C438" s="19" t="s">
        <v>960</v>
      </c>
      <c r="D438" s="19" t="s">
        <v>959</v>
      </c>
      <c r="E438" s="19" t="s">
        <v>65</v>
      </c>
      <c r="F438" s="8" t="s">
        <v>67</v>
      </c>
      <c r="G438" s="8" t="s">
        <v>68</v>
      </c>
      <c r="H438" s="19" t="s">
        <v>137</v>
      </c>
      <c r="I438" s="19" t="s">
        <v>928</v>
      </c>
      <c r="J438" s="19" t="s">
        <v>256</v>
      </c>
    </row>
    <row r="439" ht="16" customHeight="1" outlineLevel="2" spans="1:10">
      <c r="A439" s="18">
        <v>9</v>
      </c>
      <c r="B439" s="18">
        <v>15</v>
      </c>
      <c r="C439" s="19" t="s">
        <v>665</v>
      </c>
      <c r="D439" s="19" t="s">
        <v>664</v>
      </c>
      <c r="E439" s="19" t="s">
        <v>65</v>
      </c>
      <c r="F439" s="8" t="s">
        <v>67</v>
      </c>
      <c r="G439" s="8" t="s">
        <v>68</v>
      </c>
      <c r="H439" s="19" t="s">
        <v>110</v>
      </c>
      <c r="I439" s="19" t="s">
        <v>589</v>
      </c>
      <c r="J439" s="19" t="s">
        <v>322</v>
      </c>
    </row>
    <row r="440" ht="16" customHeight="1" outlineLevel="2" spans="1:10">
      <c r="A440" s="18">
        <v>9</v>
      </c>
      <c r="B440" s="18">
        <v>16</v>
      </c>
      <c r="C440" s="19" t="s">
        <v>234</v>
      </c>
      <c r="D440" s="19" t="s">
        <v>233</v>
      </c>
      <c r="E440" s="19" t="s">
        <v>65</v>
      </c>
      <c r="F440" s="8" t="s">
        <v>67</v>
      </c>
      <c r="G440" s="8" t="s">
        <v>68</v>
      </c>
      <c r="H440" s="19" t="s">
        <v>73</v>
      </c>
      <c r="I440" s="19" t="s">
        <v>206</v>
      </c>
      <c r="J440" s="19" t="s">
        <v>235</v>
      </c>
    </row>
    <row r="441" ht="16" customHeight="1" outlineLevel="2" spans="1:10">
      <c r="A441" s="18">
        <v>9</v>
      </c>
      <c r="B441" s="18">
        <v>17</v>
      </c>
      <c r="C441" s="19" t="s">
        <v>309</v>
      </c>
      <c r="D441" s="19" t="s">
        <v>308</v>
      </c>
      <c r="E441" s="19" t="s">
        <v>65</v>
      </c>
      <c r="F441" s="8" t="s">
        <v>67</v>
      </c>
      <c r="G441" s="8" t="s">
        <v>68</v>
      </c>
      <c r="H441" s="19" t="s">
        <v>73</v>
      </c>
      <c r="I441" s="19" t="s">
        <v>206</v>
      </c>
      <c r="J441" s="19" t="s">
        <v>310</v>
      </c>
    </row>
    <row r="442" ht="16" customHeight="1" outlineLevel="2" spans="1:10">
      <c r="A442" s="18">
        <v>9</v>
      </c>
      <c r="B442" s="18">
        <v>18</v>
      </c>
      <c r="C442" s="19" t="s">
        <v>986</v>
      </c>
      <c r="D442" s="19" t="s">
        <v>985</v>
      </c>
      <c r="E442" s="19" t="s">
        <v>65</v>
      </c>
      <c r="F442" s="8" t="s">
        <v>67</v>
      </c>
      <c r="G442" s="8" t="s">
        <v>68</v>
      </c>
      <c r="H442" s="19" t="s">
        <v>137</v>
      </c>
      <c r="I442" s="19" t="s">
        <v>928</v>
      </c>
      <c r="J442" s="19" t="s">
        <v>295</v>
      </c>
    </row>
    <row r="443" ht="16" customHeight="1" outlineLevel="2" spans="1:10">
      <c r="A443" s="18">
        <v>9</v>
      </c>
      <c r="B443" s="18">
        <v>19</v>
      </c>
      <c r="C443" s="19" t="s">
        <v>584</v>
      </c>
      <c r="D443" s="19" t="s">
        <v>583</v>
      </c>
      <c r="E443" s="19" t="s">
        <v>65</v>
      </c>
      <c r="F443" s="8" t="s">
        <v>67</v>
      </c>
      <c r="G443" s="8" t="s">
        <v>68</v>
      </c>
      <c r="H443" s="19" t="s">
        <v>104</v>
      </c>
      <c r="I443" s="19" t="s">
        <v>504</v>
      </c>
      <c r="J443" s="19" t="s">
        <v>328</v>
      </c>
    </row>
    <row r="444" ht="16" customHeight="1" outlineLevel="2" spans="1:10">
      <c r="A444" s="18">
        <v>9</v>
      </c>
      <c r="B444" s="18">
        <v>20</v>
      </c>
      <c r="C444" s="19" t="s">
        <v>682</v>
      </c>
      <c r="D444" s="19" t="s">
        <v>681</v>
      </c>
      <c r="E444" s="19" t="s">
        <v>65</v>
      </c>
      <c r="F444" s="8" t="s">
        <v>67</v>
      </c>
      <c r="G444" s="8" t="s">
        <v>68</v>
      </c>
      <c r="H444" s="19" t="s">
        <v>118</v>
      </c>
      <c r="I444" s="19" t="s">
        <v>674</v>
      </c>
      <c r="J444" s="19" t="s">
        <v>220</v>
      </c>
    </row>
    <row r="445" ht="16" customHeight="1" outlineLevel="2" spans="1:10">
      <c r="A445" s="18">
        <v>9</v>
      </c>
      <c r="B445" s="18">
        <v>21</v>
      </c>
      <c r="C445" s="19" t="s">
        <v>812</v>
      </c>
      <c r="D445" s="19" t="s">
        <v>811</v>
      </c>
      <c r="E445" s="19" t="s">
        <v>65</v>
      </c>
      <c r="F445" s="8" t="s">
        <v>67</v>
      </c>
      <c r="G445" s="8" t="s">
        <v>68</v>
      </c>
      <c r="H445" s="19" t="s">
        <v>123</v>
      </c>
      <c r="I445" s="19" t="s">
        <v>758</v>
      </c>
      <c r="J445" s="19" t="s">
        <v>289</v>
      </c>
    </row>
    <row r="446" ht="16" customHeight="1" outlineLevel="2" spans="1:10">
      <c r="A446" s="18">
        <v>9</v>
      </c>
      <c r="B446" s="18">
        <v>22</v>
      </c>
      <c r="C446" s="19" t="s">
        <v>702</v>
      </c>
      <c r="D446" s="19" t="s">
        <v>701</v>
      </c>
      <c r="E446" s="19" t="s">
        <v>65</v>
      </c>
      <c r="F446" s="8" t="s">
        <v>67</v>
      </c>
      <c r="G446" s="8" t="s">
        <v>68</v>
      </c>
      <c r="H446" s="19" t="s">
        <v>118</v>
      </c>
      <c r="I446" s="19" t="s">
        <v>674</v>
      </c>
      <c r="J446" s="19" t="s">
        <v>250</v>
      </c>
    </row>
    <row r="447" ht="16" customHeight="1" outlineLevel="2" spans="1:10">
      <c r="A447" s="7">
        <v>9</v>
      </c>
      <c r="B447" s="7">
        <v>23</v>
      </c>
      <c r="C447" s="7" t="s">
        <v>1851</v>
      </c>
      <c r="D447" s="7" t="s">
        <v>1850</v>
      </c>
      <c r="E447" s="7" t="s">
        <v>65</v>
      </c>
      <c r="F447" s="7" t="s">
        <v>68</v>
      </c>
      <c r="G447" s="7" t="s">
        <v>70</v>
      </c>
      <c r="H447" s="7" t="s">
        <v>155</v>
      </c>
      <c r="I447" s="7" t="s">
        <v>1779</v>
      </c>
      <c r="J447" s="7" t="s">
        <v>313</v>
      </c>
    </row>
    <row r="448" ht="16" customHeight="1" outlineLevel="2" spans="1:10">
      <c r="A448" s="18">
        <v>9</v>
      </c>
      <c r="B448" s="18">
        <v>24</v>
      </c>
      <c r="C448" s="19" t="s">
        <v>1164</v>
      </c>
      <c r="D448" s="19" t="s">
        <v>1163</v>
      </c>
      <c r="E448" s="19" t="s">
        <v>65</v>
      </c>
      <c r="F448" s="8" t="s">
        <v>67</v>
      </c>
      <c r="G448" s="8" t="s">
        <v>68</v>
      </c>
      <c r="H448" s="19" t="s">
        <v>145</v>
      </c>
      <c r="I448" s="19" t="s">
        <v>1098</v>
      </c>
      <c r="J448" s="19" t="s">
        <v>307</v>
      </c>
    </row>
    <row r="449" ht="16" customHeight="1" outlineLevel="2" spans="1:10">
      <c r="A449" s="18">
        <v>9</v>
      </c>
      <c r="B449" s="18">
        <v>25</v>
      </c>
      <c r="C449" s="19" t="s">
        <v>348</v>
      </c>
      <c r="D449" s="19" t="s">
        <v>347</v>
      </c>
      <c r="E449" s="19" t="s">
        <v>65</v>
      </c>
      <c r="F449" s="8" t="s">
        <v>67</v>
      </c>
      <c r="G449" s="8" t="s">
        <v>68</v>
      </c>
      <c r="H449" s="19" t="s">
        <v>86</v>
      </c>
      <c r="I449" s="19" t="s">
        <v>334</v>
      </c>
      <c r="J449" s="19" t="s">
        <v>229</v>
      </c>
    </row>
    <row r="450" ht="16" customHeight="1" outlineLevel="2" spans="1:10">
      <c r="A450" s="18">
        <v>9</v>
      </c>
      <c r="B450" s="18">
        <v>26</v>
      </c>
      <c r="C450" s="19" t="s">
        <v>927</v>
      </c>
      <c r="D450" s="19" t="s">
        <v>926</v>
      </c>
      <c r="E450" s="19" t="s">
        <v>65</v>
      </c>
      <c r="F450" s="8" t="s">
        <v>67</v>
      </c>
      <c r="G450" s="8" t="s">
        <v>68</v>
      </c>
      <c r="H450" s="19" t="s">
        <v>137</v>
      </c>
      <c r="I450" s="19" t="s">
        <v>928</v>
      </c>
      <c r="J450" s="19" t="s">
        <v>207</v>
      </c>
    </row>
    <row r="451" ht="16" customHeight="1" outlineLevel="2" spans="1:10">
      <c r="A451" s="18">
        <v>9</v>
      </c>
      <c r="B451" s="18">
        <v>27</v>
      </c>
      <c r="C451" s="19" t="s">
        <v>540</v>
      </c>
      <c r="D451" s="19" t="s">
        <v>539</v>
      </c>
      <c r="E451" s="19" t="s">
        <v>65</v>
      </c>
      <c r="F451" s="8" t="s">
        <v>67</v>
      </c>
      <c r="G451" s="8" t="s">
        <v>68</v>
      </c>
      <c r="H451" s="19" t="s">
        <v>104</v>
      </c>
      <c r="I451" s="19" t="s">
        <v>504</v>
      </c>
      <c r="J451" s="19" t="s">
        <v>262</v>
      </c>
    </row>
    <row r="452" ht="16" customHeight="1" outlineLevel="2" spans="1:10">
      <c r="A452" s="18">
        <v>9</v>
      </c>
      <c r="B452" s="18">
        <v>28</v>
      </c>
      <c r="C452" s="19" t="s">
        <v>1154</v>
      </c>
      <c r="D452" s="19" t="s">
        <v>1153</v>
      </c>
      <c r="E452" s="19" t="s">
        <v>65</v>
      </c>
      <c r="F452" s="8" t="s">
        <v>67</v>
      </c>
      <c r="G452" s="8" t="s">
        <v>68</v>
      </c>
      <c r="H452" s="7" t="s">
        <v>145</v>
      </c>
      <c r="I452" s="19" t="s">
        <v>1098</v>
      </c>
      <c r="J452" s="7" t="s">
        <v>292</v>
      </c>
    </row>
    <row r="453" ht="16" customHeight="1" outlineLevel="2" spans="1:10">
      <c r="A453" s="18">
        <v>9</v>
      </c>
      <c r="B453" s="18">
        <v>29</v>
      </c>
      <c r="C453" s="19" t="s">
        <v>645</v>
      </c>
      <c r="D453" s="19" t="s">
        <v>644</v>
      </c>
      <c r="E453" s="19" t="s">
        <v>65</v>
      </c>
      <c r="F453" s="8" t="s">
        <v>67</v>
      </c>
      <c r="G453" s="8" t="s">
        <v>68</v>
      </c>
      <c r="H453" s="19" t="s">
        <v>110</v>
      </c>
      <c r="I453" s="19" t="s">
        <v>589</v>
      </c>
      <c r="J453" s="19" t="s">
        <v>292</v>
      </c>
    </row>
    <row r="454" ht="16" customHeight="1" outlineLevel="2" spans="1:10">
      <c r="A454" s="18">
        <v>9</v>
      </c>
      <c r="B454" s="18">
        <v>30</v>
      </c>
      <c r="C454" s="19" t="s">
        <v>374</v>
      </c>
      <c r="D454" s="19" t="s">
        <v>373</v>
      </c>
      <c r="E454" s="19" t="s">
        <v>65</v>
      </c>
      <c r="F454" s="8" t="s">
        <v>67</v>
      </c>
      <c r="G454" s="8" t="s">
        <v>68</v>
      </c>
      <c r="H454" s="19" t="s">
        <v>86</v>
      </c>
      <c r="I454" s="19" t="s">
        <v>334</v>
      </c>
      <c r="J454" s="19" t="s">
        <v>268</v>
      </c>
    </row>
    <row r="455" ht="16" customHeight="1" outlineLevel="2" spans="1:10">
      <c r="A455" s="18">
        <v>9</v>
      </c>
      <c r="B455" s="18">
        <v>31</v>
      </c>
      <c r="C455" s="19" t="s">
        <v>738</v>
      </c>
      <c r="D455" s="19" t="s">
        <v>737</v>
      </c>
      <c r="E455" s="19" t="s">
        <v>65</v>
      </c>
      <c r="F455" s="8" t="s">
        <v>67</v>
      </c>
      <c r="G455" s="8" t="s">
        <v>68</v>
      </c>
      <c r="H455" s="19" t="s">
        <v>118</v>
      </c>
      <c r="I455" s="19" t="s">
        <v>674</v>
      </c>
      <c r="J455" s="19" t="s">
        <v>304</v>
      </c>
    </row>
    <row r="456" ht="16" customHeight="1" outlineLevel="2" spans="1:10">
      <c r="A456" s="18">
        <v>9</v>
      </c>
      <c r="B456" s="18">
        <v>32</v>
      </c>
      <c r="C456" s="19" t="s">
        <v>477</v>
      </c>
      <c r="D456" s="19" t="s">
        <v>476</v>
      </c>
      <c r="E456" s="19" t="s">
        <v>65</v>
      </c>
      <c r="F456" s="8" t="s">
        <v>67</v>
      </c>
      <c r="G456" s="8" t="s">
        <v>68</v>
      </c>
      <c r="H456" s="19" t="s">
        <v>95</v>
      </c>
      <c r="I456" s="19" t="s">
        <v>419</v>
      </c>
      <c r="J456" s="19" t="s">
        <v>295</v>
      </c>
    </row>
    <row r="457" ht="16" customHeight="1" outlineLevel="2" spans="1:10">
      <c r="A457" s="18">
        <v>9</v>
      </c>
      <c r="B457" s="18">
        <v>33</v>
      </c>
      <c r="C457" s="19" t="s">
        <v>510</v>
      </c>
      <c r="D457" s="19" t="s">
        <v>509</v>
      </c>
      <c r="E457" s="19" t="s">
        <v>65</v>
      </c>
      <c r="F457" s="8" t="s">
        <v>67</v>
      </c>
      <c r="G457" s="8" t="s">
        <v>68</v>
      </c>
      <c r="H457" s="19" t="s">
        <v>104</v>
      </c>
      <c r="I457" s="19" t="s">
        <v>504</v>
      </c>
      <c r="J457" s="19" t="s">
        <v>217</v>
      </c>
    </row>
    <row r="458" ht="16" customHeight="1" outlineLevel="2" spans="1:10">
      <c r="A458" s="18">
        <v>9</v>
      </c>
      <c r="B458" s="18">
        <v>34</v>
      </c>
      <c r="C458" s="19" t="s">
        <v>1158</v>
      </c>
      <c r="D458" s="19" t="s">
        <v>1157</v>
      </c>
      <c r="E458" s="19" t="s">
        <v>65</v>
      </c>
      <c r="F458" s="8" t="s">
        <v>67</v>
      </c>
      <c r="G458" s="8" t="s">
        <v>68</v>
      </c>
      <c r="H458" s="7" t="s">
        <v>145</v>
      </c>
      <c r="I458" s="19" t="s">
        <v>1098</v>
      </c>
      <c r="J458" s="7" t="s">
        <v>298</v>
      </c>
    </row>
    <row r="459" ht="16" customHeight="1" outlineLevel="2" spans="1:10">
      <c r="A459" s="18">
        <v>9</v>
      </c>
      <c r="B459" s="18">
        <v>35</v>
      </c>
      <c r="C459" s="19" t="s">
        <v>1049</v>
      </c>
      <c r="D459" s="19" t="s">
        <v>1048</v>
      </c>
      <c r="E459" s="19" t="s">
        <v>65</v>
      </c>
      <c r="F459" s="8" t="s">
        <v>67</v>
      </c>
      <c r="G459" s="8" t="s">
        <v>68</v>
      </c>
      <c r="H459" s="19" t="s">
        <v>141</v>
      </c>
      <c r="I459" s="19" t="s">
        <v>1013</v>
      </c>
      <c r="J459" s="19" t="s">
        <v>262</v>
      </c>
    </row>
    <row r="460" ht="16" customHeight="1" outlineLevel="2" spans="1:10">
      <c r="A460" s="18">
        <v>9</v>
      </c>
      <c r="B460" s="18">
        <v>36</v>
      </c>
      <c r="C460" s="19" t="s">
        <v>1045</v>
      </c>
      <c r="D460" s="19" t="s">
        <v>1044</v>
      </c>
      <c r="E460" s="19" t="s">
        <v>65</v>
      </c>
      <c r="F460" s="8" t="s">
        <v>67</v>
      </c>
      <c r="G460" s="8" t="s">
        <v>68</v>
      </c>
      <c r="H460" s="19" t="s">
        <v>141</v>
      </c>
      <c r="I460" s="19" t="s">
        <v>1013</v>
      </c>
      <c r="J460" s="19" t="s">
        <v>256</v>
      </c>
    </row>
    <row r="461" ht="16" customHeight="1" outlineLevel="2" spans="1:10">
      <c r="A461" s="18">
        <v>9</v>
      </c>
      <c r="B461" s="18">
        <v>37</v>
      </c>
      <c r="C461" s="19" t="s">
        <v>810</v>
      </c>
      <c r="D461" s="19" t="s">
        <v>809</v>
      </c>
      <c r="E461" s="19" t="s">
        <v>65</v>
      </c>
      <c r="F461" s="8" t="s">
        <v>67</v>
      </c>
      <c r="G461" s="8" t="s">
        <v>68</v>
      </c>
      <c r="H461" s="19" t="s">
        <v>123</v>
      </c>
      <c r="I461" s="19" t="s">
        <v>758</v>
      </c>
      <c r="J461" s="19" t="s">
        <v>286</v>
      </c>
    </row>
    <row r="462" ht="16" customHeight="1" outlineLevel="2" spans="1:10">
      <c r="A462" s="18">
        <v>9</v>
      </c>
      <c r="B462" s="18">
        <v>38</v>
      </c>
      <c r="C462" s="19" t="s">
        <v>938</v>
      </c>
      <c r="D462" s="19" t="s">
        <v>937</v>
      </c>
      <c r="E462" s="19" t="s">
        <v>65</v>
      </c>
      <c r="F462" s="8" t="s">
        <v>67</v>
      </c>
      <c r="G462" s="8" t="s">
        <v>68</v>
      </c>
      <c r="H462" s="19" t="s">
        <v>137</v>
      </c>
      <c r="I462" s="19" t="s">
        <v>928</v>
      </c>
      <c r="J462" s="19" t="s">
        <v>223</v>
      </c>
    </row>
    <row r="463" ht="16" customHeight="1" outlineLevel="2" spans="1:10">
      <c r="A463" s="18">
        <v>9</v>
      </c>
      <c r="B463" s="18">
        <v>39</v>
      </c>
      <c r="C463" s="19" t="s">
        <v>962</v>
      </c>
      <c r="D463" s="19" t="s">
        <v>961</v>
      </c>
      <c r="E463" s="19" t="s">
        <v>65</v>
      </c>
      <c r="F463" s="8" t="s">
        <v>67</v>
      </c>
      <c r="G463" s="8" t="s">
        <v>68</v>
      </c>
      <c r="H463" s="19" t="s">
        <v>137</v>
      </c>
      <c r="I463" s="19" t="s">
        <v>928</v>
      </c>
      <c r="J463" s="19" t="s">
        <v>259</v>
      </c>
    </row>
    <row r="464" ht="16" customHeight="1" outlineLevel="2" spans="1:10">
      <c r="A464" s="18">
        <v>9</v>
      </c>
      <c r="B464" s="18">
        <v>40</v>
      </c>
      <c r="C464" s="19" t="s">
        <v>508</v>
      </c>
      <c r="D464" s="19" t="s">
        <v>507</v>
      </c>
      <c r="E464" s="19" t="s">
        <v>65</v>
      </c>
      <c r="F464" s="8" t="s">
        <v>67</v>
      </c>
      <c r="G464" s="8" t="s">
        <v>68</v>
      </c>
      <c r="H464" s="19" t="s">
        <v>104</v>
      </c>
      <c r="I464" s="19" t="s">
        <v>504</v>
      </c>
      <c r="J464" s="19" t="s">
        <v>214</v>
      </c>
    </row>
    <row r="465" ht="16" customHeight="1" outlineLevel="2" spans="1:10">
      <c r="A465" s="18">
        <v>9</v>
      </c>
      <c r="B465" s="18">
        <v>41</v>
      </c>
      <c r="C465" s="19" t="s">
        <v>1180</v>
      </c>
      <c r="D465" s="19" t="s">
        <v>1179</v>
      </c>
      <c r="E465" s="19" t="s">
        <v>65</v>
      </c>
      <c r="F465" s="8" t="s">
        <v>67</v>
      </c>
      <c r="G465" s="8" t="s">
        <v>68</v>
      </c>
      <c r="H465" s="19" t="s">
        <v>145</v>
      </c>
      <c r="I465" s="19" t="s">
        <v>1098</v>
      </c>
      <c r="J465" s="19" t="s">
        <v>331</v>
      </c>
    </row>
    <row r="466" ht="16" customHeight="1" outlineLevel="2" spans="1:10">
      <c r="A466" s="18">
        <v>9</v>
      </c>
      <c r="B466" s="18">
        <v>42</v>
      </c>
      <c r="C466" s="19" t="s">
        <v>901</v>
      </c>
      <c r="D466" s="19" t="s">
        <v>900</v>
      </c>
      <c r="E466" s="19" t="s">
        <v>65</v>
      </c>
      <c r="F466" s="8" t="s">
        <v>67</v>
      </c>
      <c r="G466" s="8" t="s">
        <v>68</v>
      </c>
      <c r="H466" s="19" t="s">
        <v>132</v>
      </c>
      <c r="I466" s="19" t="s">
        <v>843</v>
      </c>
      <c r="J466" s="19" t="s">
        <v>295</v>
      </c>
    </row>
    <row r="467" ht="16" customHeight="1" outlineLevel="2" spans="1:10">
      <c r="A467" s="18">
        <v>9</v>
      </c>
      <c r="B467" s="18">
        <v>43</v>
      </c>
      <c r="C467" s="19" t="s">
        <v>849</v>
      </c>
      <c r="D467" s="19" t="s">
        <v>848</v>
      </c>
      <c r="E467" s="19" t="s">
        <v>65</v>
      </c>
      <c r="F467" s="8" t="s">
        <v>67</v>
      </c>
      <c r="G467" s="8" t="s">
        <v>68</v>
      </c>
      <c r="H467" s="19" t="s">
        <v>132</v>
      </c>
      <c r="I467" s="19" t="s">
        <v>843</v>
      </c>
      <c r="J467" s="19" t="s">
        <v>217</v>
      </c>
    </row>
    <row r="468" ht="16" customHeight="1" outlineLevel="2" spans="1:10">
      <c r="A468" s="18">
        <v>9</v>
      </c>
      <c r="B468" s="18">
        <v>44</v>
      </c>
      <c r="C468" s="19" t="s">
        <v>291</v>
      </c>
      <c r="D468" s="19" t="s">
        <v>290</v>
      </c>
      <c r="E468" s="19" t="s">
        <v>65</v>
      </c>
      <c r="F468" s="8" t="s">
        <v>67</v>
      </c>
      <c r="G468" s="8" t="s">
        <v>68</v>
      </c>
      <c r="H468" s="19" t="s">
        <v>73</v>
      </c>
      <c r="I468" s="19" t="s">
        <v>206</v>
      </c>
      <c r="J468" s="19" t="s">
        <v>292</v>
      </c>
    </row>
    <row r="469" ht="16" customHeight="1" outlineLevel="2" spans="1:10">
      <c r="A469" s="18">
        <v>9</v>
      </c>
      <c r="B469" s="18">
        <v>45</v>
      </c>
      <c r="C469" s="19" t="s">
        <v>471</v>
      </c>
      <c r="D469" s="19" t="s">
        <v>470</v>
      </c>
      <c r="E469" s="19" t="s">
        <v>65</v>
      </c>
      <c r="F469" s="8" t="s">
        <v>67</v>
      </c>
      <c r="G469" s="8" t="s">
        <v>68</v>
      </c>
      <c r="H469" s="19" t="s">
        <v>95</v>
      </c>
      <c r="I469" s="19" t="s">
        <v>419</v>
      </c>
      <c r="J469" s="19" t="s">
        <v>286</v>
      </c>
    </row>
    <row r="470" ht="16" customHeight="1" outlineLevel="2" spans="1:10">
      <c r="A470" s="18">
        <v>9</v>
      </c>
      <c r="B470" s="18">
        <v>46</v>
      </c>
      <c r="C470" s="19" t="s">
        <v>637</v>
      </c>
      <c r="D470" s="19" t="s">
        <v>636</v>
      </c>
      <c r="E470" s="19" t="s">
        <v>65</v>
      </c>
      <c r="F470" s="8" t="s">
        <v>67</v>
      </c>
      <c r="G470" s="8" t="s">
        <v>68</v>
      </c>
      <c r="H470" s="19" t="s">
        <v>110</v>
      </c>
      <c r="I470" s="19" t="s">
        <v>589</v>
      </c>
      <c r="J470" s="19" t="s">
        <v>280</v>
      </c>
    </row>
    <row r="471" ht="16" customHeight="1" outlineLevel="2" spans="1:10">
      <c r="A471" s="18">
        <v>9</v>
      </c>
      <c r="B471" s="18">
        <v>48</v>
      </c>
      <c r="C471" s="19" t="s">
        <v>925</v>
      </c>
      <c r="D471" s="19" t="s">
        <v>924</v>
      </c>
      <c r="E471" s="19" t="s">
        <v>65</v>
      </c>
      <c r="F471" s="8" t="s">
        <v>67</v>
      </c>
      <c r="G471" s="8" t="s">
        <v>68</v>
      </c>
      <c r="H471" s="7" t="s">
        <v>132</v>
      </c>
      <c r="I471" s="19" t="s">
        <v>843</v>
      </c>
      <c r="J471" s="7" t="s">
        <v>331</v>
      </c>
    </row>
    <row r="472" ht="16" customHeight="1" outlineLevel="2" spans="1:10">
      <c r="A472" s="18">
        <v>9</v>
      </c>
      <c r="B472" s="18">
        <v>49</v>
      </c>
      <c r="C472" s="19" t="s">
        <v>465</v>
      </c>
      <c r="D472" s="19" t="s">
        <v>464</v>
      </c>
      <c r="E472" s="19" t="s">
        <v>65</v>
      </c>
      <c r="F472" s="8" t="s">
        <v>67</v>
      </c>
      <c r="G472" s="8" t="s">
        <v>68</v>
      </c>
      <c r="H472" s="19" t="s">
        <v>95</v>
      </c>
      <c r="I472" s="19" t="s">
        <v>419</v>
      </c>
      <c r="J472" s="19" t="s">
        <v>277</v>
      </c>
    </row>
    <row r="473" ht="16" customHeight="1" outlineLevel="2" spans="1:10">
      <c r="A473" s="18">
        <v>9</v>
      </c>
      <c r="B473" s="18">
        <v>50</v>
      </c>
      <c r="C473" s="19" t="s">
        <v>501</v>
      </c>
      <c r="D473" s="19" t="s">
        <v>500</v>
      </c>
      <c r="E473" s="19" t="s">
        <v>65</v>
      </c>
      <c r="F473" s="8" t="s">
        <v>67</v>
      </c>
      <c r="G473" s="8" t="s">
        <v>68</v>
      </c>
      <c r="H473" s="19" t="s">
        <v>95</v>
      </c>
      <c r="I473" s="19" t="s">
        <v>419</v>
      </c>
      <c r="J473" s="19" t="s">
        <v>331</v>
      </c>
    </row>
    <row r="474" ht="16" customHeight="1" outlineLevel="2" spans="1:10">
      <c r="A474" s="18">
        <v>9</v>
      </c>
      <c r="B474" s="18">
        <v>51</v>
      </c>
      <c r="C474" s="19" t="s">
        <v>828</v>
      </c>
      <c r="D474" s="19" t="s">
        <v>827</v>
      </c>
      <c r="E474" s="19" t="s">
        <v>65</v>
      </c>
      <c r="F474" s="8" t="s">
        <v>67</v>
      </c>
      <c r="G474" s="8" t="s">
        <v>68</v>
      </c>
      <c r="H474" s="19" t="s">
        <v>123</v>
      </c>
      <c r="I474" s="19" t="s">
        <v>758</v>
      </c>
      <c r="J474" s="19" t="s">
        <v>313</v>
      </c>
    </row>
    <row r="475" ht="16" customHeight="1" outlineLevel="2" spans="1:10">
      <c r="A475" s="18">
        <v>9</v>
      </c>
      <c r="B475" s="18">
        <v>52</v>
      </c>
      <c r="C475" s="19" t="s">
        <v>770</v>
      </c>
      <c r="D475" s="19" t="s">
        <v>769</v>
      </c>
      <c r="E475" s="19" t="s">
        <v>65</v>
      </c>
      <c r="F475" s="8" t="s">
        <v>67</v>
      </c>
      <c r="G475" s="8" t="s">
        <v>68</v>
      </c>
      <c r="H475" s="19" t="s">
        <v>123</v>
      </c>
      <c r="I475" s="19" t="s">
        <v>758</v>
      </c>
      <c r="J475" s="19" t="s">
        <v>226</v>
      </c>
    </row>
    <row r="476" ht="16" customHeight="1" outlineLevel="2" spans="1:10">
      <c r="A476" s="18">
        <v>9</v>
      </c>
      <c r="B476" s="18">
        <v>53</v>
      </c>
      <c r="C476" s="19" t="s">
        <v>306</v>
      </c>
      <c r="D476" s="19" t="s">
        <v>305</v>
      </c>
      <c r="E476" s="19" t="s">
        <v>65</v>
      </c>
      <c r="F476" s="8" t="s">
        <v>67</v>
      </c>
      <c r="G476" s="8" t="s">
        <v>68</v>
      </c>
      <c r="H476" s="19" t="s">
        <v>73</v>
      </c>
      <c r="I476" s="19" t="s">
        <v>206</v>
      </c>
      <c r="J476" s="19" t="s">
        <v>307</v>
      </c>
    </row>
    <row r="477" ht="16" customHeight="1" outlineLevel="2" spans="1:10">
      <c r="A477" s="18">
        <v>9</v>
      </c>
      <c r="B477" s="18">
        <v>54</v>
      </c>
      <c r="C477" s="19" t="s">
        <v>542</v>
      </c>
      <c r="D477" s="19" t="s">
        <v>541</v>
      </c>
      <c r="E477" s="19" t="s">
        <v>65</v>
      </c>
      <c r="F477" s="8" t="s">
        <v>67</v>
      </c>
      <c r="G477" s="8" t="s">
        <v>68</v>
      </c>
      <c r="H477" s="19" t="s">
        <v>104</v>
      </c>
      <c r="I477" s="19" t="s">
        <v>504</v>
      </c>
      <c r="J477" s="19" t="s">
        <v>265</v>
      </c>
    </row>
    <row r="478" ht="16" customHeight="1" outlineLevel="1" spans="1:10">
      <c r="A478" s="21" t="s">
        <v>1920</v>
      </c>
      <c r="B478" s="18"/>
      <c r="C478" s="19">
        <f>SUBTOTAL(3,C426:C477)</f>
        <v>52</v>
      </c>
      <c r="D478" s="19"/>
      <c r="E478" s="19"/>
      <c r="F478" s="8"/>
      <c r="G478" s="8"/>
      <c r="H478" s="19"/>
      <c r="I478" s="19"/>
      <c r="J478" s="19"/>
    </row>
    <row r="479" ht="16" customHeight="1" outlineLevel="2" spans="1:10">
      <c r="A479" s="18">
        <v>10</v>
      </c>
      <c r="B479" s="18">
        <v>1</v>
      </c>
      <c r="C479" s="19" t="s">
        <v>1292</v>
      </c>
      <c r="D479" s="19" t="s">
        <v>1291</v>
      </c>
      <c r="E479" s="19" t="s">
        <v>65</v>
      </c>
      <c r="F479" s="8" t="s">
        <v>67</v>
      </c>
      <c r="G479" s="8" t="s">
        <v>69</v>
      </c>
      <c r="H479" s="19" t="s">
        <v>148</v>
      </c>
      <c r="I479" s="19" t="s">
        <v>1268</v>
      </c>
      <c r="J479" s="19" t="s">
        <v>244</v>
      </c>
    </row>
    <row r="480" ht="16" customHeight="1" outlineLevel="2" spans="1:10">
      <c r="A480" s="18">
        <v>10</v>
      </c>
      <c r="B480" s="18">
        <v>2</v>
      </c>
      <c r="C480" s="19" t="s">
        <v>1810</v>
      </c>
      <c r="D480" s="19" t="s">
        <v>1809</v>
      </c>
      <c r="E480" s="19" t="s">
        <v>65</v>
      </c>
      <c r="F480" s="8" t="s">
        <v>67</v>
      </c>
      <c r="G480" s="8" t="s">
        <v>69</v>
      </c>
      <c r="H480" s="7" t="s">
        <v>155</v>
      </c>
      <c r="I480" s="19" t="s">
        <v>1779</v>
      </c>
      <c r="J480" s="7" t="s">
        <v>253</v>
      </c>
    </row>
    <row r="481" ht="16" customHeight="1" outlineLevel="2" spans="1:10">
      <c r="A481" s="18">
        <v>10</v>
      </c>
      <c r="B481" s="18">
        <v>3</v>
      </c>
      <c r="C481" s="19" t="s">
        <v>1338</v>
      </c>
      <c r="D481" s="19" t="s">
        <v>1337</v>
      </c>
      <c r="E481" s="19" t="s">
        <v>65</v>
      </c>
      <c r="F481" s="8" t="s">
        <v>67</v>
      </c>
      <c r="G481" s="8" t="s">
        <v>69</v>
      </c>
      <c r="H481" s="19" t="s">
        <v>148</v>
      </c>
      <c r="I481" s="19" t="s">
        <v>1268</v>
      </c>
      <c r="J481" s="19" t="s">
        <v>313</v>
      </c>
    </row>
    <row r="482" ht="16" customHeight="1" outlineLevel="2" spans="1:10">
      <c r="A482" s="18">
        <v>10</v>
      </c>
      <c r="B482" s="18">
        <v>4</v>
      </c>
      <c r="C482" s="19" t="s">
        <v>1221</v>
      </c>
      <c r="D482" s="19" t="s">
        <v>1220</v>
      </c>
      <c r="E482" s="19" t="s">
        <v>65</v>
      </c>
      <c r="F482" s="8" t="s">
        <v>67</v>
      </c>
      <c r="G482" s="8" t="s">
        <v>69</v>
      </c>
      <c r="H482" s="19" t="s">
        <v>147</v>
      </c>
      <c r="I482" s="19" t="s">
        <v>1184</v>
      </c>
      <c r="J482" s="19" t="s">
        <v>265</v>
      </c>
    </row>
    <row r="483" ht="16" customHeight="1" outlineLevel="2" spans="1:10">
      <c r="A483" s="18">
        <v>10</v>
      </c>
      <c r="B483" s="18">
        <v>5</v>
      </c>
      <c r="C483" s="19" t="s">
        <v>1322</v>
      </c>
      <c r="D483" s="19" t="s">
        <v>1321</v>
      </c>
      <c r="E483" s="19" t="s">
        <v>65</v>
      </c>
      <c r="F483" s="8" t="s">
        <v>67</v>
      </c>
      <c r="G483" s="8" t="s">
        <v>69</v>
      </c>
      <c r="H483" s="19" t="s">
        <v>148</v>
      </c>
      <c r="I483" s="19" t="s">
        <v>1268</v>
      </c>
      <c r="J483" s="19" t="s">
        <v>289</v>
      </c>
    </row>
    <row r="484" ht="16" customHeight="1" outlineLevel="2" spans="1:10">
      <c r="A484" s="18">
        <v>10</v>
      </c>
      <c r="B484" s="18">
        <v>6</v>
      </c>
      <c r="C484" s="19" t="s">
        <v>1201</v>
      </c>
      <c r="D484" s="19" t="s">
        <v>1200</v>
      </c>
      <c r="E484" s="19" t="s">
        <v>65</v>
      </c>
      <c r="F484" s="8" t="s">
        <v>67</v>
      </c>
      <c r="G484" s="8" t="s">
        <v>69</v>
      </c>
      <c r="H484" s="19" t="s">
        <v>147</v>
      </c>
      <c r="I484" s="19" t="s">
        <v>1184</v>
      </c>
      <c r="J484" s="19" t="s">
        <v>235</v>
      </c>
    </row>
    <row r="485" ht="16" customHeight="1" outlineLevel="2" spans="1:10">
      <c r="A485" s="18">
        <v>10</v>
      </c>
      <c r="B485" s="18">
        <v>7</v>
      </c>
      <c r="C485" s="19" t="s">
        <v>1284</v>
      </c>
      <c r="D485" s="19" t="s">
        <v>1283</v>
      </c>
      <c r="E485" s="19" t="s">
        <v>65</v>
      </c>
      <c r="F485" s="8" t="s">
        <v>67</v>
      </c>
      <c r="G485" s="8" t="s">
        <v>69</v>
      </c>
      <c r="H485" s="19" t="s">
        <v>148</v>
      </c>
      <c r="I485" s="19" t="s">
        <v>1268</v>
      </c>
      <c r="J485" s="19" t="s">
        <v>232</v>
      </c>
    </row>
    <row r="486" ht="16" customHeight="1" outlineLevel="2" spans="1:10">
      <c r="A486" s="18">
        <v>10</v>
      </c>
      <c r="B486" s="18">
        <v>8</v>
      </c>
      <c r="C486" s="19" t="s">
        <v>1272</v>
      </c>
      <c r="D486" s="19" t="s">
        <v>1271</v>
      </c>
      <c r="E486" s="19" t="s">
        <v>65</v>
      </c>
      <c r="F486" s="8" t="s">
        <v>67</v>
      </c>
      <c r="G486" s="8" t="s">
        <v>69</v>
      </c>
      <c r="H486" s="19" t="s">
        <v>148</v>
      </c>
      <c r="I486" s="19" t="s">
        <v>1268</v>
      </c>
      <c r="J486" s="19" t="s">
        <v>214</v>
      </c>
    </row>
    <row r="487" ht="16" customHeight="1" outlineLevel="2" spans="1:10">
      <c r="A487" s="18">
        <v>10</v>
      </c>
      <c r="B487" s="18">
        <v>9</v>
      </c>
      <c r="C487" s="19" t="s">
        <v>1233</v>
      </c>
      <c r="D487" s="19" t="s">
        <v>1232</v>
      </c>
      <c r="E487" s="19" t="s">
        <v>65</v>
      </c>
      <c r="F487" s="8" t="s">
        <v>67</v>
      </c>
      <c r="G487" s="8" t="s">
        <v>69</v>
      </c>
      <c r="H487" s="19" t="s">
        <v>147</v>
      </c>
      <c r="I487" s="19" t="s">
        <v>1184</v>
      </c>
      <c r="J487" s="19" t="s">
        <v>283</v>
      </c>
    </row>
    <row r="488" ht="16" customHeight="1" outlineLevel="2" spans="1:10">
      <c r="A488" s="18">
        <v>10</v>
      </c>
      <c r="B488" s="18">
        <v>10</v>
      </c>
      <c r="C488" s="19" t="s">
        <v>1812</v>
      </c>
      <c r="D488" s="19" t="s">
        <v>1811</v>
      </c>
      <c r="E488" s="19" t="s">
        <v>65</v>
      </c>
      <c r="F488" s="8" t="s">
        <v>67</v>
      </c>
      <c r="G488" s="8" t="s">
        <v>69</v>
      </c>
      <c r="H488" s="7" t="s">
        <v>155</v>
      </c>
      <c r="I488" s="19" t="s">
        <v>1779</v>
      </c>
      <c r="J488" s="7" t="s">
        <v>256</v>
      </c>
    </row>
    <row r="489" ht="16" customHeight="1" outlineLevel="2" spans="1:10">
      <c r="A489" s="18">
        <v>10</v>
      </c>
      <c r="B489" s="18">
        <v>11</v>
      </c>
      <c r="C489" s="19" t="s">
        <v>1265</v>
      </c>
      <c r="D489" s="19" t="s">
        <v>1264</v>
      </c>
      <c r="E489" s="19" t="s">
        <v>65</v>
      </c>
      <c r="F489" s="8" t="s">
        <v>67</v>
      </c>
      <c r="G489" s="8" t="s">
        <v>69</v>
      </c>
      <c r="H489" s="7" t="s">
        <v>147</v>
      </c>
      <c r="I489" s="19" t="s">
        <v>1184</v>
      </c>
      <c r="J489" s="7" t="s">
        <v>331</v>
      </c>
    </row>
    <row r="490" ht="16" customHeight="1" outlineLevel="2" spans="1:10">
      <c r="A490" s="18">
        <v>10</v>
      </c>
      <c r="B490" s="18">
        <v>12</v>
      </c>
      <c r="C490" s="19" t="s">
        <v>1312</v>
      </c>
      <c r="D490" s="19" t="s">
        <v>1311</v>
      </c>
      <c r="E490" s="19" t="s">
        <v>65</v>
      </c>
      <c r="F490" s="8" t="s">
        <v>67</v>
      </c>
      <c r="G490" s="8" t="s">
        <v>69</v>
      </c>
      <c r="H490" s="7" t="s">
        <v>148</v>
      </c>
      <c r="I490" s="19" t="s">
        <v>1268</v>
      </c>
      <c r="J490" s="7" t="s">
        <v>274</v>
      </c>
    </row>
    <row r="491" ht="16" customHeight="1" outlineLevel="2" spans="1:10">
      <c r="A491" s="18">
        <v>10</v>
      </c>
      <c r="B491" s="18">
        <v>13</v>
      </c>
      <c r="C491" s="19" t="s">
        <v>1302</v>
      </c>
      <c r="D491" s="19" t="s">
        <v>1301</v>
      </c>
      <c r="E491" s="19" t="s">
        <v>65</v>
      </c>
      <c r="F491" s="8" t="s">
        <v>67</v>
      </c>
      <c r="G491" s="8" t="s">
        <v>69</v>
      </c>
      <c r="H491" s="19" t="s">
        <v>148</v>
      </c>
      <c r="I491" s="19" t="s">
        <v>1268</v>
      </c>
      <c r="J491" s="19" t="s">
        <v>259</v>
      </c>
    </row>
    <row r="492" ht="16" customHeight="1" outlineLevel="2" spans="1:10">
      <c r="A492" s="18">
        <v>10</v>
      </c>
      <c r="B492" s="18">
        <v>14</v>
      </c>
      <c r="C492" s="19" t="s">
        <v>1318</v>
      </c>
      <c r="D492" s="19" t="s">
        <v>1317</v>
      </c>
      <c r="E492" s="19" t="s">
        <v>65</v>
      </c>
      <c r="F492" s="8" t="s">
        <v>67</v>
      </c>
      <c r="G492" s="8" t="s">
        <v>69</v>
      </c>
      <c r="H492" s="19" t="s">
        <v>148</v>
      </c>
      <c r="I492" s="19" t="s">
        <v>1268</v>
      </c>
      <c r="J492" s="19" t="s">
        <v>283</v>
      </c>
    </row>
    <row r="493" ht="16" customHeight="1" outlineLevel="2" spans="1:10">
      <c r="A493" s="18">
        <v>10</v>
      </c>
      <c r="B493" s="18">
        <v>15</v>
      </c>
      <c r="C493" s="19" t="s">
        <v>1286</v>
      </c>
      <c r="D493" s="19" t="s">
        <v>1285</v>
      </c>
      <c r="E493" s="19" t="s">
        <v>65</v>
      </c>
      <c r="F493" s="8" t="s">
        <v>67</v>
      </c>
      <c r="G493" s="8" t="s">
        <v>69</v>
      </c>
      <c r="H493" s="19" t="s">
        <v>148</v>
      </c>
      <c r="I493" s="19" t="s">
        <v>1268</v>
      </c>
      <c r="J493" s="19" t="s">
        <v>235</v>
      </c>
    </row>
    <row r="494" ht="16" customHeight="1" outlineLevel="2" spans="1:10">
      <c r="A494" s="18">
        <v>10</v>
      </c>
      <c r="B494" s="18">
        <v>16</v>
      </c>
      <c r="C494" s="19" t="s">
        <v>1192</v>
      </c>
      <c r="D494" s="19" t="s">
        <v>1191</v>
      </c>
      <c r="E494" s="19" t="s">
        <v>65</v>
      </c>
      <c r="F494" s="8" t="s">
        <v>67</v>
      </c>
      <c r="G494" s="8" t="s">
        <v>69</v>
      </c>
      <c r="H494" s="19" t="s">
        <v>147</v>
      </c>
      <c r="I494" s="19" t="s">
        <v>1184</v>
      </c>
      <c r="J494" s="19" t="s">
        <v>220</v>
      </c>
    </row>
    <row r="495" ht="16" customHeight="1" outlineLevel="2" spans="1:10">
      <c r="A495" s="18">
        <v>10</v>
      </c>
      <c r="B495" s="18">
        <v>17</v>
      </c>
      <c r="C495" s="19" t="s">
        <v>1324</v>
      </c>
      <c r="D495" s="19" t="s">
        <v>1323</v>
      </c>
      <c r="E495" s="19" t="s">
        <v>65</v>
      </c>
      <c r="F495" s="8" t="s">
        <v>67</v>
      </c>
      <c r="G495" s="8" t="s">
        <v>69</v>
      </c>
      <c r="H495" s="19" t="s">
        <v>148</v>
      </c>
      <c r="I495" s="19" t="s">
        <v>1268</v>
      </c>
      <c r="J495" s="19" t="s">
        <v>292</v>
      </c>
    </row>
    <row r="496" ht="16" customHeight="1" outlineLevel="2" spans="1:10">
      <c r="A496" s="18">
        <v>10</v>
      </c>
      <c r="B496" s="18">
        <v>18</v>
      </c>
      <c r="C496" s="19" t="s">
        <v>1276</v>
      </c>
      <c r="D496" s="19" t="s">
        <v>1275</v>
      </c>
      <c r="E496" s="19" t="s">
        <v>65</v>
      </c>
      <c r="F496" s="8" t="s">
        <v>67</v>
      </c>
      <c r="G496" s="8" t="s">
        <v>69</v>
      </c>
      <c r="H496" s="19" t="s">
        <v>148</v>
      </c>
      <c r="I496" s="19" t="s">
        <v>1268</v>
      </c>
      <c r="J496" s="19" t="s">
        <v>220</v>
      </c>
    </row>
    <row r="497" ht="16" customHeight="1" outlineLevel="2" spans="1:10">
      <c r="A497" s="18">
        <v>10</v>
      </c>
      <c r="B497" s="18">
        <v>19</v>
      </c>
      <c r="C497" s="19" t="s">
        <v>1241</v>
      </c>
      <c r="D497" s="19" t="s">
        <v>1240</v>
      </c>
      <c r="E497" s="19" t="s">
        <v>65</v>
      </c>
      <c r="F497" s="8" t="s">
        <v>67</v>
      </c>
      <c r="G497" s="8" t="s">
        <v>69</v>
      </c>
      <c r="H497" s="19" t="s">
        <v>147</v>
      </c>
      <c r="I497" s="19" t="s">
        <v>1184</v>
      </c>
      <c r="J497" s="19" t="s">
        <v>295</v>
      </c>
    </row>
    <row r="498" ht="16" customHeight="1" outlineLevel="2" spans="1:10">
      <c r="A498" s="18">
        <v>10</v>
      </c>
      <c r="B498" s="18">
        <v>20</v>
      </c>
      <c r="C498" s="19" t="s">
        <v>1196</v>
      </c>
      <c r="D498" s="19" t="s">
        <v>1195</v>
      </c>
      <c r="E498" s="19" t="s">
        <v>65</v>
      </c>
      <c r="F498" s="8" t="s">
        <v>67</v>
      </c>
      <c r="G498" s="8" t="s">
        <v>69</v>
      </c>
      <c r="H498" s="19" t="s">
        <v>147</v>
      </c>
      <c r="I498" s="19" t="s">
        <v>1184</v>
      </c>
      <c r="J498" s="19" t="s">
        <v>226</v>
      </c>
    </row>
    <row r="499" ht="16" customHeight="1" outlineLevel="2" spans="1:10">
      <c r="A499" s="18">
        <v>10</v>
      </c>
      <c r="B499" s="18">
        <v>21</v>
      </c>
      <c r="C499" s="19" t="s">
        <v>1328</v>
      </c>
      <c r="D499" s="19" t="s">
        <v>1327</v>
      </c>
      <c r="E499" s="19" t="s">
        <v>65</v>
      </c>
      <c r="F499" s="8" t="s">
        <v>67</v>
      </c>
      <c r="G499" s="8" t="s">
        <v>69</v>
      </c>
      <c r="H499" s="19" t="s">
        <v>148</v>
      </c>
      <c r="I499" s="19" t="s">
        <v>1268</v>
      </c>
      <c r="J499" s="19" t="s">
        <v>298</v>
      </c>
    </row>
    <row r="500" ht="16" customHeight="1" outlineLevel="2" spans="1:10">
      <c r="A500" s="18">
        <v>10</v>
      </c>
      <c r="B500" s="18">
        <v>22</v>
      </c>
      <c r="C500" s="19" t="s">
        <v>1794</v>
      </c>
      <c r="D500" s="19" t="s">
        <v>1793</v>
      </c>
      <c r="E500" s="19" t="s">
        <v>65</v>
      </c>
      <c r="F500" s="8" t="s">
        <v>67</v>
      </c>
      <c r="G500" s="8" t="s">
        <v>69</v>
      </c>
      <c r="H500" s="7" t="s">
        <v>155</v>
      </c>
      <c r="I500" s="19" t="s">
        <v>1779</v>
      </c>
      <c r="J500" s="7" t="s">
        <v>229</v>
      </c>
    </row>
    <row r="501" ht="16" customHeight="1" outlineLevel="2" spans="1:10">
      <c r="A501" s="18">
        <v>10</v>
      </c>
      <c r="B501" s="18">
        <v>23</v>
      </c>
      <c r="C501" s="19" t="s">
        <v>1194</v>
      </c>
      <c r="D501" s="19" t="s">
        <v>1193</v>
      </c>
      <c r="E501" s="19" t="s">
        <v>65</v>
      </c>
      <c r="F501" s="8" t="s">
        <v>67</v>
      </c>
      <c r="G501" s="8" t="s">
        <v>69</v>
      </c>
      <c r="H501" s="19" t="s">
        <v>147</v>
      </c>
      <c r="I501" s="19" t="s">
        <v>1184</v>
      </c>
      <c r="J501" s="19" t="s">
        <v>223</v>
      </c>
    </row>
    <row r="502" ht="16" customHeight="1" outlineLevel="2" spans="1:10">
      <c r="A502" s="18">
        <v>10</v>
      </c>
      <c r="B502" s="18">
        <v>24</v>
      </c>
      <c r="C502" s="19" t="s">
        <v>1282</v>
      </c>
      <c r="D502" s="19" t="s">
        <v>1281</v>
      </c>
      <c r="E502" s="19" t="s">
        <v>65</v>
      </c>
      <c r="F502" s="8" t="s">
        <v>67</v>
      </c>
      <c r="G502" s="8" t="s">
        <v>69</v>
      </c>
      <c r="H502" s="19" t="s">
        <v>148</v>
      </c>
      <c r="I502" s="19" t="s">
        <v>1268</v>
      </c>
      <c r="J502" s="19" t="s">
        <v>229</v>
      </c>
    </row>
    <row r="503" ht="16" customHeight="1" outlineLevel="2" spans="1:10">
      <c r="A503" s="18">
        <v>10</v>
      </c>
      <c r="B503" s="18">
        <v>25</v>
      </c>
      <c r="C503" s="19" t="s">
        <v>1290</v>
      </c>
      <c r="D503" s="19" t="s">
        <v>1289</v>
      </c>
      <c r="E503" s="19" t="s">
        <v>65</v>
      </c>
      <c r="F503" s="8" t="s">
        <v>67</v>
      </c>
      <c r="G503" s="8" t="s">
        <v>69</v>
      </c>
      <c r="H503" s="19" t="s">
        <v>148</v>
      </c>
      <c r="I503" s="19" t="s">
        <v>1268</v>
      </c>
      <c r="J503" s="19" t="s">
        <v>241</v>
      </c>
    </row>
    <row r="504" ht="16" customHeight="1" outlineLevel="2" spans="1:10">
      <c r="A504" s="18">
        <v>10</v>
      </c>
      <c r="B504" s="18">
        <v>26</v>
      </c>
      <c r="C504" s="19" t="s">
        <v>1263</v>
      </c>
      <c r="D504" s="19" t="s">
        <v>1262</v>
      </c>
      <c r="E504" s="19" t="s">
        <v>65</v>
      </c>
      <c r="F504" s="8" t="s">
        <v>67</v>
      </c>
      <c r="G504" s="8" t="s">
        <v>69</v>
      </c>
      <c r="H504" s="19" t="s">
        <v>147</v>
      </c>
      <c r="I504" s="19" t="s">
        <v>1184</v>
      </c>
      <c r="J504" s="19" t="s">
        <v>328</v>
      </c>
    </row>
    <row r="505" ht="16" customHeight="1" outlineLevel="2" spans="1:10">
      <c r="A505" s="18">
        <v>10</v>
      </c>
      <c r="B505" s="18">
        <v>27</v>
      </c>
      <c r="C505" s="19" t="s">
        <v>1219</v>
      </c>
      <c r="D505" s="19" t="s">
        <v>1218</v>
      </c>
      <c r="E505" s="19" t="s">
        <v>65</v>
      </c>
      <c r="F505" s="8" t="s">
        <v>67</v>
      </c>
      <c r="G505" s="8" t="s">
        <v>69</v>
      </c>
      <c r="H505" s="19" t="s">
        <v>147</v>
      </c>
      <c r="I505" s="19" t="s">
        <v>1184</v>
      </c>
      <c r="J505" s="19" t="s">
        <v>262</v>
      </c>
    </row>
    <row r="506" ht="16" customHeight="1" outlineLevel="2" spans="1:10">
      <c r="A506" s="18">
        <v>10</v>
      </c>
      <c r="B506" s="18">
        <v>28</v>
      </c>
      <c r="C506" s="19" t="s">
        <v>1209</v>
      </c>
      <c r="D506" s="19" t="s">
        <v>1208</v>
      </c>
      <c r="E506" s="19" t="s">
        <v>65</v>
      </c>
      <c r="F506" s="8" t="s">
        <v>67</v>
      </c>
      <c r="G506" s="8" t="s">
        <v>69</v>
      </c>
      <c r="H506" s="19" t="s">
        <v>147</v>
      </c>
      <c r="I506" s="19" t="s">
        <v>1184</v>
      </c>
      <c r="J506" s="19" t="s">
        <v>247</v>
      </c>
    </row>
    <row r="507" ht="16" customHeight="1" outlineLevel="2" spans="1:10">
      <c r="A507" s="18">
        <v>10</v>
      </c>
      <c r="B507" s="18">
        <v>29</v>
      </c>
      <c r="C507" s="19" t="s">
        <v>1336</v>
      </c>
      <c r="D507" s="19" t="s">
        <v>1335</v>
      </c>
      <c r="E507" s="19" t="s">
        <v>65</v>
      </c>
      <c r="F507" s="8" t="s">
        <v>67</v>
      </c>
      <c r="G507" s="8" t="s">
        <v>69</v>
      </c>
      <c r="H507" s="7" t="s">
        <v>148</v>
      </c>
      <c r="I507" s="19" t="s">
        <v>1268</v>
      </c>
      <c r="J507" s="7" t="s">
        <v>310</v>
      </c>
    </row>
    <row r="508" ht="16" customHeight="1" outlineLevel="2" spans="1:10">
      <c r="A508" s="18">
        <v>10</v>
      </c>
      <c r="B508" s="18">
        <v>30</v>
      </c>
      <c r="C508" s="19" t="s">
        <v>1342</v>
      </c>
      <c r="D508" s="19" t="s">
        <v>1341</v>
      </c>
      <c r="E508" s="19" t="s">
        <v>65</v>
      </c>
      <c r="F508" s="8" t="s">
        <v>67</v>
      </c>
      <c r="G508" s="8" t="s">
        <v>69</v>
      </c>
      <c r="H508" s="19" t="s">
        <v>148</v>
      </c>
      <c r="I508" s="19" t="s">
        <v>1268</v>
      </c>
      <c r="J508" s="19" t="s">
        <v>319</v>
      </c>
    </row>
    <row r="509" ht="16" customHeight="1" outlineLevel="2" spans="1:10">
      <c r="A509" s="18">
        <v>10</v>
      </c>
      <c r="B509" s="18">
        <v>31</v>
      </c>
      <c r="C509" s="19" t="s">
        <v>1298</v>
      </c>
      <c r="D509" s="19" t="s">
        <v>1297</v>
      </c>
      <c r="E509" s="19" t="s">
        <v>65</v>
      </c>
      <c r="F509" s="8" t="s">
        <v>67</v>
      </c>
      <c r="G509" s="8" t="s">
        <v>69</v>
      </c>
      <c r="H509" s="7" t="s">
        <v>148</v>
      </c>
      <c r="I509" s="19" t="s">
        <v>1268</v>
      </c>
      <c r="J509" s="7" t="s">
        <v>253</v>
      </c>
    </row>
    <row r="510" ht="16" customHeight="1" outlineLevel="2" spans="1:10">
      <c r="A510" s="18">
        <v>10</v>
      </c>
      <c r="B510" s="18">
        <v>32</v>
      </c>
      <c r="C510" s="19" t="s">
        <v>1806</v>
      </c>
      <c r="D510" s="19" t="s">
        <v>1805</v>
      </c>
      <c r="E510" s="19" t="s">
        <v>65</v>
      </c>
      <c r="F510" s="8" t="s">
        <v>67</v>
      </c>
      <c r="G510" s="8" t="s">
        <v>69</v>
      </c>
      <c r="H510" s="7" t="s">
        <v>155</v>
      </c>
      <c r="I510" s="19" t="s">
        <v>1779</v>
      </c>
      <c r="J510" s="19" t="s">
        <v>247</v>
      </c>
    </row>
    <row r="511" ht="16" customHeight="1" outlineLevel="2" spans="1:10">
      <c r="A511" s="18">
        <v>10</v>
      </c>
      <c r="B511" s="18">
        <v>33</v>
      </c>
      <c r="C511" s="19" t="s">
        <v>1288</v>
      </c>
      <c r="D511" s="19" t="s">
        <v>1287</v>
      </c>
      <c r="E511" s="19" t="s">
        <v>65</v>
      </c>
      <c r="F511" s="8" t="s">
        <v>67</v>
      </c>
      <c r="G511" s="8" t="s">
        <v>69</v>
      </c>
      <c r="H511" s="19" t="s">
        <v>148</v>
      </c>
      <c r="I511" s="19" t="s">
        <v>1268</v>
      </c>
      <c r="J511" s="19" t="s">
        <v>238</v>
      </c>
    </row>
    <row r="512" ht="16" customHeight="1" outlineLevel="2" spans="1:10">
      <c r="A512" s="18">
        <v>10</v>
      </c>
      <c r="B512" s="18">
        <v>34</v>
      </c>
      <c r="C512" s="19" t="s">
        <v>1300</v>
      </c>
      <c r="D512" s="19" t="s">
        <v>1299</v>
      </c>
      <c r="E512" s="19" t="s">
        <v>65</v>
      </c>
      <c r="F512" s="8" t="s">
        <v>67</v>
      </c>
      <c r="G512" s="8" t="s">
        <v>69</v>
      </c>
      <c r="H512" s="19" t="s">
        <v>148</v>
      </c>
      <c r="I512" s="19" t="s">
        <v>1268</v>
      </c>
      <c r="J512" s="19" t="s">
        <v>256</v>
      </c>
    </row>
    <row r="513" ht="16" customHeight="1" outlineLevel="2" spans="1:10">
      <c r="A513" s="18">
        <v>10</v>
      </c>
      <c r="B513" s="18">
        <v>35</v>
      </c>
      <c r="C513" s="19" t="s">
        <v>1802</v>
      </c>
      <c r="D513" s="19" t="s">
        <v>1801</v>
      </c>
      <c r="E513" s="19" t="s">
        <v>65</v>
      </c>
      <c r="F513" s="8" t="s">
        <v>67</v>
      </c>
      <c r="G513" s="8" t="s">
        <v>69</v>
      </c>
      <c r="H513" s="19" t="s">
        <v>155</v>
      </c>
      <c r="I513" s="19" t="s">
        <v>1779</v>
      </c>
      <c r="J513" s="19" t="s">
        <v>241</v>
      </c>
    </row>
    <row r="514" ht="16" customHeight="1" outlineLevel="2" spans="1:10">
      <c r="A514" s="18">
        <v>10</v>
      </c>
      <c r="B514" s="18">
        <v>36</v>
      </c>
      <c r="C514" s="19" t="s">
        <v>1239</v>
      </c>
      <c r="D514" s="19" t="s">
        <v>1238</v>
      </c>
      <c r="E514" s="19" t="s">
        <v>65</v>
      </c>
      <c r="F514" s="8" t="s">
        <v>67</v>
      </c>
      <c r="G514" s="8" t="s">
        <v>69</v>
      </c>
      <c r="H514" s="19" t="s">
        <v>147</v>
      </c>
      <c r="I514" s="19" t="s">
        <v>1184</v>
      </c>
      <c r="J514" s="19" t="s">
        <v>292</v>
      </c>
    </row>
    <row r="515" ht="16" customHeight="1" outlineLevel="2" spans="1:10">
      <c r="A515" s="18">
        <v>10</v>
      </c>
      <c r="B515" s="18">
        <v>37</v>
      </c>
      <c r="C515" s="19" t="s">
        <v>1251</v>
      </c>
      <c r="D515" s="19" t="s">
        <v>1250</v>
      </c>
      <c r="E515" s="19" t="s">
        <v>65</v>
      </c>
      <c r="F515" s="8" t="s">
        <v>67</v>
      </c>
      <c r="G515" s="8" t="s">
        <v>69</v>
      </c>
      <c r="H515" s="19" t="s">
        <v>147</v>
      </c>
      <c r="I515" s="19" t="s">
        <v>1184</v>
      </c>
      <c r="J515" s="19" t="s">
        <v>310</v>
      </c>
    </row>
    <row r="516" ht="16" customHeight="1" outlineLevel="2" spans="1:10">
      <c r="A516" s="18">
        <v>10</v>
      </c>
      <c r="B516" s="18">
        <v>38</v>
      </c>
      <c r="C516" s="19" t="s">
        <v>1332</v>
      </c>
      <c r="D516" s="19" t="s">
        <v>1331</v>
      </c>
      <c r="E516" s="19" t="s">
        <v>65</v>
      </c>
      <c r="F516" s="8" t="s">
        <v>67</v>
      </c>
      <c r="G516" s="8" t="s">
        <v>69</v>
      </c>
      <c r="H516" s="19" t="s">
        <v>148</v>
      </c>
      <c r="I516" s="19" t="s">
        <v>1268</v>
      </c>
      <c r="J516" s="19" t="s">
        <v>304</v>
      </c>
    </row>
    <row r="517" ht="16" customHeight="1" outlineLevel="2" spans="1:10">
      <c r="A517" s="18">
        <v>10</v>
      </c>
      <c r="B517" s="18">
        <v>39</v>
      </c>
      <c r="C517" s="19" t="s">
        <v>1190</v>
      </c>
      <c r="D517" s="19" t="s">
        <v>1189</v>
      </c>
      <c r="E517" s="19" t="s">
        <v>65</v>
      </c>
      <c r="F517" s="8" t="s">
        <v>67</v>
      </c>
      <c r="G517" s="8" t="s">
        <v>69</v>
      </c>
      <c r="H517" s="7" t="s">
        <v>147</v>
      </c>
      <c r="I517" s="19" t="s">
        <v>1184</v>
      </c>
      <c r="J517" s="7" t="s">
        <v>217</v>
      </c>
    </row>
    <row r="518" ht="16" customHeight="1" outlineLevel="2" spans="1:10">
      <c r="A518" s="18">
        <v>10</v>
      </c>
      <c r="B518" s="18">
        <v>40</v>
      </c>
      <c r="C518" s="19" t="s">
        <v>1326</v>
      </c>
      <c r="D518" s="19" t="s">
        <v>1325</v>
      </c>
      <c r="E518" s="19" t="s">
        <v>65</v>
      </c>
      <c r="F518" s="8" t="s">
        <v>67</v>
      </c>
      <c r="G518" s="8" t="s">
        <v>69</v>
      </c>
      <c r="H518" s="19" t="s">
        <v>148</v>
      </c>
      <c r="I518" s="19" t="s">
        <v>1268</v>
      </c>
      <c r="J518" s="19" t="s">
        <v>295</v>
      </c>
    </row>
    <row r="519" ht="16" customHeight="1" outlineLevel="2" spans="1:10">
      <c r="A519" s="18">
        <v>10</v>
      </c>
      <c r="B519" s="18">
        <v>42</v>
      </c>
      <c r="C519" s="19" t="s">
        <v>1270</v>
      </c>
      <c r="D519" s="19" t="s">
        <v>1269</v>
      </c>
      <c r="E519" s="19" t="s">
        <v>65</v>
      </c>
      <c r="F519" s="8" t="s">
        <v>67</v>
      </c>
      <c r="G519" s="8" t="s">
        <v>69</v>
      </c>
      <c r="H519" s="19" t="s">
        <v>148</v>
      </c>
      <c r="I519" s="19" t="s">
        <v>1268</v>
      </c>
      <c r="J519" s="19" t="s">
        <v>210</v>
      </c>
    </row>
    <row r="520" ht="16" customHeight="1" outlineLevel="2" spans="1:10">
      <c r="A520" s="18">
        <v>10</v>
      </c>
      <c r="B520" s="18">
        <v>43</v>
      </c>
      <c r="C520" s="19" t="s">
        <v>1304</v>
      </c>
      <c r="D520" s="19" t="s">
        <v>1303</v>
      </c>
      <c r="E520" s="19" t="s">
        <v>65</v>
      </c>
      <c r="F520" s="8" t="s">
        <v>67</v>
      </c>
      <c r="G520" s="8" t="s">
        <v>69</v>
      </c>
      <c r="H520" s="19" t="s">
        <v>148</v>
      </c>
      <c r="I520" s="19" t="s">
        <v>1268</v>
      </c>
      <c r="J520" s="19" t="s">
        <v>262</v>
      </c>
    </row>
    <row r="521" ht="16" customHeight="1" outlineLevel="2" spans="1:10">
      <c r="A521" s="18">
        <v>10</v>
      </c>
      <c r="B521" s="18">
        <v>44</v>
      </c>
      <c r="C521" s="19" t="s">
        <v>1350</v>
      </c>
      <c r="D521" s="19" t="s">
        <v>1349</v>
      </c>
      <c r="E521" s="19" t="s">
        <v>65</v>
      </c>
      <c r="F521" s="8" t="s">
        <v>67</v>
      </c>
      <c r="G521" s="8" t="s">
        <v>69</v>
      </c>
      <c r="H521" s="19" t="s">
        <v>148</v>
      </c>
      <c r="I521" s="19" t="s">
        <v>1268</v>
      </c>
      <c r="J521" s="19" t="s">
        <v>331</v>
      </c>
    </row>
    <row r="522" ht="16" customHeight="1" outlineLevel="2" spans="1:10">
      <c r="A522" s="18">
        <v>10</v>
      </c>
      <c r="B522" s="18">
        <v>45</v>
      </c>
      <c r="C522" s="19" t="s">
        <v>1316</v>
      </c>
      <c r="D522" s="19" t="s">
        <v>1315</v>
      </c>
      <c r="E522" s="19" t="s">
        <v>65</v>
      </c>
      <c r="F522" s="8" t="s">
        <v>67</v>
      </c>
      <c r="G522" s="8" t="s">
        <v>69</v>
      </c>
      <c r="H522" s="7" t="s">
        <v>148</v>
      </c>
      <c r="I522" s="19" t="s">
        <v>1268</v>
      </c>
      <c r="J522" s="7" t="s">
        <v>280</v>
      </c>
    </row>
    <row r="523" ht="16" customHeight="1" outlineLevel="2" spans="1:10">
      <c r="A523" s="18">
        <v>10</v>
      </c>
      <c r="B523" s="18">
        <v>46</v>
      </c>
      <c r="C523" s="19" t="s">
        <v>1229</v>
      </c>
      <c r="D523" s="19" t="s">
        <v>1228</v>
      </c>
      <c r="E523" s="19" t="s">
        <v>65</v>
      </c>
      <c r="F523" s="8" t="s">
        <v>67</v>
      </c>
      <c r="G523" s="8" t="s">
        <v>69</v>
      </c>
      <c r="H523" s="19" t="s">
        <v>147</v>
      </c>
      <c r="I523" s="19" t="s">
        <v>1184</v>
      </c>
      <c r="J523" s="19" t="s">
        <v>277</v>
      </c>
    </row>
    <row r="524" ht="16" customHeight="1" outlineLevel="2" spans="1:10">
      <c r="A524" s="18">
        <v>10</v>
      </c>
      <c r="B524" s="18">
        <v>47</v>
      </c>
      <c r="C524" s="19" t="s">
        <v>1186</v>
      </c>
      <c r="D524" s="19" t="s">
        <v>1185</v>
      </c>
      <c r="E524" s="19" t="s">
        <v>65</v>
      </c>
      <c r="F524" s="8" t="s">
        <v>67</v>
      </c>
      <c r="G524" s="8" t="s">
        <v>69</v>
      </c>
      <c r="H524" s="19" t="s">
        <v>147</v>
      </c>
      <c r="I524" s="19" t="s">
        <v>1184</v>
      </c>
      <c r="J524" s="19" t="s">
        <v>210</v>
      </c>
    </row>
    <row r="525" ht="16" customHeight="1" outlineLevel="2" spans="1:10">
      <c r="A525" s="18">
        <v>10</v>
      </c>
      <c r="B525" s="18">
        <v>48</v>
      </c>
      <c r="C525" s="19" t="s">
        <v>1217</v>
      </c>
      <c r="D525" s="19" t="s">
        <v>1216</v>
      </c>
      <c r="E525" s="19" t="s">
        <v>65</v>
      </c>
      <c r="F525" s="8" t="s">
        <v>67</v>
      </c>
      <c r="G525" s="8" t="s">
        <v>69</v>
      </c>
      <c r="H525" s="7" t="s">
        <v>147</v>
      </c>
      <c r="I525" s="19" t="s">
        <v>1184</v>
      </c>
      <c r="J525" s="7" t="s">
        <v>259</v>
      </c>
    </row>
    <row r="526" ht="16" customHeight="1" outlineLevel="2" spans="1:10">
      <c r="A526" s="18">
        <v>10</v>
      </c>
      <c r="B526" s="18">
        <v>49</v>
      </c>
      <c r="C526" s="19" t="s">
        <v>1267</v>
      </c>
      <c r="D526" s="19" t="s">
        <v>1266</v>
      </c>
      <c r="E526" s="19" t="s">
        <v>65</v>
      </c>
      <c r="F526" s="8" t="s">
        <v>67</v>
      </c>
      <c r="G526" s="8" t="s">
        <v>69</v>
      </c>
      <c r="H526" s="19" t="s">
        <v>148</v>
      </c>
      <c r="I526" s="19" t="s">
        <v>1268</v>
      </c>
      <c r="J526" s="19" t="s">
        <v>207</v>
      </c>
    </row>
    <row r="527" ht="16" customHeight="1" outlineLevel="2" spans="1:10">
      <c r="A527" s="18">
        <v>10</v>
      </c>
      <c r="B527" s="18">
        <v>50</v>
      </c>
      <c r="C527" s="19" t="s">
        <v>1280</v>
      </c>
      <c r="D527" s="19" t="s">
        <v>1279</v>
      </c>
      <c r="E527" s="19" t="s">
        <v>65</v>
      </c>
      <c r="F527" s="8" t="s">
        <v>67</v>
      </c>
      <c r="G527" s="8" t="s">
        <v>69</v>
      </c>
      <c r="H527" s="19" t="s">
        <v>148</v>
      </c>
      <c r="I527" s="19" t="s">
        <v>1268</v>
      </c>
      <c r="J527" s="19" t="s">
        <v>226</v>
      </c>
    </row>
    <row r="528" ht="16" customHeight="1" outlineLevel="2" spans="1:10">
      <c r="A528" s="18">
        <v>10</v>
      </c>
      <c r="B528" s="18">
        <v>51</v>
      </c>
      <c r="C528" s="19" t="s">
        <v>1261</v>
      </c>
      <c r="D528" s="19" t="s">
        <v>1260</v>
      </c>
      <c r="E528" s="19" t="s">
        <v>65</v>
      </c>
      <c r="F528" s="8" t="s">
        <v>67</v>
      </c>
      <c r="G528" s="8" t="s">
        <v>69</v>
      </c>
      <c r="H528" s="19" t="s">
        <v>147</v>
      </c>
      <c r="I528" s="19" t="s">
        <v>1184</v>
      </c>
      <c r="J528" s="19" t="s">
        <v>325</v>
      </c>
    </row>
    <row r="529" ht="16" customHeight="1" outlineLevel="2" spans="1:10">
      <c r="A529" s="18">
        <v>10</v>
      </c>
      <c r="B529" s="18">
        <v>52</v>
      </c>
      <c r="C529" s="19" t="s">
        <v>1223</v>
      </c>
      <c r="D529" s="19" t="s">
        <v>1222</v>
      </c>
      <c r="E529" s="19" t="s">
        <v>65</v>
      </c>
      <c r="F529" s="8" t="s">
        <v>67</v>
      </c>
      <c r="G529" s="8" t="s">
        <v>69</v>
      </c>
      <c r="H529" s="7" t="s">
        <v>147</v>
      </c>
      <c r="I529" s="19" t="s">
        <v>1184</v>
      </c>
      <c r="J529" s="7" t="s">
        <v>268</v>
      </c>
    </row>
    <row r="530" ht="16" customHeight="1" outlineLevel="1" spans="1:10">
      <c r="A530" s="21" t="s">
        <v>1921</v>
      </c>
      <c r="B530" s="18"/>
      <c r="C530" s="19">
        <f>SUBTOTAL(3,C479:C529)</f>
        <v>51</v>
      </c>
      <c r="D530" s="19"/>
      <c r="E530" s="19"/>
      <c r="F530" s="8"/>
      <c r="G530" s="8"/>
      <c r="H530" s="7"/>
      <c r="I530" s="19"/>
      <c r="J530" s="7"/>
    </row>
    <row r="531" ht="16" customHeight="1" outlineLevel="2" spans="1:10">
      <c r="A531" s="18">
        <v>11</v>
      </c>
      <c r="B531" s="18">
        <v>1</v>
      </c>
      <c r="C531" s="19" t="s">
        <v>1808</v>
      </c>
      <c r="D531" s="19" t="s">
        <v>1807</v>
      </c>
      <c r="E531" s="19" t="s">
        <v>65</v>
      </c>
      <c r="F531" s="8" t="s">
        <v>67</v>
      </c>
      <c r="G531" s="8" t="s">
        <v>69</v>
      </c>
      <c r="H531" s="7" t="s">
        <v>155</v>
      </c>
      <c r="I531" s="19" t="s">
        <v>1779</v>
      </c>
      <c r="J531" s="7" t="s">
        <v>250</v>
      </c>
    </row>
    <row r="532" ht="16" customHeight="1" outlineLevel="2" spans="1:10">
      <c r="A532" s="18">
        <v>11</v>
      </c>
      <c r="B532" s="18">
        <v>2</v>
      </c>
      <c r="C532" s="19" t="s">
        <v>1798</v>
      </c>
      <c r="D532" s="19" t="s">
        <v>1797</v>
      </c>
      <c r="E532" s="19" t="s">
        <v>65</v>
      </c>
      <c r="F532" s="8" t="s">
        <v>67</v>
      </c>
      <c r="G532" s="8" t="s">
        <v>69</v>
      </c>
      <c r="H532" s="19" t="s">
        <v>155</v>
      </c>
      <c r="I532" s="19" t="s">
        <v>1779</v>
      </c>
      <c r="J532" s="19" t="s">
        <v>235</v>
      </c>
    </row>
    <row r="533" ht="16" customHeight="1" outlineLevel="2" spans="1:10">
      <c r="A533" s="18">
        <v>11</v>
      </c>
      <c r="B533" s="18">
        <v>4</v>
      </c>
      <c r="C533" s="19" t="s">
        <v>1800</v>
      </c>
      <c r="D533" s="19" t="s">
        <v>1799</v>
      </c>
      <c r="E533" s="19" t="s">
        <v>65</v>
      </c>
      <c r="F533" s="8" t="s">
        <v>67</v>
      </c>
      <c r="G533" s="8" t="s">
        <v>69</v>
      </c>
      <c r="H533" s="7" t="s">
        <v>155</v>
      </c>
      <c r="I533" s="19" t="s">
        <v>1779</v>
      </c>
      <c r="J533" s="7" t="s">
        <v>238</v>
      </c>
    </row>
    <row r="534" ht="16" customHeight="1" outlineLevel="2" spans="1:10">
      <c r="A534" s="18">
        <v>11</v>
      </c>
      <c r="B534" s="18">
        <v>5</v>
      </c>
      <c r="C534" s="19" t="s">
        <v>1274</v>
      </c>
      <c r="D534" s="19" t="s">
        <v>1273</v>
      </c>
      <c r="E534" s="19" t="s">
        <v>65</v>
      </c>
      <c r="F534" s="8" t="s">
        <v>67</v>
      </c>
      <c r="G534" s="8" t="s">
        <v>69</v>
      </c>
      <c r="H534" s="19" t="s">
        <v>148</v>
      </c>
      <c r="I534" s="19" t="s">
        <v>1268</v>
      </c>
      <c r="J534" s="19" t="s">
        <v>217</v>
      </c>
    </row>
    <row r="535" ht="16" customHeight="1" outlineLevel="2" spans="1:10">
      <c r="A535" s="18">
        <v>11</v>
      </c>
      <c r="B535" s="18">
        <v>6</v>
      </c>
      <c r="C535" s="19" t="s">
        <v>1247</v>
      </c>
      <c r="D535" s="19" t="s">
        <v>1246</v>
      </c>
      <c r="E535" s="19" t="s">
        <v>65</v>
      </c>
      <c r="F535" s="8" t="s">
        <v>67</v>
      </c>
      <c r="G535" s="8" t="s">
        <v>69</v>
      </c>
      <c r="H535" s="7" t="s">
        <v>147</v>
      </c>
      <c r="I535" s="19" t="s">
        <v>1184</v>
      </c>
      <c r="J535" s="19" t="s">
        <v>304</v>
      </c>
    </row>
    <row r="536" ht="16" customHeight="1" outlineLevel="2" spans="1:10">
      <c r="A536" s="18">
        <v>11</v>
      </c>
      <c r="B536" s="18">
        <v>7</v>
      </c>
      <c r="C536" s="19" t="s">
        <v>1782</v>
      </c>
      <c r="D536" s="19" t="s">
        <v>1781</v>
      </c>
      <c r="E536" s="19" t="s">
        <v>65</v>
      </c>
      <c r="F536" s="8" t="s">
        <v>67</v>
      </c>
      <c r="G536" s="8" t="s">
        <v>69</v>
      </c>
      <c r="H536" s="19" t="s">
        <v>155</v>
      </c>
      <c r="I536" s="19" t="s">
        <v>1779</v>
      </c>
      <c r="J536" s="19" t="s">
        <v>210</v>
      </c>
    </row>
    <row r="537" ht="16" customHeight="1" outlineLevel="2" spans="1:10">
      <c r="A537" s="18">
        <v>11</v>
      </c>
      <c r="B537" s="18">
        <v>8</v>
      </c>
      <c r="C537" s="19" t="s">
        <v>1330</v>
      </c>
      <c r="D537" s="19" t="s">
        <v>1329</v>
      </c>
      <c r="E537" s="19" t="s">
        <v>65</v>
      </c>
      <c r="F537" s="8" t="s">
        <v>67</v>
      </c>
      <c r="G537" s="8" t="s">
        <v>69</v>
      </c>
      <c r="H537" s="7" t="s">
        <v>148</v>
      </c>
      <c r="I537" s="19" t="s">
        <v>1268</v>
      </c>
      <c r="J537" s="19" t="s">
        <v>301</v>
      </c>
    </row>
    <row r="538" ht="16" customHeight="1" outlineLevel="2" spans="1:10">
      <c r="A538" s="18">
        <v>11</v>
      </c>
      <c r="B538" s="18">
        <v>9</v>
      </c>
      <c r="C538" s="19" t="s">
        <v>1790</v>
      </c>
      <c r="D538" s="19" t="s">
        <v>1789</v>
      </c>
      <c r="E538" s="19" t="s">
        <v>65</v>
      </c>
      <c r="F538" s="8" t="s">
        <v>67</v>
      </c>
      <c r="G538" s="8" t="s">
        <v>69</v>
      </c>
      <c r="H538" s="7" t="s">
        <v>155</v>
      </c>
      <c r="I538" s="19" t="s">
        <v>1779</v>
      </c>
      <c r="J538" s="19" t="s">
        <v>223</v>
      </c>
    </row>
    <row r="539" ht="16" customHeight="1" outlineLevel="2" spans="1:10">
      <c r="A539" s="18">
        <v>11</v>
      </c>
      <c r="B539" s="18">
        <v>10</v>
      </c>
      <c r="C539" s="19" t="s">
        <v>1235</v>
      </c>
      <c r="D539" s="19" t="s">
        <v>1234</v>
      </c>
      <c r="E539" s="19" t="s">
        <v>65</v>
      </c>
      <c r="F539" s="8" t="s">
        <v>67</v>
      </c>
      <c r="G539" s="8" t="s">
        <v>69</v>
      </c>
      <c r="H539" s="7" t="s">
        <v>147</v>
      </c>
      <c r="I539" s="19" t="s">
        <v>1184</v>
      </c>
      <c r="J539" s="7" t="s">
        <v>286</v>
      </c>
    </row>
    <row r="540" ht="16" customHeight="1" outlineLevel="2" spans="1:10">
      <c r="A540" s="18">
        <v>11</v>
      </c>
      <c r="B540" s="18">
        <v>11</v>
      </c>
      <c r="C540" s="19" t="s">
        <v>1188</v>
      </c>
      <c r="D540" s="19" t="s">
        <v>1187</v>
      </c>
      <c r="E540" s="19" t="s">
        <v>65</v>
      </c>
      <c r="F540" s="8" t="s">
        <v>67</v>
      </c>
      <c r="G540" s="8" t="s">
        <v>69</v>
      </c>
      <c r="H540" s="19" t="s">
        <v>147</v>
      </c>
      <c r="I540" s="19" t="s">
        <v>1184</v>
      </c>
      <c r="J540" s="19" t="s">
        <v>214</v>
      </c>
    </row>
    <row r="541" ht="16" customHeight="1" outlineLevel="2" spans="1:10">
      <c r="A541" s="7">
        <v>11</v>
      </c>
      <c r="B541" s="7">
        <v>12</v>
      </c>
      <c r="C541" s="7" t="s">
        <v>1849</v>
      </c>
      <c r="D541" s="7" t="s">
        <v>1848</v>
      </c>
      <c r="E541" s="7" t="s">
        <v>65</v>
      </c>
      <c r="F541" s="7" t="s">
        <v>68</v>
      </c>
      <c r="G541" s="7" t="s">
        <v>69</v>
      </c>
      <c r="H541" s="7" t="s">
        <v>155</v>
      </c>
      <c r="I541" s="7" t="s">
        <v>1779</v>
      </c>
      <c r="J541" s="7" t="s">
        <v>310</v>
      </c>
    </row>
    <row r="542" ht="16" customHeight="1" outlineLevel="2" spans="1:10">
      <c r="A542" s="18">
        <v>11</v>
      </c>
      <c r="B542" s="18">
        <v>13</v>
      </c>
      <c r="C542" s="19" t="s">
        <v>1182</v>
      </c>
      <c r="D542" s="19" t="s">
        <v>1181</v>
      </c>
      <c r="E542" s="19" t="s">
        <v>65</v>
      </c>
      <c r="F542" s="8" t="s">
        <v>67</v>
      </c>
      <c r="G542" s="8" t="s">
        <v>69</v>
      </c>
      <c r="H542" s="7" t="s">
        <v>147</v>
      </c>
      <c r="I542" s="19" t="s">
        <v>1184</v>
      </c>
      <c r="J542" s="7" t="s">
        <v>207</v>
      </c>
    </row>
    <row r="543" ht="16" customHeight="1" outlineLevel="2" spans="1:10">
      <c r="A543" s="18">
        <v>11</v>
      </c>
      <c r="B543" s="18">
        <v>14</v>
      </c>
      <c r="C543" s="19" t="s">
        <v>1778</v>
      </c>
      <c r="D543" s="19" t="s">
        <v>1777</v>
      </c>
      <c r="E543" s="19" t="s">
        <v>65</v>
      </c>
      <c r="F543" s="8" t="s">
        <v>67</v>
      </c>
      <c r="G543" s="8" t="s">
        <v>69</v>
      </c>
      <c r="H543" s="19" t="s">
        <v>155</v>
      </c>
      <c r="I543" s="19" t="s">
        <v>1779</v>
      </c>
      <c r="J543" s="19" t="s">
        <v>207</v>
      </c>
    </row>
    <row r="544" ht="16" customHeight="1" outlineLevel="2" spans="1:10">
      <c r="A544" s="18">
        <v>11</v>
      </c>
      <c r="B544" s="18">
        <v>15</v>
      </c>
      <c r="C544" s="19" t="s">
        <v>1278</v>
      </c>
      <c r="D544" s="19" t="s">
        <v>1277</v>
      </c>
      <c r="E544" s="19" t="s">
        <v>65</v>
      </c>
      <c r="F544" s="8" t="s">
        <v>67</v>
      </c>
      <c r="G544" s="8" t="s">
        <v>69</v>
      </c>
      <c r="H544" s="19" t="s">
        <v>148</v>
      </c>
      <c r="I544" s="19" t="s">
        <v>1268</v>
      </c>
      <c r="J544" s="19" t="s">
        <v>223</v>
      </c>
    </row>
    <row r="545" ht="16" customHeight="1" outlineLevel="2" spans="1:10">
      <c r="A545" s="18">
        <v>11</v>
      </c>
      <c r="B545" s="18">
        <v>16</v>
      </c>
      <c r="C545" s="19" t="s">
        <v>1340</v>
      </c>
      <c r="D545" s="19" t="s">
        <v>1339</v>
      </c>
      <c r="E545" s="19" t="s">
        <v>65</v>
      </c>
      <c r="F545" s="8" t="s">
        <v>67</v>
      </c>
      <c r="G545" s="8" t="s">
        <v>69</v>
      </c>
      <c r="H545" s="19" t="s">
        <v>148</v>
      </c>
      <c r="I545" s="19" t="s">
        <v>1268</v>
      </c>
      <c r="J545" s="19" t="s">
        <v>316</v>
      </c>
    </row>
    <row r="546" ht="16" customHeight="1" outlineLevel="2" spans="1:10">
      <c r="A546" s="18">
        <v>11</v>
      </c>
      <c r="B546" s="18">
        <v>17</v>
      </c>
      <c r="C546" s="19" t="s">
        <v>566</v>
      </c>
      <c r="D546" s="19" t="s">
        <v>1199</v>
      </c>
      <c r="E546" s="19" t="s">
        <v>65</v>
      </c>
      <c r="F546" s="8" t="s">
        <v>67</v>
      </c>
      <c r="G546" s="8" t="s">
        <v>69</v>
      </c>
      <c r="H546" s="19" t="s">
        <v>147</v>
      </c>
      <c r="I546" s="19" t="s">
        <v>1184</v>
      </c>
      <c r="J546" s="19" t="s">
        <v>232</v>
      </c>
    </row>
    <row r="547" ht="16" customHeight="1" outlineLevel="2" spans="1:10">
      <c r="A547" s="18">
        <v>11</v>
      </c>
      <c r="B547" s="18">
        <v>18</v>
      </c>
      <c r="C547" s="19" t="s">
        <v>1259</v>
      </c>
      <c r="D547" s="19" t="s">
        <v>1258</v>
      </c>
      <c r="E547" s="19" t="s">
        <v>65</v>
      </c>
      <c r="F547" s="8" t="s">
        <v>67</v>
      </c>
      <c r="G547" s="8" t="s">
        <v>69</v>
      </c>
      <c r="H547" s="19" t="s">
        <v>147</v>
      </c>
      <c r="I547" s="19" t="s">
        <v>1184</v>
      </c>
      <c r="J547" s="19" t="s">
        <v>322</v>
      </c>
    </row>
    <row r="548" ht="16" customHeight="1" outlineLevel="2" spans="1:10">
      <c r="A548" s="18">
        <v>11</v>
      </c>
      <c r="B548" s="18">
        <v>19</v>
      </c>
      <c r="C548" s="19" t="s">
        <v>1348</v>
      </c>
      <c r="D548" s="19" t="s">
        <v>1347</v>
      </c>
      <c r="E548" s="19" t="s">
        <v>65</v>
      </c>
      <c r="F548" s="8" t="s">
        <v>67</v>
      </c>
      <c r="G548" s="8" t="s">
        <v>69</v>
      </c>
      <c r="H548" s="19" t="s">
        <v>148</v>
      </c>
      <c r="I548" s="19" t="s">
        <v>1268</v>
      </c>
      <c r="J548" s="19" t="s">
        <v>328</v>
      </c>
    </row>
    <row r="549" ht="16" customHeight="1" outlineLevel="2" spans="1:10">
      <c r="A549" s="18">
        <v>11</v>
      </c>
      <c r="B549" s="18">
        <v>20</v>
      </c>
      <c r="C549" s="19" t="s">
        <v>1253</v>
      </c>
      <c r="D549" s="19" t="s">
        <v>1252</v>
      </c>
      <c r="E549" s="19" t="s">
        <v>65</v>
      </c>
      <c r="F549" s="8" t="s">
        <v>67</v>
      </c>
      <c r="G549" s="8" t="s">
        <v>69</v>
      </c>
      <c r="H549" s="19" t="s">
        <v>147</v>
      </c>
      <c r="I549" s="19" t="s">
        <v>1184</v>
      </c>
      <c r="J549" s="19" t="s">
        <v>313</v>
      </c>
    </row>
    <row r="550" ht="16" customHeight="1" outlineLevel="2" spans="1:10">
      <c r="A550" s="18">
        <v>11</v>
      </c>
      <c r="B550" s="18">
        <v>21</v>
      </c>
      <c r="C550" s="19" t="s">
        <v>1804</v>
      </c>
      <c r="D550" s="19" t="s">
        <v>1803</v>
      </c>
      <c r="E550" s="19" t="s">
        <v>65</v>
      </c>
      <c r="F550" s="8" t="s">
        <v>67</v>
      </c>
      <c r="G550" s="8" t="s">
        <v>69</v>
      </c>
      <c r="H550" s="7" t="s">
        <v>155</v>
      </c>
      <c r="I550" s="19" t="s">
        <v>1779</v>
      </c>
      <c r="J550" s="19" t="s">
        <v>244</v>
      </c>
    </row>
    <row r="551" ht="16" customHeight="1" outlineLevel="2" spans="1:10">
      <c r="A551" s="18">
        <v>11</v>
      </c>
      <c r="B551" s="18">
        <v>22</v>
      </c>
      <c r="C551" s="19" t="s">
        <v>1237</v>
      </c>
      <c r="D551" s="19" t="s">
        <v>1236</v>
      </c>
      <c r="E551" s="19" t="s">
        <v>65</v>
      </c>
      <c r="F551" s="8" t="s">
        <v>67</v>
      </c>
      <c r="G551" s="8" t="s">
        <v>69</v>
      </c>
      <c r="H551" s="19" t="s">
        <v>147</v>
      </c>
      <c r="I551" s="19" t="s">
        <v>1184</v>
      </c>
      <c r="J551" s="19" t="s">
        <v>289</v>
      </c>
    </row>
    <row r="552" ht="16" customHeight="1" outlineLevel="2" spans="1:10">
      <c r="A552" s="18">
        <v>11</v>
      </c>
      <c r="B552" s="18">
        <v>23</v>
      </c>
      <c r="C552" s="19" t="s">
        <v>1334</v>
      </c>
      <c r="D552" s="19" t="s">
        <v>1333</v>
      </c>
      <c r="E552" s="19" t="s">
        <v>65</v>
      </c>
      <c r="F552" s="8" t="s">
        <v>67</v>
      </c>
      <c r="G552" s="8" t="s">
        <v>69</v>
      </c>
      <c r="H552" s="19" t="s">
        <v>148</v>
      </c>
      <c r="I552" s="19" t="s">
        <v>1268</v>
      </c>
      <c r="J552" s="19" t="s">
        <v>307</v>
      </c>
    </row>
    <row r="553" ht="16" customHeight="1" outlineLevel="2" spans="1:10">
      <c r="A553" s="18">
        <v>11</v>
      </c>
      <c r="B553" s="18">
        <v>24</v>
      </c>
      <c r="C553" s="19" t="s">
        <v>1792</v>
      </c>
      <c r="D553" s="19" t="s">
        <v>1791</v>
      </c>
      <c r="E553" s="19" t="s">
        <v>65</v>
      </c>
      <c r="F553" s="8" t="s">
        <v>67</v>
      </c>
      <c r="G553" s="8" t="s">
        <v>69</v>
      </c>
      <c r="H553" s="19" t="s">
        <v>155</v>
      </c>
      <c r="I553" s="19" t="s">
        <v>1779</v>
      </c>
      <c r="J553" s="19" t="s">
        <v>226</v>
      </c>
    </row>
    <row r="554" ht="16" customHeight="1" outlineLevel="2" spans="1:10">
      <c r="A554" s="18">
        <v>11</v>
      </c>
      <c r="B554" s="18">
        <v>25</v>
      </c>
      <c r="C554" s="19" t="s">
        <v>1213</v>
      </c>
      <c r="D554" s="19" t="s">
        <v>1212</v>
      </c>
      <c r="E554" s="19" t="s">
        <v>65</v>
      </c>
      <c r="F554" s="8" t="s">
        <v>67</v>
      </c>
      <c r="G554" s="8" t="s">
        <v>69</v>
      </c>
      <c r="H554" s="7" t="s">
        <v>147</v>
      </c>
      <c r="I554" s="19" t="s">
        <v>1184</v>
      </c>
      <c r="J554" s="7" t="s">
        <v>253</v>
      </c>
    </row>
    <row r="555" ht="16" customHeight="1" outlineLevel="2" spans="1:10">
      <c r="A555" s="18">
        <v>11</v>
      </c>
      <c r="B555" s="18">
        <v>26</v>
      </c>
      <c r="C555" s="19" t="s">
        <v>1784</v>
      </c>
      <c r="D555" s="19" t="s">
        <v>1783</v>
      </c>
      <c r="E555" s="19" t="s">
        <v>65</v>
      </c>
      <c r="F555" s="8" t="s">
        <v>67</v>
      </c>
      <c r="G555" s="8" t="s">
        <v>69</v>
      </c>
      <c r="H555" s="7" t="s">
        <v>155</v>
      </c>
      <c r="I555" s="19" t="s">
        <v>1779</v>
      </c>
      <c r="J555" s="7" t="s">
        <v>214</v>
      </c>
    </row>
    <row r="556" ht="16" customHeight="1" outlineLevel="2" spans="1:10">
      <c r="A556" s="18">
        <v>11</v>
      </c>
      <c r="B556" s="18">
        <v>27</v>
      </c>
      <c r="C556" s="19" t="s">
        <v>1294</v>
      </c>
      <c r="D556" s="19" t="s">
        <v>1293</v>
      </c>
      <c r="E556" s="19" t="s">
        <v>65</v>
      </c>
      <c r="F556" s="8" t="s">
        <v>67</v>
      </c>
      <c r="G556" s="8" t="s">
        <v>69</v>
      </c>
      <c r="H556" s="19" t="s">
        <v>148</v>
      </c>
      <c r="I556" s="19" t="s">
        <v>1268</v>
      </c>
      <c r="J556" s="19" t="s">
        <v>247</v>
      </c>
    </row>
    <row r="557" ht="16" customHeight="1" outlineLevel="2" spans="1:10">
      <c r="A557" s="18">
        <v>11</v>
      </c>
      <c r="B557" s="18">
        <v>28</v>
      </c>
      <c r="C557" s="19" t="s">
        <v>1296</v>
      </c>
      <c r="D557" s="19" t="s">
        <v>1295</v>
      </c>
      <c r="E557" s="19" t="s">
        <v>65</v>
      </c>
      <c r="F557" s="8" t="s">
        <v>67</v>
      </c>
      <c r="G557" s="8" t="s">
        <v>69</v>
      </c>
      <c r="H557" s="19" t="s">
        <v>148</v>
      </c>
      <c r="I557" s="19" t="s">
        <v>1268</v>
      </c>
      <c r="J557" s="19" t="s">
        <v>250</v>
      </c>
    </row>
    <row r="558" ht="16" customHeight="1" outlineLevel="2" spans="1:10">
      <c r="A558" s="18">
        <v>11</v>
      </c>
      <c r="B558" s="18">
        <v>29</v>
      </c>
      <c r="C558" s="19" t="s">
        <v>1207</v>
      </c>
      <c r="D558" s="19" t="s">
        <v>1206</v>
      </c>
      <c r="E558" s="19" t="s">
        <v>65</v>
      </c>
      <c r="F558" s="8" t="s">
        <v>67</v>
      </c>
      <c r="G558" s="8" t="s">
        <v>69</v>
      </c>
      <c r="H558" s="19" t="s">
        <v>147</v>
      </c>
      <c r="I558" s="19" t="s">
        <v>1184</v>
      </c>
      <c r="J558" s="19" t="s">
        <v>244</v>
      </c>
    </row>
    <row r="559" ht="16" customHeight="1" outlineLevel="2" spans="1:10">
      <c r="A559" s="18">
        <v>11</v>
      </c>
      <c r="B559" s="18">
        <v>30</v>
      </c>
      <c r="C559" s="19" t="s">
        <v>1306</v>
      </c>
      <c r="D559" s="19" t="s">
        <v>1305</v>
      </c>
      <c r="E559" s="19" t="s">
        <v>65</v>
      </c>
      <c r="F559" s="8" t="s">
        <v>67</v>
      </c>
      <c r="G559" s="8" t="s">
        <v>69</v>
      </c>
      <c r="H559" s="19" t="s">
        <v>148</v>
      </c>
      <c r="I559" s="19" t="s">
        <v>1268</v>
      </c>
      <c r="J559" s="19" t="s">
        <v>265</v>
      </c>
    </row>
    <row r="560" ht="16" customHeight="1" outlineLevel="2" spans="1:10">
      <c r="A560" s="18">
        <v>11</v>
      </c>
      <c r="B560" s="18">
        <v>31</v>
      </c>
      <c r="C560" s="19" t="s">
        <v>1243</v>
      </c>
      <c r="D560" s="19" t="s">
        <v>1242</v>
      </c>
      <c r="E560" s="19" t="s">
        <v>65</v>
      </c>
      <c r="F560" s="8" t="s">
        <v>67</v>
      </c>
      <c r="G560" s="8" t="s">
        <v>69</v>
      </c>
      <c r="H560" s="19" t="s">
        <v>147</v>
      </c>
      <c r="I560" s="19" t="s">
        <v>1184</v>
      </c>
      <c r="J560" s="19" t="s">
        <v>298</v>
      </c>
    </row>
    <row r="561" ht="16" customHeight="1" outlineLevel="2" spans="1:10">
      <c r="A561" s="18">
        <v>11</v>
      </c>
      <c r="B561" s="18">
        <v>32</v>
      </c>
      <c r="C561" s="19" t="s">
        <v>1346</v>
      </c>
      <c r="D561" s="19" t="s">
        <v>1345</v>
      </c>
      <c r="E561" s="19" t="s">
        <v>65</v>
      </c>
      <c r="F561" s="8" t="s">
        <v>67</v>
      </c>
      <c r="G561" s="8" t="s">
        <v>69</v>
      </c>
      <c r="H561" s="7" t="s">
        <v>148</v>
      </c>
      <c r="I561" s="19" t="s">
        <v>1268</v>
      </c>
      <c r="J561" s="7" t="s">
        <v>325</v>
      </c>
    </row>
    <row r="562" ht="16" customHeight="1" outlineLevel="2" spans="1:10">
      <c r="A562" s="18">
        <v>11</v>
      </c>
      <c r="B562" s="18">
        <v>33</v>
      </c>
      <c r="C562" s="19" t="s">
        <v>1245</v>
      </c>
      <c r="D562" s="19" t="s">
        <v>1244</v>
      </c>
      <c r="E562" s="19" t="s">
        <v>65</v>
      </c>
      <c r="F562" s="8" t="s">
        <v>67</v>
      </c>
      <c r="G562" s="8" t="s">
        <v>69</v>
      </c>
      <c r="H562" s="7" t="s">
        <v>147</v>
      </c>
      <c r="I562" s="19" t="s">
        <v>1184</v>
      </c>
      <c r="J562" s="7" t="s">
        <v>301</v>
      </c>
    </row>
    <row r="563" ht="16" customHeight="1" outlineLevel="2" spans="1:10">
      <c r="A563" s="18">
        <v>11</v>
      </c>
      <c r="B563" s="18">
        <v>34</v>
      </c>
      <c r="C563" s="19" t="s">
        <v>1203</v>
      </c>
      <c r="D563" s="19" t="s">
        <v>1202</v>
      </c>
      <c r="E563" s="19" t="s">
        <v>65</v>
      </c>
      <c r="F563" s="8" t="s">
        <v>67</v>
      </c>
      <c r="G563" s="8" t="s">
        <v>69</v>
      </c>
      <c r="H563" s="19" t="s">
        <v>147</v>
      </c>
      <c r="I563" s="19" t="s">
        <v>1184</v>
      </c>
      <c r="J563" s="19" t="s">
        <v>238</v>
      </c>
    </row>
    <row r="564" ht="16" customHeight="1" outlineLevel="2" spans="1:10">
      <c r="A564" s="18">
        <v>11</v>
      </c>
      <c r="B564" s="18">
        <v>35</v>
      </c>
      <c r="C564" s="19" t="s">
        <v>1231</v>
      </c>
      <c r="D564" s="19" t="s">
        <v>1230</v>
      </c>
      <c r="E564" s="19" t="s">
        <v>65</v>
      </c>
      <c r="F564" s="8" t="s">
        <v>67</v>
      </c>
      <c r="G564" s="8" t="s">
        <v>69</v>
      </c>
      <c r="H564" s="19" t="s">
        <v>147</v>
      </c>
      <c r="I564" s="19" t="s">
        <v>1184</v>
      </c>
      <c r="J564" s="19" t="s">
        <v>280</v>
      </c>
    </row>
    <row r="565" ht="16" customHeight="1" outlineLevel="2" spans="1:10">
      <c r="A565" s="18">
        <v>11</v>
      </c>
      <c r="B565" s="18">
        <v>36</v>
      </c>
      <c r="C565" s="19" t="s">
        <v>1205</v>
      </c>
      <c r="D565" s="19" t="s">
        <v>1204</v>
      </c>
      <c r="E565" s="19" t="s">
        <v>65</v>
      </c>
      <c r="F565" s="8" t="s">
        <v>67</v>
      </c>
      <c r="G565" s="8" t="s">
        <v>69</v>
      </c>
      <c r="H565" s="7" t="s">
        <v>147</v>
      </c>
      <c r="I565" s="19" t="s">
        <v>1184</v>
      </c>
      <c r="J565" s="7" t="s">
        <v>241</v>
      </c>
    </row>
    <row r="566" ht="16" customHeight="1" outlineLevel="2" spans="1:10">
      <c r="A566" s="18">
        <v>11</v>
      </c>
      <c r="B566" s="18">
        <v>37</v>
      </c>
      <c r="C566" s="19" t="s">
        <v>1198</v>
      </c>
      <c r="D566" s="19" t="s">
        <v>1197</v>
      </c>
      <c r="E566" s="19" t="s">
        <v>65</v>
      </c>
      <c r="F566" s="8" t="s">
        <v>67</v>
      </c>
      <c r="G566" s="8" t="s">
        <v>69</v>
      </c>
      <c r="H566" s="19" t="s">
        <v>147</v>
      </c>
      <c r="I566" s="19" t="s">
        <v>1184</v>
      </c>
      <c r="J566" s="19" t="s">
        <v>229</v>
      </c>
    </row>
    <row r="567" ht="16" customHeight="1" outlineLevel="2" spans="1:10">
      <c r="A567" s="18">
        <v>11</v>
      </c>
      <c r="B567" s="18">
        <v>38</v>
      </c>
      <c r="C567" s="19" t="s">
        <v>1257</v>
      </c>
      <c r="D567" s="19" t="s">
        <v>1256</v>
      </c>
      <c r="E567" s="19" t="s">
        <v>65</v>
      </c>
      <c r="F567" s="8" t="s">
        <v>67</v>
      </c>
      <c r="G567" s="8" t="s">
        <v>69</v>
      </c>
      <c r="H567" s="19" t="s">
        <v>147</v>
      </c>
      <c r="I567" s="19" t="s">
        <v>1184</v>
      </c>
      <c r="J567" s="19" t="s">
        <v>319</v>
      </c>
    </row>
    <row r="568" ht="16" customHeight="1" outlineLevel="2" spans="1:10">
      <c r="A568" s="18">
        <v>11</v>
      </c>
      <c r="B568" s="18">
        <v>39</v>
      </c>
      <c r="C568" s="19" t="s">
        <v>1796</v>
      </c>
      <c r="D568" s="19" t="s">
        <v>1795</v>
      </c>
      <c r="E568" s="19" t="s">
        <v>65</v>
      </c>
      <c r="F568" s="8" t="s">
        <v>67</v>
      </c>
      <c r="G568" s="8" t="s">
        <v>69</v>
      </c>
      <c r="H568" s="19" t="s">
        <v>155</v>
      </c>
      <c r="I568" s="19" t="s">
        <v>1779</v>
      </c>
      <c r="J568" s="19" t="s">
        <v>232</v>
      </c>
    </row>
    <row r="569" ht="16" customHeight="1" outlineLevel="2" spans="1:10">
      <c r="A569" s="18">
        <v>11</v>
      </c>
      <c r="B569" s="18">
        <v>40</v>
      </c>
      <c r="C569" s="19" t="s">
        <v>1846</v>
      </c>
      <c r="D569" s="19" t="s">
        <v>1845</v>
      </c>
      <c r="E569" s="19" t="s">
        <v>65</v>
      </c>
      <c r="F569" s="8" t="s">
        <v>68</v>
      </c>
      <c r="G569" s="8" t="s">
        <v>69</v>
      </c>
      <c r="H569" s="7" t="s">
        <v>155</v>
      </c>
      <c r="I569" s="19" t="s">
        <v>1779</v>
      </c>
      <c r="J569" s="19" t="s">
        <v>307</v>
      </c>
    </row>
    <row r="570" ht="16" customHeight="1" outlineLevel="2" spans="1:10">
      <c r="A570" s="18">
        <v>11</v>
      </c>
      <c r="B570" s="18">
        <v>41</v>
      </c>
      <c r="C570" s="19" t="s">
        <v>1788</v>
      </c>
      <c r="D570" s="19" t="s">
        <v>1787</v>
      </c>
      <c r="E570" s="19" t="s">
        <v>65</v>
      </c>
      <c r="F570" s="8" t="s">
        <v>67</v>
      </c>
      <c r="G570" s="8" t="s">
        <v>69</v>
      </c>
      <c r="H570" s="7" t="s">
        <v>155</v>
      </c>
      <c r="I570" s="19" t="s">
        <v>1779</v>
      </c>
      <c r="J570" s="19" t="s">
        <v>220</v>
      </c>
    </row>
    <row r="571" ht="16" customHeight="1" outlineLevel="2" spans="1:10">
      <c r="A571" s="18">
        <v>11</v>
      </c>
      <c r="B571" s="18">
        <v>42</v>
      </c>
      <c r="C571" s="19" t="s">
        <v>1786</v>
      </c>
      <c r="D571" s="19" t="s">
        <v>1785</v>
      </c>
      <c r="E571" s="19" t="s">
        <v>65</v>
      </c>
      <c r="F571" s="8" t="s">
        <v>67</v>
      </c>
      <c r="G571" s="8" t="s">
        <v>69</v>
      </c>
      <c r="H571" s="7" t="s">
        <v>155</v>
      </c>
      <c r="I571" s="19" t="s">
        <v>1779</v>
      </c>
      <c r="J571" s="7" t="s">
        <v>217</v>
      </c>
    </row>
    <row r="572" ht="16" customHeight="1" outlineLevel="2" spans="1:10">
      <c r="A572" s="18">
        <v>11</v>
      </c>
      <c r="B572" s="18">
        <v>43</v>
      </c>
      <c r="C572" s="19" t="s">
        <v>1310</v>
      </c>
      <c r="D572" s="19" t="s">
        <v>1309</v>
      </c>
      <c r="E572" s="19" t="s">
        <v>65</v>
      </c>
      <c r="F572" s="8" t="s">
        <v>67</v>
      </c>
      <c r="G572" s="8" t="s">
        <v>69</v>
      </c>
      <c r="H572" s="19" t="s">
        <v>148</v>
      </c>
      <c r="I572" s="19" t="s">
        <v>1268</v>
      </c>
      <c r="J572" s="19" t="s">
        <v>271</v>
      </c>
    </row>
    <row r="573" ht="16" customHeight="1" outlineLevel="2" spans="1:10">
      <c r="A573" s="18">
        <v>11</v>
      </c>
      <c r="B573" s="18">
        <v>44</v>
      </c>
      <c r="C573" s="19" t="s">
        <v>1314</v>
      </c>
      <c r="D573" s="19" t="s">
        <v>1313</v>
      </c>
      <c r="E573" s="19" t="s">
        <v>65</v>
      </c>
      <c r="F573" s="8" t="s">
        <v>67</v>
      </c>
      <c r="G573" s="8" t="s">
        <v>69</v>
      </c>
      <c r="H573" s="19" t="s">
        <v>148</v>
      </c>
      <c r="I573" s="19" t="s">
        <v>1268</v>
      </c>
      <c r="J573" s="19" t="s">
        <v>277</v>
      </c>
    </row>
    <row r="574" ht="16" customHeight="1" outlineLevel="2" spans="1:10">
      <c r="A574" s="18">
        <v>11</v>
      </c>
      <c r="B574" s="18">
        <v>45</v>
      </c>
      <c r="C574" s="19" t="s">
        <v>1227</v>
      </c>
      <c r="D574" s="19" t="s">
        <v>1226</v>
      </c>
      <c r="E574" s="19" t="s">
        <v>65</v>
      </c>
      <c r="F574" s="8" t="s">
        <v>67</v>
      </c>
      <c r="G574" s="8" t="s">
        <v>69</v>
      </c>
      <c r="H574" s="7" t="s">
        <v>147</v>
      </c>
      <c r="I574" s="19" t="s">
        <v>1184</v>
      </c>
      <c r="J574" s="7" t="s">
        <v>274</v>
      </c>
    </row>
    <row r="575" ht="16" customHeight="1" outlineLevel="2" spans="1:10">
      <c r="A575" s="18">
        <v>11</v>
      </c>
      <c r="B575" s="18">
        <v>46</v>
      </c>
      <c r="C575" s="19" t="s">
        <v>1211</v>
      </c>
      <c r="D575" s="19" t="s">
        <v>1210</v>
      </c>
      <c r="E575" s="19" t="s">
        <v>65</v>
      </c>
      <c r="F575" s="8" t="s">
        <v>67</v>
      </c>
      <c r="G575" s="8" t="s">
        <v>69</v>
      </c>
      <c r="H575" s="19" t="s">
        <v>147</v>
      </c>
      <c r="I575" s="19" t="s">
        <v>1184</v>
      </c>
      <c r="J575" s="19" t="s">
        <v>250</v>
      </c>
    </row>
    <row r="576" ht="16" customHeight="1" outlineLevel="2" spans="1:10">
      <c r="A576" s="18">
        <v>11</v>
      </c>
      <c r="B576" s="18">
        <v>47</v>
      </c>
      <c r="C576" s="19" t="s">
        <v>1215</v>
      </c>
      <c r="D576" s="19" t="s">
        <v>1214</v>
      </c>
      <c r="E576" s="19" t="s">
        <v>65</v>
      </c>
      <c r="F576" s="8" t="s">
        <v>67</v>
      </c>
      <c r="G576" s="8" t="s">
        <v>69</v>
      </c>
      <c r="H576" s="19" t="s">
        <v>147</v>
      </c>
      <c r="I576" s="19" t="s">
        <v>1184</v>
      </c>
      <c r="J576" s="19" t="s">
        <v>256</v>
      </c>
    </row>
    <row r="577" ht="16" customHeight="1" outlineLevel="2" spans="1:10">
      <c r="A577" s="18">
        <v>11</v>
      </c>
      <c r="B577" s="18">
        <v>48</v>
      </c>
      <c r="C577" s="19" t="s">
        <v>1308</v>
      </c>
      <c r="D577" s="19" t="s">
        <v>1307</v>
      </c>
      <c r="E577" s="19" t="s">
        <v>65</v>
      </c>
      <c r="F577" s="8" t="s">
        <v>67</v>
      </c>
      <c r="G577" s="8" t="s">
        <v>69</v>
      </c>
      <c r="H577" s="19" t="s">
        <v>148</v>
      </c>
      <c r="I577" s="19" t="s">
        <v>1268</v>
      </c>
      <c r="J577" s="19" t="s">
        <v>268</v>
      </c>
    </row>
    <row r="578" ht="16" customHeight="1" outlineLevel="2" spans="1:10">
      <c r="A578" s="18">
        <v>11</v>
      </c>
      <c r="B578" s="18">
        <v>49</v>
      </c>
      <c r="C578" s="19" t="s">
        <v>1249</v>
      </c>
      <c r="D578" s="19" t="s">
        <v>1248</v>
      </c>
      <c r="E578" s="19" t="s">
        <v>65</v>
      </c>
      <c r="F578" s="8" t="s">
        <v>67</v>
      </c>
      <c r="G578" s="8" t="s">
        <v>69</v>
      </c>
      <c r="H578" s="19" t="s">
        <v>147</v>
      </c>
      <c r="I578" s="19" t="s">
        <v>1184</v>
      </c>
      <c r="J578" s="19" t="s">
        <v>307</v>
      </c>
    </row>
    <row r="579" ht="16" customHeight="1" outlineLevel="2" spans="1:10">
      <c r="A579" s="18">
        <v>11</v>
      </c>
      <c r="B579" s="18">
        <v>50</v>
      </c>
      <c r="C579" s="19" t="s">
        <v>1344</v>
      </c>
      <c r="D579" s="19" t="s">
        <v>1343</v>
      </c>
      <c r="E579" s="19" t="s">
        <v>65</v>
      </c>
      <c r="F579" s="8" t="s">
        <v>67</v>
      </c>
      <c r="G579" s="8" t="s">
        <v>69</v>
      </c>
      <c r="H579" s="19" t="s">
        <v>148</v>
      </c>
      <c r="I579" s="19" t="s">
        <v>1268</v>
      </c>
      <c r="J579" s="19" t="s">
        <v>322</v>
      </c>
    </row>
    <row r="580" ht="16" customHeight="1" outlineLevel="2" spans="1:10">
      <c r="A580" s="18">
        <v>11</v>
      </c>
      <c r="B580" s="18">
        <v>51</v>
      </c>
      <c r="C580" s="19" t="s">
        <v>1320</v>
      </c>
      <c r="D580" s="19" t="s">
        <v>1319</v>
      </c>
      <c r="E580" s="19" t="s">
        <v>65</v>
      </c>
      <c r="F580" s="8" t="s">
        <v>67</v>
      </c>
      <c r="G580" s="8" t="s">
        <v>69</v>
      </c>
      <c r="H580" s="19" t="s">
        <v>148</v>
      </c>
      <c r="I580" s="19" t="s">
        <v>1268</v>
      </c>
      <c r="J580" s="19" t="s">
        <v>286</v>
      </c>
    </row>
    <row r="581" ht="16" customHeight="1" outlineLevel="2" spans="1:10">
      <c r="A581" s="18">
        <v>11</v>
      </c>
      <c r="B581" s="18">
        <v>52</v>
      </c>
      <c r="C581" s="19" t="s">
        <v>1225</v>
      </c>
      <c r="D581" s="19" t="s">
        <v>1224</v>
      </c>
      <c r="E581" s="19" t="s">
        <v>65</v>
      </c>
      <c r="F581" s="8" t="s">
        <v>67</v>
      </c>
      <c r="G581" s="8" t="s">
        <v>69</v>
      </c>
      <c r="H581" s="19" t="s">
        <v>147</v>
      </c>
      <c r="I581" s="19" t="s">
        <v>1184</v>
      </c>
      <c r="J581" s="19" t="s">
        <v>271</v>
      </c>
    </row>
    <row r="582" ht="16" customHeight="1" outlineLevel="2" spans="1:10">
      <c r="A582" s="18">
        <v>11</v>
      </c>
      <c r="B582" s="18">
        <v>53</v>
      </c>
      <c r="C582" s="19" t="s">
        <v>1255</v>
      </c>
      <c r="D582" s="19" t="s">
        <v>1254</v>
      </c>
      <c r="E582" s="19" t="s">
        <v>65</v>
      </c>
      <c r="F582" s="8" t="s">
        <v>67</v>
      </c>
      <c r="G582" s="8" t="s">
        <v>69</v>
      </c>
      <c r="H582" s="19" t="s">
        <v>147</v>
      </c>
      <c r="I582" s="19" t="s">
        <v>1184</v>
      </c>
      <c r="J582" s="19" t="s">
        <v>316</v>
      </c>
    </row>
    <row r="583" ht="16" customHeight="1" outlineLevel="1" spans="1:10">
      <c r="A583" s="21" t="s">
        <v>1922</v>
      </c>
      <c r="B583" s="18"/>
      <c r="C583" s="19">
        <f>SUBTOTAL(3,C531:C582)</f>
        <v>52</v>
      </c>
      <c r="D583" s="19"/>
      <c r="E583" s="19"/>
      <c r="F583" s="8"/>
      <c r="G583" s="8"/>
      <c r="H583" s="19"/>
      <c r="I583" s="19"/>
      <c r="J583" s="19"/>
    </row>
    <row r="584" ht="16" customHeight="1" outlineLevel="2" spans="1:10">
      <c r="A584" s="18">
        <v>12</v>
      </c>
      <c r="B584" s="18">
        <v>1</v>
      </c>
      <c r="C584" s="19" t="s">
        <v>1424</v>
      </c>
      <c r="D584" s="19" t="s">
        <v>1423</v>
      </c>
      <c r="E584" s="19" t="s">
        <v>65</v>
      </c>
      <c r="F584" s="8" t="s">
        <v>67</v>
      </c>
      <c r="G584" s="8" t="s">
        <v>70</v>
      </c>
      <c r="H584" s="7" t="s">
        <v>149</v>
      </c>
      <c r="I584" s="19" t="s">
        <v>1354</v>
      </c>
      <c r="J584" s="7" t="s">
        <v>313</v>
      </c>
    </row>
    <row r="585" ht="16" customHeight="1" outlineLevel="2" spans="1:10">
      <c r="A585" s="18">
        <v>12</v>
      </c>
      <c r="B585" s="18">
        <v>2</v>
      </c>
      <c r="C585" s="19" t="s">
        <v>1826</v>
      </c>
      <c r="D585" s="19" t="s">
        <v>1825</v>
      </c>
      <c r="E585" s="19" t="s">
        <v>65</v>
      </c>
      <c r="F585" s="8" t="s">
        <v>67</v>
      </c>
      <c r="G585" s="8" t="s">
        <v>70</v>
      </c>
      <c r="H585" s="19" t="s">
        <v>155</v>
      </c>
      <c r="I585" s="19" t="s">
        <v>1779</v>
      </c>
      <c r="J585" s="19" t="s">
        <v>277</v>
      </c>
    </row>
    <row r="586" ht="16" customHeight="1" outlineLevel="2" spans="1:10">
      <c r="A586" s="18">
        <v>12</v>
      </c>
      <c r="B586" s="18">
        <v>3</v>
      </c>
      <c r="C586" s="19" t="s">
        <v>1420</v>
      </c>
      <c r="D586" s="19" t="s">
        <v>1419</v>
      </c>
      <c r="E586" s="19" t="s">
        <v>65</v>
      </c>
      <c r="F586" s="8" t="s">
        <v>67</v>
      </c>
      <c r="G586" s="8" t="s">
        <v>70</v>
      </c>
      <c r="H586" s="19" t="s">
        <v>149</v>
      </c>
      <c r="I586" s="19" t="s">
        <v>1354</v>
      </c>
      <c r="J586" s="19" t="s">
        <v>307</v>
      </c>
    </row>
    <row r="587" ht="16" customHeight="1" outlineLevel="2" spans="1:10">
      <c r="A587" s="18">
        <v>12</v>
      </c>
      <c r="B587" s="18">
        <v>4</v>
      </c>
      <c r="C587" s="19" t="s">
        <v>1434</v>
      </c>
      <c r="D587" s="19" t="s">
        <v>1433</v>
      </c>
      <c r="E587" s="19" t="s">
        <v>65</v>
      </c>
      <c r="F587" s="8" t="s">
        <v>67</v>
      </c>
      <c r="G587" s="8" t="s">
        <v>70</v>
      </c>
      <c r="H587" s="19" t="s">
        <v>149</v>
      </c>
      <c r="I587" s="19" t="s">
        <v>1354</v>
      </c>
      <c r="J587" s="19" t="s">
        <v>328</v>
      </c>
    </row>
    <row r="588" ht="16" customHeight="1" outlineLevel="2" spans="1:10">
      <c r="A588" s="18">
        <v>12</v>
      </c>
      <c r="B588" s="18">
        <v>5</v>
      </c>
      <c r="C588" s="19" t="s">
        <v>1400</v>
      </c>
      <c r="D588" s="19" t="s">
        <v>1399</v>
      </c>
      <c r="E588" s="19" t="s">
        <v>65</v>
      </c>
      <c r="F588" s="8" t="s">
        <v>67</v>
      </c>
      <c r="G588" s="8" t="s">
        <v>70</v>
      </c>
      <c r="H588" s="7" t="s">
        <v>149</v>
      </c>
      <c r="I588" s="19" t="s">
        <v>1354</v>
      </c>
      <c r="J588" s="7" t="s">
        <v>277</v>
      </c>
    </row>
    <row r="589" ht="16" customHeight="1" outlineLevel="2" spans="1:10">
      <c r="A589" s="18">
        <v>12</v>
      </c>
      <c r="B589" s="18">
        <v>6</v>
      </c>
      <c r="C589" s="19" t="s">
        <v>1834</v>
      </c>
      <c r="D589" s="19" t="s">
        <v>1833</v>
      </c>
      <c r="E589" s="19" t="s">
        <v>65</v>
      </c>
      <c r="F589" s="8" t="s">
        <v>67</v>
      </c>
      <c r="G589" s="8" t="s">
        <v>70</v>
      </c>
      <c r="H589" s="19" t="s">
        <v>155</v>
      </c>
      <c r="I589" s="19" t="s">
        <v>1779</v>
      </c>
      <c r="J589" s="19" t="s">
        <v>289</v>
      </c>
    </row>
    <row r="590" ht="16" customHeight="1" outlineLevel="2" spans="1:10">
      <c r="A590" s="18">
        <v>12</v>
      </c>
      <c r="B590" s="18">
        <v>7</v>
      </c>
      <c r="C590" s="19" t="s">
        <v>1366</v>
      </c>
      <c r="D590" s="19" t="s">
        <v>1365</v>
      </c>
      <c r="E590" s="19" t="s">
        <v>65</v>
      </c>
      <c r="F590" s="8" t="s">
        <v>67</v>
      </c>
      <c r="G590" s="8" t="s">
        <v>70</v>
      </c>
      <c r="H590" s="19" t="s">
        <v>149</v>
      </c>
      <c r="I590" s="19" t="s">
        <v>1354</v>
      </c>
      <c r="J590" s="19" t="s">
        <v>226</v>
      </c>
    </row>
    <row r="591" ht="16" customHeight="1" outlineLevel="2" spans="1:10">
      <c r="A591" s="18">
        <v>12</v>
      </c>
      <c r="B591" s="18">
        <v>8</v>
      </c>
      <c r="C591" s="19" t="s">
        <v>1416</v>
      </c>
      <c r="D591" s="19" t="s">
        <v>1415</v>
      </c>
      <c r="E591" s="19" t="s">
        <v>65</v>
      </c>
      <c r="F591" s="8" t="s">
        <v>67</v>
      </c>
      <c r="G591" s="8" t="s">
        <v>70</v>
      </c>
      <c r="H591" s="19" t="s">
        <v>149</v>
      </c>
      <c r="I591" s="19" t="s">
        <v>1354</v>
      </c>
      <c r="J591" s="19" t="s">
        <v>301</v>
      </c>
    </row>
    <row r="592" ht="16" customHeight="1" outlineLevel="2" spans="1:10">
      <c r="A592" s="18">
        <v>12</v>
      </c>
      <c r="B592" s="18">
        <v>9</v>
      </c>
      <c r="C592" s="19" t="s">
        <v>1830</v>
      </c>
      <c r="D592" s="19" t="s">
        <v>1829</v>
      </c>
      <c r="E592" s="19" t="s">
        <v>65</v>
      </c>
      <c r="F592" s="8" t="s">
        <v>67</v>
      </c>
      <c r="G592" s="8" t="s">
        <v>70</v>
      </c>
      <c r="H592" s="19" t="s">
        <v>155</v>
      </c>
      <c r="I592" s="19" t="s">
        <v>1779</v>
      </c>
      <c r="J592" s="7" t="s">
        <v>283</v>
      </c>
    </row>
    <row r="593" ht="16" customHeight="1" outlineLevel="2" spans="1:10">
      <c r="A593" s="18">
        <v>12</v>
      </c>
      <c r="B593" s="18">
        <v>10</v>
      </c>
      <c r="C593" s="19" t="s">
        <v>1822</v>
      </c>
      <c r="D593" s="19" t="s">
        <v>1821</v>
      </c>
      <c r="E593" s="19" t="s">
        <v>65</v>
      </c>
      <c r="F593" s="8" t="s">
        <v>67</v>
      </c>
      <c r="G593" s="8" t="s">
        <v>70</v>
      </c>
      <c r="H593" s="19" t="s">
        <v>155</v>
      </c>
      <c r="I593" s="19" t="s">
        <v>1779</v>
      </c>
      <c r="J593" s="19" t="s">
        <v>271</v>
      </c>
    </row>
    <row r="594" ht="16" customHeight="1" outlineLevel="2" spans="1:10">
      <c r="A594" s="18">
        <v>12</v>
      </c>
      <c r="B594" s="18">
        <v>11</v>
      </c>
      <c r="C594" s="19" t="s">
        <v>1436</v>
      </c>
      <c r="D594" s="19" t="s">
        <v>1435</v>
      </c>
      <c r="E594" s="19" t="s">
        <v>65</v>
      </c>
      <c r="F594" s="8" t="s">
        <v>67</v>
      </c>
      <c r="G594" s="8" t="s">
        <v>70</v>
      </c>
      <c r="H594" s="19" t="s">
        <v>149</v>
      </c>
      <c r="I594" s="19" t="s">
        <v>1354</v>
      </c>
      <c r="J594" s="19" t="s">
        <v>331</v>
      </c>
    </row>
    <row r="595" ht="16" customHeight="1" outlineLevel="2" spans="1:10">
      <c r="A595" s="18">
        <v>12</v>
      </c>
      <c r="B595" s="18">
        <v>12</v>
      </c>
      <c r="C595" s="19" t="s">
        <v>1392</v>
      </c>
      <c r="D595" s="19" t="s">
        <v>1391</v>
      </c>
      <c r="E595" s="19" t="s">
        <v>65</v>
      </c>
      <c r="F595" s="8" t="s">
        <v>67</v>
      </c>
      <c r="G595" s="8" t="s">
        <v>70</v>
      </c>
      <c r="H595" s="19" t="s">
        <v>149</v>
      </c>
      <c r="I595" s="19" t="s">
        <v>1354</v>
      </c>
      <c r="J595" s="19" t="s">
        <v>265</v>
      </c>
    </row>
    <row r="596" ht="16" customHeight="1" outlineLevel="2" spans="1:10">
      <c r="A596" s="18">
        <v>12</v>
      </c>
      <c r="B596" s="18">
        <v>13</v>
      </c>
      <c r="C596" s="19" t="s">
        <v>1360</v>
      </c>
      <c r="D596" s="19" t="s">
        <v>1359</v>
      </c>
      <c r="E596" s="19" t="s">
        <v>65</v>
      </c>
      <c r="F596" s="8" t="s">
        <v>67</v>
      </c>
      <c r="G596" s="8" t="s">
        <v>70</v>
      </c>
      <c r="H596" s="7" t="s">
        <v>149</v>
      </c>
      <c r="I596" s="19" t="s">
        <v>1354</v>
      </c>
      <c r="J596" s="7" t="s">
        <v>217</v>
      </c>
    </row>
    <row r="597" ht="16" customHeight="1" outlineLevel="2" spans="1:10">
      <c r="A597" s="18">
        <v>12</v>
      </c>
      <c r="B597" s="18">
        <v>14</v>
      </c>
      <c r="C597" s="19" t="s">
        <v>1396</v>
      </c>
      <c r="D597" s="19" t="s">
        <v>1395</v>
      </c>
      <c r="E597" s="19" t="s">
        <v>65</v>
      </c>
      <c r="F597" s="8" t="s">
        <v>67</v>
      </c>
      <c r="G597" s="8" t="s">
        <v>70</v>
      </c>
      <c r="H597" s="19" t="s">
        <v>149</v>
      </c>
      <c r="I597" s="19" t="s">
        <v>1354</v>
      </c>
      <c r="J597" s="19" t="s">
        <v>271</v>
      </c>
    </row>
    <row r="598" ht="16" customHeight="1" outlineLevel="2" spans="1:10">
      <c r="A598" s="18">
        <v>12</v>
      </c>
      <c r="B598" s="18">
        <v>15</v>
      </c>
      <c r="C598" s="19" t="s">
        <v>1422</v>
      </c>
      <c r="D598" s="19" t="s">
        <v>1421</v>
      </c>
      <c r="E598" s="19" t="s">
        <v>65</v>
      </c>
      <c r="F598" s="8" t="s">
        <v>67</v>
      </c>
      <c r="G598" s="8" t="s">
        <v>70</v>
      </c>
      <c r="H598" s="7" t="s">
        <v>149</v>
      </c>
      <c r="I598" s="19" t="s">
        <v>1354</v>
      </c>
      <c r="J598" s="7" t="s">
        <v>310</v>
      </c>
    </row>
    <row r="599" ht="16" customHeight="1" outlineLevel="2" spans="1:10">
      <c r="A599" s="18">
        <v>12</v>
      </c>
      <c r="B599" s="18">
        <v>16</v>
      </c>
      <c r="C599" s="19" t="s">
        <v>1376</v>
      </c>
      <c r="D599" s="19" t="s">
        <v>1375</v>
      </c>
      <c r="E599" s="19" t="s">
        <v>65</v>
      </c>
      <c r="F599" s="8" t="s">
        <v>67</v>
      </c>
      <c r="G599" s="8" t="s">
        <v>70</v>
      </c>
      <c r="H599" s="19" t="s">
        <v>149</v>
      </c>
      <c r="I599" s="19" t="s">
        <v>1354</v>
      </c>
      <c r="J599" s="19" t="s">
        <v>241</v>
      </c>
    </row>
    <row r="600" ht="16" customHeight="1" outlineLevel="2" spans="1:10">
      <c r="A600" s="18">
        <v>12</v>
      </c>
      <c r="B600" s="18">
        <v>17</v>
      </c>
      <c r="C600" s="19" t="s">
        <v>1430</v>
      </c>
      <c r="D600" s="19" t="s">
        <v>1429</v>
      </c>
      <c r="E600" s="19" t="s">
        <v>65</v>
      </c>
      <c r="F600" s="8" t="s">
        <v>67</v>
      </c>
      <c r="G600" s="8" t="s">
        <v>70</v>
      </c>
      <c r="H600" s="19" t="s">
        <v>149</v>
      </c>
      <c r="I600" s="19" t="s">
        <v>1354</v>
      </c>
      <c r="J600" s="19" t="s">
        <v>322</v>
      </c>
    </row>
    <row r="601" ht="16" customHeight="1" outlineLevel="2" spans="1:10">
      <c r="A601" s="18">
        <v>12</v>
      </c>
      <c r="B601" s="18">
        <v>18</v>
      </c>
      <c r="C601" s="19" t="s">
        <v>1368</v>
      </c>
      <c r="D601" s="19" t="s">
        <v>1367</v>
      </c>
      <c r="E601" s="19" t="s">
        <v>65</v>
      </c>
      <c r="F601" s="8" t="s">
        <v>67</v>
      </c>
      <c r="G601" s="8" t="s">
        <v>70</v>
      </c>
      <c r="H601" s="19" t="s">
        <v>149</v>
      </c>
      <c r="I601" s="19" t="s">
        <v>1354</v>
      </c>
      <c r="J601" s="19" t="s">
        <v>229</v>
      </c>
    </row>
    <row r="602" ht="16" customHeight="1" outlineLevel="2" spans="1:10">
      <c r="A602" s="18">
        <v>12</v>
      </c>
      <c r="B602" s="18">
        <v>19</v>
      </c>
      <c r="C602" s="19" t="s">
        <v>1408</v>
      </c>
      <c r="D602" s="19" t="s">
        <v>1407</v>
      </c>
      <c r="E602" s="19" t="s">
        <v>65</v>
      </c>
      <c r="F602" s="8" t="s">
        <v>67</v>
      </c>
      <c r="G602" s="8" t="s">
        <v>70</v>
      </c>
      <c r="H602" s="19" t="s">
        <v>149</v>
      </c>
      <c r="I602" s="19" t="s">
        <v>1354</v>
      </c>
      <c r="J602" s="19" t="s">
        <v>289</v>
      </c>
    </row>
    <row r="603" ht="16" customHeight="1" outlineLevel="2" spans="1:10">
      <c r="A603" s="18">
        <v>12</v>
      </c>
      <c r="B603" s="18">
        <v>20</v>
      </c>
      <c r="C603" s="19" t="s">
        <v>1398</v>
      </c>
      <c r="D603" s="19" t="s">
        <v>1397</v>
      </c>
      <c r="E603" s="19" t="s">
        <v>65</v>
      </c>
      <c r="F603" s="8" t="s">
        <v>67</v>
      </c>
      <c r="G603" s="8" t="s">
        <v>70</v>
      </c>
      <c r="H603" s="19" t="s">
        <v>149</v>
      </c>
      <c r="I603" s="19" t="s">
        <v>1354</v>
      </c>
      <c r="J603" s="19" t="s">
        <v>274</v>
      </c>
    </row>
    <row r="604" ht="16" customHeight="1" outlineLevel="2" spans="1:10">
      <c r="A604" s="18">
        <v>12</v>
      </c>
      <c r="B604" s="18">
        <v>21</v>
      </c>
      <c r="C604" s="19" t="s">
        <v>1410</v>
      </c>
      <c r="D604" s="19" t="s">
        <v>1409</v>
      </c>
      <c r="E604" s="19" t="s">
        <v>65</v>
      </c>
      <c r="F604" s="8" t="s">
        <v>67</v>
      </c>
      <c r="G604" s="8" t="s">
        <v>70</v>
      </c>
      <c r="H604" s="19" t="s">
        <v>149</v>
      </c>
      <c r="I604" s="19" t="s">
        <v>1354</v>
      </c>
      <c r="J604" s="19" t="s">
        <v>292</v>
      </c>
    </row>
    <row r="605" ht="16" customHeight="1" outlineLevel="2" spans="1:10">
      <c r="A605" s="18">
        <v>12</v>
      </c>
      <c r="B605" s="18">
        <v>22</v>
      </c>
      <c r="C605" s="19" t="s">
        <v>1832</v>
      </c>
      <c r="D605" s="19" t="s">
        <v>1831</v>
      </c>
      <c r="E605" s="19" t="s">
        <v>65</v>
      </c>
      <c r="F605" s="8" t="s">
        <v>67</v>
      </c>
      <c r="G605" s="8" t="s">
        <v>70</v>
      </c>
      <c r="H605" s="19" t="s">
        <v>155</v>
      </c>
      <c r="I605" s="19" t="s">
        <v>1779</v>
      </c>
      <c r="J605" s="7" t="s">
        <v>286</v>
      </c>
    </row>
    <row r="606" ht="16" customHeight="1" outlineLevel="2" spans="1:10">
      <c r="A606" s="18">
        <v>12</v>
      </c>
      <c r="B606" s="18">
        <v>23</v>
      </c>
      <c r="C606" s="19" t="s">
        <v>1384</v>
      </c>
      <c r="D606" s="19" t="s">
        <v>1383</v>
      </c>
      <c r="E606" s="19" t="s">
        <v>65</v>
      </c>
      <c r="F606" s="8" t="s">
        <v>67</v>
      </c>
      <c r="G606" s="8" t="s">
        <v>70</v>
      </c>
      <c r="H606" s="19" t="s">
        <v>149</v>
      </c>
      <c r="I606" s="19" t="s">
        <v>1354</v>
      </c>
      <c r="J606" s="19" t="s">
        <v>253</v>
      </c>
    </row>
    <row r="607" ht="16" customHeight="1" outlineLevel="2" spans="1:10">
      <c r="A607" s="18">
        <v>12</v>
      </c>
      <c r="B607" s="18">
        <v>24</v>
      </c>
      <c r="C607" s="19" t="s">
        <v>1818</v>
      </c>
      <c r="D607" s="19" t="s">
        <v>1817</v>
      </c>
      <c r="E607" s="19" t="s">
        <v>65</v>
      </c>
      <c r="F607" s="8" t="s">
        <v>67</v>
      </c>
      <c r="G607" s="8" t="s">
        <v>70</v>
      </c>
      <c r="H607" s="19" t="s">
        <v>155</v>
      </c>
      <c r="I607" s="19" t="s">
        <v>1779</v>
      </c>
      <c r="J607" s="19" t="s">
        <v>265</v>
      </c>
    </row>
    <row r="608" ht="16" customHeight="1" outlineLevel="2" spans="1:10">
      <c r="A608" s="18">
        <v>12</v>
      </c>
      <c r="B608" s="18">
        <v>25</v>
      </c>
      <c r="C608" s="19" t="s">
        <v>1820</v>
      </c>
      <c r="D608" s="19" t="s">
        <v>1819</v>
      </c>
      <c r="E608" s="19" t="s">
        <v>65</v>
      </c>
      <c r="F608" s="8" t="s">
        <v>67</v>
      </c>
      <c r="G608" s="8" t="s">
        <v>70</v>
      </c>
      <c r="H608" s="7" t="s">
        <v>155</v>
      </c>
      <c r="I608" s="19" t="s">
        <v>1779</v>
      </c>
      <c r="J608" s="19" t="s">
        <v>268</v>
      </c>
    </row>
    <row r="609" ht="16" customHeight="1" outlineLevel="2" spans="1:10">
      <c r="A609" s="18">
        <v>12</v>
      </c>
      <c r="B609" s="18">
        <v>26</v>
      </c>
      <c r="C609" s="19" t="s">
        <v>1412</v>
      </c>
      <c r="D609" s="19" t="s">
        <v>1411</v>
      </c>
      <c r="E609" s="19" t="s">
        <v>65</v>
      </c>
      <c r="F609" s="8" t="s">
        <v>67</v>
      </c>
      <c r="G609" s="8" t="s">
        <v>70</v>
      </c>
      <c r="H609" s="19" t="s">
        <v>149</v>
      </c>
      <c r="I609" s="19" t="s">
        <v>1354</v>
      </c>
      <c r="J609" s="19" t="s">
        <v>295</v>
      </c>
    </row>
    <row r="610" ht="16" customHeight="1" outlineLevel="2" spans="1:10">
      <c r="A610" s="18">
        <v>12</v>
      </c>
      <c r="B610" s="18">
        <v>27</v>
      </c>
      <c r="C610" s="19" t="s">
        <v>1358</v>
      </c>
      <c r="D610" s="19" t="s">
        <v>1357</v>
      </c>
      <c r="E610" s="19" t="s">
        <v>65</v>
      </c>
      <c r="F610" s="8" t="s">
        <v>67</v>
      </c>
      <c r="G610" s="8" t="s">
        <v>70</v>
      </c>
      <c r="H610" s="7" t="s">
        <v>149</v>
      </c>
      <c r="I610" s="19" t="s">
        <v>1354</v>
      </c>
      <c r="J610" s="7" t="s">
        <v>214</v>
      </c>
    </row>
    <row r="611" ht="16" customHeight="1" outlineLevel="2" spans="1:10">
      <c r="A611" s="18">
        <v>12</v>
      </c>
      <c r="B611" s="18">
        <v>28</v>
      </c>
      <c r="C611" s="19" t="s">
        <v>1816</v>
      </c>
      <c r="D611" s="19" t="s">
        <v>1815</v>
      </c>
      <c r="E611" s="19" t="s">
        <v>65</v>
      </c>
      <c r="F611" s="8" t="s">
        <v>67</v>
      </c>
      <c r="G611" s="8" t="s">
        <v>70</v>
      </c>
      <c r="H611" s="19" t="s">
        <v>155</v>
      </c>
      <c r="I611" s="19" t="s">
        <v>1779</v>
      </c>
      <c r="J611" s="19" t="s">
        <v>262</v>
      </c>
    </row>
    <row r="612" ht="16" customHeight="1" outlineLevel="2" spans="1:10">
      <c r="A612" s="18">
        <v>12</v>
      </c>
      <c r="B612" s="18">
        <v>29</v>
      </c>
      <c r="C612" s="19" t="s">
        <v>1418</v>
      </c>
      <c r="D612" s="19" t="s">
        <v>1417</v>
      </c>
      <c r="E612" s="19" t="s">
        <v>65</v>
      </c>
      <c r="F612" s="8" t="s">
        <v>67</v>
      </c>
      <c r="G612" s="8" t="s">
        <v>70</v>
      </c>
      <c r="H612" s="19" t="s">
        <v>149</v>
      </c>
      <c r="I612" s="19" t="s">
        <v>1354</v>
      </c>
      <c r="J612" s="19" t="s">
        <v>304</v>
      </c>
    </row>
    <row r="613" ht="16" customHeight="1" outlineLevel="2" spans="1:10">
      <c r="A613" s="18">
        <v>12</v>
      </c>
      <c r="B613" s="18">
        <v>30</v>
      </c>
      <c r="C613" s="19" t="s">
        <v>1426</v>
      </c>
      <c r="D613" s="19" t="s">
        <v>1425</v>
      </c>
      <c r="E613" s="19" t="s">
        <v>65</v>
      </c>
      <c r="F613" s="8" t="s">
        <v>67</v>
      </c>
      <c r="G613" s="8" t="s">
        <v>70</v>
      </c>
      <c r="H613" s="19" t="s">
        <v>149</v>
      </c>
      <c r="I613" s="19" t="s">
        <v>1354</v>
      </c>
      <c r="J613" s="19" t="s">
        <v>316</v>
      </c>
    </row>
    <row r="614" ht="16" customHeight="1" outlineLevel="2" spans="1:10">
      <c r="A614" s="18">
        <v>12</v>
      </c>
      <c r="B614" s="18">
        <v>31</v>
      </c>
      <c r="C614" s="19" t="s">
        <v>1374</v>
      </c>
      <c r="D614" s="19" t="s">
        <v>1373</v>
      </c>
      <c r="E614" s="19" t="s">
        <v>65</v>
      </c>
      <c r="F614" s="8" t="s">
        <v>67</v>
      </c>
      <c r="G614" s="8" t="s">
        <v>70</v>
      </c>
      <c r="H614" s="19" t="s">
        <v>149</v>
      </c>
      <c r="I614" s="19" t="s">
        <v>1354</v>
      </c>
      <c r="J614" s="19" t="s">
        <v>238</v>
      </c>
    </row>
    <row r="615" ht="16" customHeight="1" outlineLevel="2" spans="1:10">
      <c r="A615" s="18">
        <v>12</v>
      </c>
      <c r="B615" s="18">
        <v>32</v>
      </c>
      <c r="C615" s="19" t="s">
        <v>1814</v>
      </c>
      <c r="D615" s="19" t="s">
        <v>1813</v>
      </c>
      <c r="E615" s="19" t="s">
        <v>65</v>
      </c>
      <c r="F615" s="8" t="s">
        <v>67</v>
      </c>
      <c r="G615" s="8" t="s">
        <v>70</v>
      </c>
      <c r="H615" s="19" t="s">
        <v>155</v>
      </c>
      <c r="I615" s="19" t="s">
        <v>1779</v>
      </c>
      <c r="J615" s="19" t="s">
        <v>259</v>
      </c>
    </row>
    <row r="616" ht="16" customHeight="1" outlineLevel="2" spans="1:10">
      <c r="A616" s="18">
        <v>12</v>
      </c>
      <c r="B616" s="18">
        <v>33</v>
      </c>
      <c r="C616" s="19" t="s">
        <v>1356</v>
      </c>
      <c r="D616" s="19" t="s">
        <v>1355</v>
      </c>
      <c r="E616" s="19" t="s">
        <v>65</v>
      </c>
      <c r="F616" s="8" t="s">
        <v>67</v>
      </c>
      <c r="G616" s="8" t="s">
        <v>70</v>
      </c>
      <c r="H616" s="19" t="s">
        <v>149</v>
      </c>
      <c r="I616" s="19" t="s">
        <v>1354</v>
      </c>
      <c r="J616" s="19" t="s">
        <v>210</v>
      </c>
    </row>
    <row r="617" ht="16" customHeight="1" outlineLevel="2" spans="1:10">
      <c r="A617" s="18">
        <v>12</v>
      </c>
      <c r="B617" s="18">
        <v>34</v>
      </c>
      <c r="C617" s="19" t="s">
        <v>1390</v>
      </c>
      <c r="D617" s="19" t="s">
        <v>1389</v>
      </c>
      <c r="E617" s="19" t="s">
        <v>65</v>
      </c>
      <c r="F617" s="8" t="s">
        <v>67</v>
      </c>
      <c r="G617" s="8" t="s">
        <v>70</v>
      </c>
      <c r="H617" s="7" t="s">
        <v>149</v>
      </c>
      <c r="I617" s="19" t="s">
        <v>1354</v>
      </c>
      <c r="J617" s="7" t="s">
        <v>262</v>
      </c>
    </row>
    <row r="618" ht="16" customHeight="1" outlineLevel="2" spans="1:10">
      <c r="A618" s="18">
        <v>12</v>
      </c>
      <c r="B618" s="18">
        <v>35</v>
      </c>
      <c r="C618" s="19" t="s">
        <v>1828</v>
      </c>
      <c r="D618" s="19" t="s">
        <v>1827</v>
      </c>
      <c r="E618" s="19" t="s">
        <v>65</v>
      </c>
      <c r="F618" s="8" t="s">
        <v>67</v>
      </c>
      <c r="G618" s="8" t="s">
        <v>70</v>
      </c>
      <c r="H618" s="19" t="s">
        <v>155</v>
      </c>
      <c r="I618" s="19" t="s">
        <v>1779</v>
      </c>
      <c r="J618" s="19" t="s">
        <v>280</v>
      </c>
    </row>
    <row r="619" ht="16" customHeight="1" outlineLevel="2" spans="1:10">
      <c r="A619" s="18">
        <v>12</v>
      </c>
      <c r="B619" s="18">
        <v>36</v>
      </c>
      <c r="C619" s="19" t="s">
        <v>1362</v>
      </c>
      <c r="D619" s="19" t="s">
        <v>1361</v>
      </c>
      <c r="E619" s="19" t="s">
        <v>65</v>
      </c>
      <c r="F619" s="8" t="s">
        <v>67</v>
      </c>
      <c r="G619" s="8" t="s">
        <v>70</v>
      </c>
      <c r="H619" s="19" t="s">
        <v>149</v>
      </c>
      <c r="I619" s="19" t="s">
        <v>1354</v>
      </c>
      <c r="J619" s="19" t="s">
        <v>220</v>
      </c>
    </row>
    <row r="620" ht="16" customHeight="1" outlineLevel="2" spans="1:10">
      <c r="A620" s="18">
        <v>12</v>
      </c>
      <c r="B620" s="18">
        <v>37</v>
      </c>
      <c r="C620" s="19" t="s">
        <v>1370</v>
      </c>
      <c r="D620" s="19" t="s">
        <v>1369</v>
      </c>
      <c r="E620" s="19" t="s">
        <v>65</v>
      </c>
      <c r="F620" s="8" t="s">
        <v>67</v>
      </c>
      <c r="G620" s="8" t="s">
        <v>70</v>
      </c>
      <c r="H620" s="7" t="s">
        <v>149</v>
      </c>
      <c r="I620" s="19" t="s">
        <v>1354</v>
      </c>
      <c r="J620" s="7" t="s">
        <v>232</v>
      </c>
    </row>
    <row r="621" ht="16" customHeight="1" outlineLevel="2" spans="1:10">
      <c r="A621" s="18">
        <v>12</v>
      </c>
      <c r="B621" s="18">
        <v>38</v>
      </c>
      <c r="C621" s="19" t="s">
        <v>1402</v>
      </c>
      <c r="D621" s="19" t="s">
        <v>1401</v>
      </c>
      <c r="E621" s="19" t="s">
        <v>65</v>
      </c>
      <c r="F621" s="8" t="s">
        <v>67</v>
      </c>
      <c r="G621" s="8" t="s">
        <v>70</v>
      </c>
      <c r="H621" s="7" t="s">
        <v>149</v>
      </c>
      <c r="I621" s="19" t="s">
        <v>1354</v>
      </c>
      <c r="J621" s="7" t="s">
        <v>280</v>
      </c>
    </row>
    <row r="622" ht="16" customHeight="1" outlineLevel="2" spans="1:10">
      <c r="A622" s="18">
        <v>12</v>
      </c>
      <c r="B622" s="18">
        <v>39</v>
      </c>
      <c r="C622" s="19" t="s">
        <v>1404</v>
      </c>
      <c r="D622" s="19" t="s">
        <v>1403</v>
      </c>
      <c r="E622" s="19" t="s">
        <v>65</v>
      </c>
      <c r="F622" s="8" t="s">
        <v>67</v>
      </c>
      <c r="G622" s="8" t="s">
        <v>70</v>
      </c>
      <c r="H622" s="19" t="s">
        <v>149</v>
      </c>
      <c r="I622" s="19" t="s">
        <v>1354</v>
      </c>
      <c r="J622" s="19" t="s">
        <v>283</v>
      </c>
    </row>
    <row r="623" ht="16" customHeight="1" outlineLevel="2" spans="1:10">
      <c r="A623" s="18">
        <v>12</v>
      </c>
      <c r="B623" s="18">
        <v>42</v>
      </c>
      <c r="C623" s="19" t="s">
        <v>1406</v>
      </c>
      <c r="D623" s="19" t="s">
        <v>1405</v>
      </c>
      <c r="E623" s="19" t="s">
        <v>65</v>
      </c>
      <c r="F623" s="8" t="s">
        <v>67</v>
      </c>
      <c r="G623" s="8" t="s">
        <v>70</v>
      </c>
      <c r="H623" s="19" t="s">
        <v>149</v>
      </c>
      <c r="I623" s="19" t="s">
        <v>1354</v>
      </c>
      <c r="J623" s="19" t="s">
        <v>286</v>
      </c>
    </row>
    <row r="624" ht="16" customHeight="1" outlineLevel="2" spans="1:10">
      <c r="A624" s="18">
        <v>12</v>
      </c>
      <c r="B624" s="18">
        <v>43</v>
      </c>
      <c r="C624" s="19" t="s">
        <v>1394</v>
      </c>
      <c r="D624" s="19" t="s">
        <v>1393</v>
      </c>
      <c r="E624" s="19" t="s">
        <v>65</v>
      </c>
      <c r="F624" s="8" t="s">
        <v>67</v>
      </c>
      <c r="G624" s="8" t="s">
        <v>70</v>
      </c>
      <c r="H624" s="19" t="s">
        <v>149</v>
      </c>
      <c r="I624" s="19" t="s">
        <v>1354</v>
      </c>
      <c r="J624" s="19" t="s">
        <v>268</v>
      </c>
    </row>
    <row r="625" ht="16" customHeight="1" outlineLevel="2" spans="1:10">
      <c r="A625" s="18">
        <v>12</v>
      </c>
      <c r="B625" s="18">
        <v>44</v>
      </c>
      <c r="C625" s="19" t="s">
        <v>1380</v>
      </c>
      <c r="D625" s="19" t="s">
        <v>1379</v>
      </c>
      <c r="E625" s="19" t="s">
        <v>65</v>
      </c>
      <c r="F625" s="8" t="s">
        <v>67</v>
      </c>
      <c r="G625" s="8" t="s">
        <v>70</v>
      </c>
      <c r="H625" s="19" t="s">
        <v>149</v>
      </c>
      <c r="I625" s="19" t="s">
        <v>1354</v>
      </c>
      <c r="J625" s="19" t="s">
        <v>247</v>
      </c>
    </row>
    <row r="626" ht="16" customHeight="1" outlineLevel="2" spans="1:10">
      <c r="A626" s="18">
        <v>12</v>
      </c>
      <c r="B626" s="18">
        <v>45</v>
      </c>
      <c r="C626" s="19" t="s">
        <v>1388</v>
      </c>
      <c r="D626" s="19" t="s">
        <v>1387</v>
      </c>
      <c r="E626" s="19" t="s">
        <v>65</v>
      </c>
      <c r="F626" s="8" t="s">
        <v>67</v>
      </c>
      <c r="G626" s="8" t="s">
        <v>70</v>
      </c>
      <c r="H626" s="19" t="s">
        <v>149</v>
      </c>
      <c r="I626" s="19" t="s">
        <v>1354</v>
      </c>
      <c r="J626" s="19" t="s">
        <v>259</v>
      </c>
    </row>
    <row r="627" ht="16" customHeight="1" outlineLevel="2" spans="1:10">
      <c r="A627" s="18">
        <v>12</v>
      </c>
      <c r="B627" s="18">
        <v>46</v>
      </c>
      <c r="C627" s="19" t="s">
        <v>1382</v>
      </c>
      <c r="D627" s="19" t="s">
        <v>1381</v>
      </c>
      <c r="E627" s="19" t="s">
        <v>65</v>
      </c>
      <c r="F627" s="8" t="s">
        <v>67</v>
      </c>
      <c r="G627" s="8" t="s">
        <v>70</v>
      </c>
      <c r="H627" s="19" t="s">
        <v>149</v>
      </c>
      <c r="I627" s="19" t="s">
        <v>1354</v>
      </c>
      <c r="J627" s="19" t="s">
        <v>250</v>
      </c>
    </row>
    <row r="628" ht="16" customHeight="1" outlineLevel="2" spans="1:10">
      <c r="A628" s="18">
        <v>12</v>
      </c>
      <c r="B628" s="18">
        <v>47</v>
      </c>
      <c r="C628" s="19" t="s">
        <v>1824</v>
      </c>
      <c r="D628" s="19" t="s">
        <v>1823</v>
      </c>
      <c r="E628" s="19" t="s">
        <v>65</v>
      </c>
      <c r="F628" s="8" t="s">
        <v>67</v>
      </c>
      <c r="G628" s="8" t="s">
        <v>70</v>
      </c>
      <c r="H628" s="7" t="s">
        <v>155</v>
      </c>
      <c r="I628" s="19" t="s">
        <v>1779</v>
      </c>
      <c r="J628" s="7" t="s">
        <v>274</v>
      </c>
    </row>
    <row r="629" ht="16" customHeight="1" outlineLevel="2" spans="1:10">
      <c r="A629" s="18">
        <v>12</v>
      </c>
      <c r="B629" s="18">
        <v>48</v>
      </c>
      <c r="C629" s="19" t="s">
        <v>1352</v>
      </c>
      <c r="D629" s="19" t="s">
        <v>1351</v>
      </c>
      <c r="E629" s="19" t="s">
        <v>65</v>
      </c>
      <c r="F629" s="8" t="s">
        <v>67</v>
      </c>
      <c r="G629" s="8" t="s">
        <v>70</v>
      </c>
      <c r="H629" s="7" t="s">
        <v>149</v>
      </c>
      <c r="I629" s="19" t="s">
        <v>1354</v>
      </c>
      <c r="J629" s="19" t="s">
        <v>207</v>
      </c>
    </row>
    <row r="630" ht="16" customHeight="1" outlineLevel="2" spans="1:10">
      <c r="A630" s="18">
        <v>12</v>
      </c>
      <c r="B630" s="18">
        <v>49</v>
      </c>
      <c r="C630" s="19" t="s">
        <v>1378</v>
      </c>
      <c r="D630" s="19" t="s">
        <v>1377</v>
      </c>
      <c r="E630" s="19" t="s">
        <v>65</v>
      </c>
      <c r="F630" s="8" t="s">
        <v>67</v>
      </c>
      <c r="G630" s="8" t="s">
        <v>70</v>
      </c>
      <c r="H630" s="19" t="s">
        <v>149</v>
      </c>
      <c r="I630" s="19" t="s">
        <v>1354</v>
      </c>
      <c r="J630" s="19" t="s">
        <v>244</v>
      </c>
    </row>
    <row r="631" ht="16" customHeight="1" outlineLevel="2" spans="1:10">
      <c r="A631" s="18">
        <v>12</v>
      </c>
      <c r="B631" s="18">
        <v>50</v>
      </c>
      <c r="C631" s="19" t="s">
        <v>1414</v>
      </c>
      <c r="D631" s="19" t="s">
        <v>1413</v>
      </c>
      <c r="E631" s="19" t="s">
        <v>65</v>
      </c>
      <c r="F631" s="8" t="s">
        <v>67</v>
      </c>
      <c r="G631" s="8" t="s">
        <v>70</v>
      </c>
      <c r="H631" s="19" t="s">
        <v>149</v>
      </c>
      <c r="I631" s="19" t="s">
        <v>1354</v>
      </c>
      <c r="J631" s="19" t="s">
        <v>298</v>
      </c>
    </row>
    <row r="632" ht="16" customHeight="1" outlineLevel="2" spans="1:10">
      <c r="A632" s="18">
        <v>12</v>
      </c>
      <c r="B632" s="18">
        <v>51</v>
      </c>
      <c r="C632" s="19" t="s">
        <v>1432</v>
      </c>
      <c r="D632" s="19" t="s">
        <v>1431</v>
      </c>
      <c r="E632" s="19" t="s">
        <v>65</v>
      </c>
      <c r="F632" s="8" t="s">
        <v>67</v>
      </c>
      <c r="G632" s="8" t="s">
        <v>70</v>
      </c>
      <c r="H632" s="19" t="s">
        <v>149</v>
      </c>
      <c r="I632" s="19" t="s">
        <v>1354</v>
      </c>
      <c r="J632" s="19" t="s">
        <v>325</v>
      </c>
    </row>
    <row r="633" ht="16" customHeight="1" outlineLevel="2" spans="1:10">
      <c r="A633" s="18">
        <v>12</v>
      </c>
      <c r="B633" s="18">
        <v>52</v>
      </c>
      <c r="C633" s="19" t="s">
        <v>1428</v>
      </c>
      <c r="D633" s="19" t="s">
        <v>1427</v>
      </c>
      <c r="E633" s="19" t="s">
        <v>65</v>
      </c>
      <c r="F633" s="8" t="s">
        <v>67</v>
      </c>
      <c r="G633" s="8" t="s">
        <v>70</v>
      </c>
      <c r="H633" s="19" t="s">
        <v>149</v>
      </c>
      <c r="I633" s="19" t="s">
        <v>1354</v>
      </c>
      <c r="J633" s="19" t="s">
        <v>319</v>
      </c>
    </row>
    <row r="634" ht="16" customHeight="1" outlineLevel="2" spans="1:10">
      <c r="A634" s="18">
        <v>12</v>
      </c>
      <c r="B634" s="18">
        <v>53</v>
      </c>
      <c r="C634" s="19" t="s">
        <v>1372</v>
      </c>
      <c r="D634" s="19" t="s">
        <v>1371</v>
      </c>
      <c r="E634" s="19" t="s">
        <v>65</v>
      </c>
      <c r="F634" s="8" t="s">
        <v>67</v>
      </c>
      <c r="G634" s="8" t="s">
        <v>70</v>
      </c>
      <c r="H634" s="7" t="s">
        <v>149</v>
      </c>
      <c r="I634" s="19" t="s">
        <v>1354</v>
      </c>
      <c r="J634" s="19" t="s">
        <v>235</v>
      </c>
    </row>
    <row r="635" ht="16" customHeight="1" outlineLevel="2" spans="1:10">
      <c r="A635" s="18">
        <v>12</v>
      </c>
      <c r="B635" s="18">
        <v>54</v>
      </c>
      <c r="C635" s="19" t="s">
        <v>1386</v>
      </c>
      <c r="D635" s="19" t="s">
        <v>1385</v>
      </c>
      <c r="E635" s="19" t="s">
        <v>65</v>
      </c>
      <c r="F635" s="8" t="s">
        <v>67</v>
      </c>
      <c r="G635" s="8" t="s">
        <v>70</v>
      </c>
      <c r="H635" s="19" t="s">
        <v>149</v>
      </c>
      <c r="I635" s="19" t="s">
        <v>1354</v>
      </c>
      <c r="J635" s="19" t="s">
        <v>256</v>
      </c>
    </row>
    <row r="636" ht="16" customHeight="1" outlineLevel="2" spans="1:10">
      <c r="A636" s="18">
        <v>12</v>
      </c>
      <c r="B636" s="18">
        <v>55</v>
      </c>
      <c r="C636" s="19" t="s">
        <v>1364</v>
      </c>
      <c r="D636" s="19" t="s">
        <v>1363</v>
      </c>
      <c r="E636" s="19" t="s">
        <v>65</v>
      </c>
      <c r="F636" s="8" t="s">
        <v>67</v>
      </c>
      <c r="G636" s="8" t="s">
        <v>70</v>
      </c>
      <c r="H636" s="19" t="s">
        <v>149</v>
      </c>
      <c r="I636" s="19" t="s">
        <v>1354</v>
      </c>
      <c r="J636" s="19" t="s">
        <v>223</v>
      </c>
    </row>
    <row r="637" ht="16" customHeight="1" outlineLevel="2" spans="1:10">
      <c r="A637" s="18">
        <v>12</v>
      </c>
      <c r="B637" s="18">
        <v>56</v>
      </c>
      <c r="C637" s="19" t="s">
        <v>1047</v>
      </c>
      <c r="D637" s="19" t="s">
        <v>1046</v>
      </c>
      <c r="E637" s="19" t="s">
        <v>65</v>
      </c>
      <c r="F637" s="8" t="s">
        <v>67</v>
      </c>
      <c r="G637" s="8" t="s">
        <v>70</v>
      </c>
      <c r="H637" s="7" t="s">
        <v>155</v>
      </c>
      <c r="I637" s="19" t="s">
        <v>1779</v>
      </c>
      <c r="J637" s="19">
        <v>37</v>
      </c>
    </row>
    <row r="638" ht="16" customHeight="1" outlineLevel="1" spans="1:10">
      <c r="A638" s="21" t="s">
        <v>1923</v>
      </c>
      <c r="B638" s="18"/>
      <c r="C638" s="19">
        <f>SUBTOTAL(3,C584:C637)</f>
        <v>54</v>
      </c>
      <c r="D638" s="19"/>
      <c r="E638" s="19"/>
      <c r="F638" s="8"/>
      <c r="G638" s="8"/>
      <c r="H638" s="7"/>
      <c r="I638" s="19"/>
      <c r="J638" s="19"/>
    </row>
    <row r="639" ht="16" customHeight="1" outlineLevel="2" spans="1:10">
      <c r="A639" s="18">
        <v>13</v>
      </c>
      <c r="B639" s="18">
        <v>1</v>
      </c>
      <c r="C639" s="19" t="s">
        <v>1730</v>
      </c>
      <c r="D639" s="19" t="s">
        <v>1729</v>
      </c>
      <c r="E639" s="19" t="s">
        <v>66</v>
      </c>
      <c r="F639" s="8" t="s">
        <v>70</v>
      </c>
      <c r="G639" s="8" t="s">
        <v>69</v>
      </c>
      <c r="H639" s="7" t="s">
        <v>154</v>
      </c>
      <c r="I639" s="19" t="s">
        <v>1694</v>
      </c>
      <c r="J639" s="7" t="s">
        <v>262</v>
      </c>
    </row>
    <row r="640" ht="16" customHeight="1" outlineLevel="2" spans="1:10">
      <c r="A640" s="18">
        <v>13</v>
      </c>
      <c r="B640" s="18">
        <v>2</v>
      </c>
      <c r="C640" s="19" t="s">
        <v>1540</v>
      </c>
      <c r="D640" s="19" t="s">
        <v>1539</v>
      </c>
      <c r="E640" s="19" t="s">
        <v>66</v>
      </c>
      <c r="F640" s="8" t="s">
        <v>70</v>
      </c>
      <c r="G640" s="8" t="s">
        <v>69</v>
      </c>
      <c r="H640" s="19" t="s">
        <v>152</v>
      </c>
      <c r="I640" s="19" t="s">
        <v>1524</v>
      </c>
      <c r="J640" s="19" t="s">
        <v>232</v>
      </c>
    </row>
    <row r="641" ht="16" customHeight="1" outlineLevel="2" spans="1:10">
      <c r="A641" s="18">
        <v>13</v>
      </c>
      <c r="B641" s="18">
        <v>3</v>
      </c>
      <c r="C641" s="19" t="s">
        <v>1770</v>
      </c>
      <c r="D641" s="19" t="s">
        <v>1769</v>
      </c>
      <c r="E641" s="19" t="s">
        <v>66</v>
      </c>
      <c r="F641" s="8" t="s">
        <v>70</v>
      </c>
      <c r="G641" s="8" t="s">
        <v>69</v>
      </c>
      <c r="H641" s="7" t="s">
        <v>154</v>
      </c>
      <c r="I641" s="19" t="s">
        <v>1694</v>
      </c>
      <c r="J641" s="7" t="s">
        <v>322</v>
      </c>
    </row>
    <row r="642" ht="16" customHeight="1" outlineLevel="2" spans="1:10">
      <c r="A642" s="18">
        <v>13</v>
      </c>
      <c r="B642" s="18">
        <v>4</v>
      </c>
      <c r="C642" s="19" t="s">
        <v>1452</v>
      </c>
      <c r="D642" s="19" t="s">
        <v>1451</v>
      </c>
      <c r="E642" s="19" t="s">
        <v>66</v>
      </c>
      <c r="F642" s="8" t="s">
        <v>70</v>
      </c>
      <c r="G642" s="8" t="s">
        <v>69</v>
      </c>
      <c r="H642" s="19" t="s">
        <v>151</v>
      </c>
      <c r="I642" s="19" t="s">
        <v>1440</v>
      </c>
      <c r="J642" s="19" t="s">
        <v>226</v>
      </c>
    </row>
    <row r="643" ht="16" customHeight="1" outlineLevel="2" spans="1:10">
      <c r="A643" s="18">
        <v>13</v>
      </c>
      <c r="B643" s="18">
        <v>5</v>
      </c>
      <c r="C643" s="19" t="s">
        <v>1754</v>
      </c>
      <c r="D643" s="19" t="s">
        <v>1753</v>
      </c>
      <c r="E643" s="19" t="s">
        <v>66</v>
      </c>
      <c r="F643" s="8" t="s">
        <v>70</v>
      </c>
      <c r="G643" s="8" t="s">
        <v>69</v>
      </c>
      <c r="H643" s="19" t="s">
        <v>154</v>
      </c>
      <c r="I643" s="19" t="s">
        <v>1694</v>
      </c>
      <c r="J643" s="19" t="s">
        <v>298</v>
      </c>
    </row>
    <row r="644" ht="16" customHeight="1" outlineLevel="2" spans="1:10">
      <c r="A644" s="18">
        <v>13</v>
      </c>
      <c r="B644" s="18">
        <v>6</v>
      </c>
      <c r="C644" s="19" t="s">
        <v>1510</v>
      </c>
      <c r="D644" s="19" t="s">
        <v>1509</v>
      </c>
      <c r="E644" s="19" t="s">
        <v>66</v>
      </c>
      <c r="F644" s="8" t="s">
        <v>70</v>
      </c>
      <c r="G644" s="8" t="s">
        <v>69</v>
      </c>
      <c r="H644" s="19" t="s">
        <v>151</v>
      </c>
      <c r="I644" s="19" t="s">
        <v>1440</v>
      </c>
      <c r="J644" s="19" t="s">
        <v>313</v>
      </c>
    </row>
    <row r="645" ht="16" customHeight="1" outlineLevel="2" spans="1:10">
      <c r="A645" s="18">
        <v>13</v>
      </c>
      <c r="B645" s="18">
        <v>7</v>
      </c>
      <c r="C645" s="19" t="s">
        <v>1657</v>
      </c>
      <c r="D645" s="19" t="s">
        <v>1656</v>
      </c>
      <c r="E645" s="19" t="s">
        <v>66</v>
      </c>
      <c r="F645" s="8" t="s">
        <v>70</v>
      </c>
      <c r="G645" s="8" t="s">
        <v>69</v>
      </c>
      <c r="H645" s="19" t="s">
        <v>153</v>
      </c>
      <c r="I645" s="19" t="s">
        <v>1609</v>
      </c>
      <c r="J645" s="19" t="s">
        <v>280</v>
      </c>
    </row>
    <row r="646" ht="16" customHeight="1" outlineLevel="2" spans="1:10">
      <c r="A646" s="18">
        <v>13</v>
      </c>
      <c r="B646" s="18">
        <v>8</v>
      </c>
      <c r="C646" s="19" t="s">
        <v>1504</v>
      </c>
      <c r="D646" s="19" t="s">
        <v>1503</v>
      </c>
      <c r="E646" s="19" t="s">
        <v>66</v>
      </c>
      <c r="F646" s="8" t="s">
        <v>70</v>
      </c>
      <c r="G646" s="8" t="s">
        <v>69</v>
      </c>
      <c r="H646" s="19" t="s">
        <v>151</v>
      </c>
      <c r="I646" s="19" t="s">
        <v>1440</v>
      </c>
      <c r="J646" s="19" t="s">
        <v>304</v>
      </c>
    </row>
    <row r="647" ht="16" customHeight="1" outlineLevel="2" spans="1:10">
      <c r="A647" s="18">
        <v>13</v>
      </c>
      <c r="B647" s="18">
        <v>9</v>
      </c>
      <c r="C647" s="19" t="s">
        <v>1560</v>
      </c>
      <c r="D647" s="19" t="s">
        <v>1559</v>
      </c>
      <c r="E647" s="19" t="s">
        <v>66</v>
      </c>
      <c r="F647" s="8" t="s">
        <v>70</v>
      </c>
      <c r="G647" s="8" t="s">
        <v>69</v>
      </c>
      <c r="H647" s="19" t="s">
        <v>152</v>
      </c>
      <c r="I647" s="19" t="s">
        <v>1524</v>
      </c>
      <c r="J647" s="19" t="s">
        <v>262</v>
      </c>
    </row>
    <row r="648" ht="16" customHeight="1" outlineLevel="2" spans="1:10">
      <c r="A648" s="7">
        <v>13</v>
      </c>
      <c r="B648" s="7">
        <v>10</v>
      </c>
      <c r="C648" s="7" t="s">
        <v>1880</v>
      </c>
      <c r="D648" s="7" t="s">
        <v>1879</v>
      </c>
      <c r="E648" s="7" t="s">
        <v>66</v>
      </c>
      <c r="F648" s="7" t="s">
        <v>70</v>
      </c>
      <c r="G648" s="7" t="s">
        <v>69</v>
      </c>
      <c r="H648" s="7" t="s">
        <v>161</v>
      </c>
      <c r="I648" s="7" t="s">
        <v>1855</v>
      </c>
      <c r="J648" s="7" t="s">
        <v>244</v>
      </c>
    </row>
    <row r="649" ht="16" customHeight="1" outlineLevel="2" spans="1:10">
      <c r="A649" s="18">
        <v>13</v>
      </c>
      <c r="B649" s="18">
        <v>11</v>
      </c>
      <c r="C649" s="19" t="s">
        <v>1438</v>
      </c>
      <c r="D649" s="19" t="s">
        <v>1437</v>
      </c>
      <c r="E649" s="19" t="s">
        <v>66</v>
      </c>
      <c r="F649" s="8" t="s">
        <v>70</v>
      </c>
      <c r="G649" s="8" t="s">
        <v>69</v>
      </c>
      <c r="H649" s="7" t="s">
        <v>151</v>
      </c>
      <c r="I649" s="19" t="s">
        <v>1440</v>
      </c>
      <c r="J649" s="19" t="s">
        <v>207</v>
      </c>
    </row>
    <row r="650" ht="16" customHeight="1" outlineLevel="2" spans="1:10">
      <c r="A650" s="18">
        <v>13</v>
      </c>
      <c r="B650" s="18">
        <v>12</v>
      </c>
      <c r="C650" s="19" t="s">
        <v>1744</v>
      </c>
      <c r="D650" s="19" t="s">
        <v>1743</v>
      </c>
      <c r="E650" s="19" t="s">
        <v>66</v>
      </c>
      <c r="F650" s="8" t="s">
        <v>70</v>
      </c>
      <c r="G650" s="8" t="s">
        <v>69</v>
      </c>
      <c r="H650" s="7" t="s">
        <v>154</v>
      </c>
      <c r="I650" s="19" t="s">
        <v>1694</v>
      </c>
      <c r="J650" s="7" t="s">
        <v>283</v>
      </c>
    </row>
    <row r="651" ht="16" customHeight="1" outlineLevel="2" spans="1:10">
      <c r="A651" s="18">
        <v>13</v>
      </c>
      <c r="B651" s="18">
        <v>13</v>
      </c>
      <c r="C651" s="19" t="s">
        <v>1514</v>
      </c>
      <c r="D651" s="19" t="s">
        <v>1513</v>
      </c>
      <c r="E651" s="19" t="s">
        <v>66</v>
      </c>
      <c r="F651" s="8" t="s">
        <v>70</v>
      </c>
      <c r="G651" s="8" t="s">
        <v>69</v>
      </c>
      <c r="H651" s="19" t="s">
        <v>151</v>
      </c>
      <c r="I651" s="19" t="s">
        <v>1440</v>
      </c>
      <c r="J651" s="19" t="s">
        <v>319</v>
      </c>
    </row>
    <row r="652" ht="16" customHeight="1" outlineLevel="2" spans="1:10">
      <c r="A652" s="18">
        <v>13</v>
      </c>
      <c r="B652" s="18">
        <v>14</v>
      </c>
      <c r="C652" s="19" t="s">
        <v>1472</v>
      </c>
      <c r="D652" s="19" t="s">
        <v>1471</v>
      </c>
      <c r="E652" s="19" t="s">
        <v>66</v>
      </c>
      <c r="F652" s="8" t="s">
        <v>70</v>
      </c>
      <c r="G652" s="8" t="s">
        <v>69</v>
      </c>
      <c r="H652" s="7" t="s">
        <v>151</v>
      </c>
      <c r="I652" s="19" t="s">
        <v>1440</v>
      </c>
      <c r="J652" s="7" t="s">
        <v>256</v>
      </c>
    </row>
    <row r="653" ht="16" customHeight="1" outlineLevel="2" spans="1:10">
      <c r="A653" s="7">
        <v>13</v>
      </c>
      <c r="B653" s="7">
        <v>15</v>
      </c>
      <c r="C653" s="7" t="s">
        <v>1904</v>
      </c>
      <c r="D653" s="7" t="s">
        <v>1903</v>
      </c>
      <c r="E653" s="7" t="s">
        <v>66</v>
      </c>
      <c r="F653" s="7" t="s">
        <v>69</v>
      </c>
      <c r="G653" s="7" t="s">
        <v>68</v>
      </c>
      <c r="H653" s="7" t="s">
        <v>161</v>
      </c>
      <c r="I653" s="7" t="s">
        <v>1855</v>
      </c>
      <c r="J653" s="7" t="s">
        <v>277</v>
      </c>
    </row>
    <row r="654" ht="16" customHeight="1" outlineLevel="2" spans="1:10">
      <c r="A654" s="18">
        <v>13</v>
      </c>
      <c r="B654" s="18">
        <v>16</v>
      </c>
      <c r="C654" s="19" t="s">
        <v>1570</v>
      </c>
      <c r="D654" s="19" t="s">
        <v>1569</v>
      </c>
      <c r="E654" s="19" t="s">
        <v>66</v>
      </c>
      <c r="F654" s="8" t="s">
        <v>70</v>
      </c>
      <c r="G654" s="8" t="s">
        <v>69</v>
      </c>
      <c r="H654" s="19" t="s">
        <v>152</v>
      </c>
      <c r="I654" s="19" t="s">
        <v>1524</v>
      </c>
      <c r="J654" s="19" t="s">
        <v>277</v>
      </c>
    </row>
    <row r="655" ht="16" customHeight="1" outlineLevel="2" spans="1:10">
      <c r="A655" s="18">
        <v>13</v>
      </c>
      <c r="B655" s="18">
        <v>17</v>
      </c>
      <c r="C655" s="19" t="s">
        <v>1454</v>
      </c>
      <c r="D655" s="19" t="s">
        <v>1453</v>
      </c>
      <c r="E655" s="19" t="s">
        <v>66</v>
      </c>
      <c r="F655" s="8" t="s">
        <v>70</v>
      </c>
      <c r="G655" s="8" t="s">
        <v>69</v>
      </c>
      <c r="H655" s="19" t="s">
        <v>151</v>
      </c>
      <c r="I655" s="19" t="s">
        <v>1440</v>
      </c>
      <c r="J655" s="19" t="s">
        <v>229</v>
      </c>
    </row>
    <row r="656" ht="16" customHeight="1" outlineLevel="2" spans="1:10">
      <c r="A656" s="18">
        <v>13</v>
      </c>
      <c r="B656" s="18">
        <v>18</v>
      </c>
      <c r="C656" s="19" t="s">
        <v>1502</v>
      </c>
      <c r="D656" s="19" t="s">
        <v>1501</v>
      </c>
      <c r="E656" s="19" t="s">
        <v>66</v>
      </c>
      <c r="F656" s="8" t="s">
        <v>70</v>
      </c>
      <c r="G656" s="8" t="s">
        <v>69</v>
      </c>
      <c r="H656" s="19" t="s">
        <v>151</v>
      </c>
      <c r="I656" s="19" t="s">
        <v>1440</v>
      </c>
      <c r="J656" s="19" t="s">
        <v>301</v>
      </c>
    </row>
    <row r="657" ht="16" customHeight="1" outlineLevel="2" spans="1:10">
      <c r="A657" s="18">
        <v>13</v>
      </c>
      <c r="B657" s="18">
        <v>19</v>
      </c>
      <c r="C657" s="19" t="s">
        <v>1651</v>
      </c>
      <c r="D657" s="19" t="s">
        <v>1650</v>
      </c>
      <c r="E657" s="19" t="s">
        <v>66</v>
      </c>
      <c r="F657" s="8" t="s">
        <v>70</v>
      </c>
      <c r="G657" s="8" t="s">
        <v>69</v>
      </c>
      <c r="H657" s="19" t="s">
        <v>153</v>
      </c>
      <c r="I657" s="19" t="s">
        <v>1609</v>
      </c>
      <c r="J657" s="19" t="s">
        <v>271</v>
      </c>
    </row>
    <row r="658" ht="16" customHeight="1" outlineLevel="2" spans="1:10">
      <c r="A658" s="18">
        <v>13</v>
      </c>
      <c r="B658" s="18">
        <v>20</v>
      </c>
      <c r="C658" s="19" t="s">
        <v>1488</v>
      </c>
      <c r="D658" s="19" t="s">
        <v>1487</v>
      </c>
      <c r="E658" s="19" t="s">
        <v>66</v>
      </c>
      <c r="F658" s="8" t="s">
        <v>70</v>
      </c>
      <c r="G658" s="8" t="s">
        <v>69</v>
      </c>
      <c r="H658" s="19" t="s">
        <v>151</v>
      </c>
      <c r="I658" s="19" t="s">
        <v>1440</v>
      </c>
      <c r="J658" s="19" t="s">
        <v>280</v>
      </c>
    </row>
    <row r="659" ht="16" customHeight="1" outlineLevel="2" spans="1:10">
      <c r="A659" s="18">
        <v>13</v>
      </c>
      <c r="B659" s="18">
        <v>21</v>
      </c>
      <c r="C659" s="19" t="s">
        <v>1617</v>
      </c>
      <c r="D659" s="19" t="s">
        <v>1616</v>
      </c>
      <c r="E659" s="19" t="s">
        <v>66</v>
      </c>
      <c r="F659" s="8" t="s">
        <v>70</v>
      </c>
      <c r="G659" s="8" t="s">
        <v>69</v>
      </c>
      <c r="H659" s="19" t="s">
        <v>153</v>
      </c>
      <c r="I659" s="19" t="s">
        <v>1609</v>
      </c>
      <c r="J659" s="19" t="s">
        <v>220</v>
      </c>
    </row>
    <row r="660" ht="16" customHeight="1" outlineLevel="2" spans="1:10">
      <c r="A660" s="18">
        <v>13</v>
      </c>
      <c r="B660" s="18">
        <v>22</v>
      </c>
      <c r="C660" s="19" t="s">
        <v>1760</v>
      </c>
      <c r="D660" s="19" t="s">
        <v>1759</v>
      </c>
      <c r="E660" s="19" t="s">
        <v>66</v>
      </c>
      <c r="F660" s="8" t="s">
        <v>70</v>
      </c>
      <c r="G660" s="8" t="s">
        <v>69</v>
      </c>
      <c r="H660" s="19" t="s">
        <v>154</v>
      </c>
      <c r="I660" s="19" t="s">
        <v>1694</v>
      </c>
      <c r="J660" s="19" t="s">
        <v>307</v>
      </c>
    </row>
    <row r="661" ht="16" customHeight="1" outlineLevel="2" spans="1:10">
      <c r="A661" s="18">
        <v>13</v>
      </c>
      <c r="B661" s="18">
        <v>23</v>
      </c>
      <c r="C661" s="19" t="s">
        <v>1456</v>
      </c>
      <c r="D661" s="19" t="s">
        <v>1455</v>
      </c>
      <c r="E661" s="19" t="s">
        <v>66</v>
      </c>
      <c r="F661" s="8" t="s">
        <v>70</v>
      </c>
      <c r="G661" s="8" t="s">
        <v>69</v>
      </c>
      <c r="H661" s="19" t="s">
        <v>151</v>
      </c>
      <c r="I661" s="19" t="s">
        <v>1440</v>
      </c>
      <c r="J661" s="19" t="s">
        <v>232</v>
      </c>
    </row>
    <row r="662" ht="16" customHeight="1" outlineLevel="2" spans="1:10">
      <c r="A662" s="18">
        <v>13</v>
      </c>
      <c r="B662" s="18">
        <v>24</v>
      </c>
      <c r="C662" s="19" t="s">
        <v>1592</v>
      </c>
      <c r="D662" s="19" t="s">
        <v>1591</v>
      </c>
      <c r="E662" s="19" t="s">
        <v>66</v>
      </c>
      <c r="F662" s="8" t="s">
        <v>70</v>
      </c>
      <c r="G662" s="8" t="s">
        <v>69</v>
      </c>
      <c r="H662" s="19" t="s">
        <v>152</v>
      </c>
      <c r="I662" s="19" t="s">
        <v>1524</v>
      </c>
      <c r="J662" s="19" t="s">
        <v>310</v>
      </c>
    </row>
    <row r="663" ht="16" customHeight="1" outlineLevel="2" spans="1:10">
      <c r="A663" s="18">
        <v>13</v>
      </c>
      <c r="B663" s="18">
        <v>25</v>
      </c>
      <c r="C663" s="19" t="s">
        <v>1693</v>
      </c>
      <c r="D663" s="19" t="s">
        <v>1692</v>
      </c>
      <c r="E663" s="19" t="s">
        <v>66</v>
      </c>
      <c r="F663" s="8" t="s">
        <v>70</v>
      </c>
      <c r="G663" s="8" t="s">
        <v>69</v>
      </c>
      <c r="H663" s="19" t="s">
        <v>154</v>
      </c>
      <c r="I663" s="19" t="s">
        <v>1694</v>
      </c>
      <c r="J663" s="19" t="s">
        <v>207</v>
      </c>
    </row>
    <row r="664" ht="16" customHeight="1" outlineLevel="2" spans="1:10">
      <c r="A664" s="18">
        <v>13</v>
      </c>
      <c r="B664" s="18">
        <v>26</v>
      </c>
      <c r="C664" s="19" t="s">
        <v>1728</v>
      </c>
      <c r="D664" s="19" t="s">
        <v>1727</v>
      </c>
      <c r="E664" s="19" t="s">
        <v>66</v>
      </c>
      <c r="F664" s="8" t="s">
        <v>70</v>
      </c>
      <c r="G664" s="8" t="s">
        <v>69</v>
      </c>
      <c r="H664" s="19" t="s">
        <v>154</v>
      </c>
      <c r="I664" s="19" t="s">
        <v>1694</v>
      </c>
      <c r="J664" s="19" t="s">
        <v>259</v>
      </c>
    </row>
    <row r="665" ht="16" customHeight="1" outlineLevel="2" spans="1:10">
      <c r="A665" s="18">
        <v>13</v>
      </c>
      <c r="B665" s="18">
        <v>27</v>
      </c>
      <c r="C665" s="19" t="s">
        <v>1550</v>
      </c>
      <c r="D665" s="19" t="s">
        <v>1549</v>
      </c>
      <c r="E665" s="19" t="s">
        <v>66</v>
      </c>
      <c r="F665" s="8" t="s">
        <v>70</v>
      </c>
      <c r="G665" s="8" t="s">
        <v>69</v>
      </c>
      <c r="H665" s="19" t="s">
        <v>152</v>
      </c>
      <c r="I665" s="19" t="s">
        <v>1524</v>
      </c>
      <c r="J665" s="19" t="s">
        <v>247</v>
      </c>
    </row>
    <row r="666" ht="16" customHeight="1" outlineLevel="2" spans="1:10">
      <c r="A666" s="18">
        <v>13</v>
      </c>
      <c r="B666" s="18">
        <v>28</v>
      </c>
      <c r="C666" s="19" t="s">
        <v>1562</v>
      </c>
      <c r="D666" s="19" t="s">
        <v>1561</v>
      </c>
      <c r="E666" s="19" t="s">
        <v>66</v>
      </c>
      <c r="F666" s="8" t="s">
        <v>70</v>
      </c>
      <c r="G666" s="8" t="s">
        <v>69</v>
      </c>
      <c r="H666" s="19" t="s">
        <v>152</v>
      </c>
      <c r="I666" s="19" t="s">
        <v>1524</v>
      </c>
      <c r="J666" s="19" t="s">
        <v>265</v>
      </c>
    </row>
    <row r="667" ht="16" customHeight="1" outlineLevel="2" spans="1:10">
      <c r="A667" s="18">
        <v>13</v>
      </c>
      <c r="B667" s="18">
        <v>29</v>
      </c>
      <c r="C667" s="19" t="s">
        <v>1446</v>
      </c>
      <c r="D667" s="19" t="s">
        <v>1445</v>
      </c>
      <c r="E667" s="19" t="s">
        <v>66</v>
      </c>
      <c r="F667" s="8" t="s">
        <v>70</v>
      </c>
      <c r="G667" s="8" t="s">
        <v>69</v>
      </c>
      <c r="H667" s="7" t="s">
        <v>151</v>
      </c>
      <c r="I667" s="19" t="s">
        <v>1440</v>
      </c>
      <c r="J667" s="7" t="s">
        <v>217</v>
      </c>
    </row>
    <row r="668" ht="16" customHeight="1" outlineLevel="2" spans="1:10">
      <c r="A668" s="18">
        <v>13</v>
      </c>
      <c r="B668" s="18">
        <v>30</v>
      </c>
      <c r="C668" s="19" t="s">
        <v>1766</v>
      </c>
      <c r="D668" s="19" t="s">
        <v>1765</v>
      </c>
      <c r="E668" s="19" t="s">
        <v>66</v>
      </c>
      <c r="F668" s="8" t="s">
        <v>70</v>
      </c>
      <c r="G668" s="8" t="s">
        <v>69</v>
      </c>
      <c r="H668" s="7" t="s">
        <v>154</v>
      </c>
      <c r="I668" s="19" t="s">
        <v>1694</v>
      </c>
      <c r="J668" s="7" t="s">
        <v>316</v>
      </c>
    </row>
    <row r="669" ht="16" customHeight="1" outlineLevel="2" spans="1:10">
      <c r="A669" s="18">
        <v>13</v>
      </c>
      <c r="B669" s="18">
        <v>31</v>
      </c>
      <c r="C669" s="19" t="s">
        <v>1774</v>
      </c>
      <c r="D669" s="19" t="s">
        <v>1773</v>
      </c>
      <c r="E669" s="19" t="s">
        <v>66</v>
      </c>
      <c r="F669" s="8" t="s">
        <v>70</v>
      </c>
      <c r="G669" s="8" t="s">
        <v>69</v>
      </c>
      <c r="H669" s="7" t="s">
        <v>154</v>
      </c>
      <c r="I669" s="19" t="s">
        <v>1694</v>
      </c>
      <c r="J669" s="7" t="s">
        <v>328</v>
      </c>
    </row>
    <row r="670" ht="16" customHeight="1" outlineLevel="2" spans="1:10">
      <c r="A670" s="18">
        <v>13</v>
      </c>
      <c r="B670" s="18">
        <v>32</v>
      </c>
      <c r="C670" s="19" t="s">
        <v>1734</v>
      </c>
      <c r="D670" s="19" t="s">
        <v>1733</v>
      </c>
      <c r="E670" s="19" t="s">
        <v>66</v>
      </c>
      <c r="F670" s="8" t="s">
        <v>70</v>
      </c>
      <c r="G670" s="8" t="s">
        <v>69</v>
      </c>
      <c r="H670" s="19" t="s">
        <v>154</v>
      </c>
      <c r="I670" s="19" t="s">
        <v>1694</v>
      </c>
      <c r="J670" s="19" t="s">
        <v>268</v>
      </c>
    </row>
    <row r="671" ht="16" customHeight="1" outlineLevel="2" spans="1:10">
      <c r="A671" s="18">
        <v>13</v>
      </c>
      <c r="B671" s="18">
        <v>33</v>
      </c>
      <c r="C671" s="19" t="s">
        <v>1556</v>
      </c>
      <c r="D671" s="19" t="s">
        <v>1555</v>
      </c>
      <c r="E671" s="19" t="s">
        <v>66</v>
      </c>
      <c r="F671" s="8" t="s">
        <v>70</v>
      </c>
      <c r="G671" s="8" t="s">
        <v>69</v>
      </c>
      <c r="H671" s="19" t="s">
        <v>152</v>
      </c>
      <c r="I671" s="19" t="s">
        <v>1524</v>
      </c>
      <c r="J671" s="19" t="s">
        <v>256</v>
      </c>
    </row>
    <row r="672" ht="16" customHeight="1" outlineLevel="2" spans="1:10">
      <c r="A672" s="18">
        <v>13</v>
      </c>
      <c r="B672" s="18">
        <v>34</v>
      </c>
      <c r="C672" s="19" t="s">
        <v>1704</v>
      </c>
      <c r="D672" s="19" t="s">
        <v>1703</v>
      </c>
      <c r="E672" s="19" t="s">
        <v>66</v>
      </c>
      <c r="F672" s="8" t="s">
        <v>70</v>
      </c>
      <c r="G672" s="8" t="s">
        <v>69</v>
      </c>
      <c r="H672" s="7" t="s">
        <v>154</v>
      </c>
      <c r="I672" s="19" t="s">
        <v>1694</v>
      </c>
      <c r="J672" s="7" t="s">
        <v>223</v>
      </c>
    </row>
    <row r="673" ht="16" customHeight="1" outlineLevel="2" spans="1:10">
      <c r="A673" s="18">
        <v>13</v>
      </c>
      <c r="B673" s="18">
        <v>35</v>
      </c>
      <c r="C673" s="19" t="s">
        <v>1673</v>
      </c>
      <c r="D673" s="19" t="s">
        <v>1672</v>
      </c>
      <c r="E673" s="19" t="s">
        <v>66</v>
      </c>
      <c r="F673" s="8" t="s">
        <v>70</v>
      </c>
      <c r="G673" s="8" t="s">
        <v>69</v>
      </c>
      <c r="H673" s="7" t="s">
        <v>153</v>
      </c>
      <c r="I673" s="19" t="s">
        <v>1609</v>
      </c>
      <c r="J673" s="7" t="s">
        <v>304</v>
      </c>
    </row>
    <row r="674" ht="16" customHeight="1" outlineLevel="2" spans="1:10">
      <c r="A674" s="7">
        <v>13</v>
      </c>
      <c r="B674" s="7">
        <v>36</v>
      </c>
      <c r="C674" s="7" t="s">
        <v>1872</v>
      </c>
      <c r="D674" s="7" t="s">
        <v>1871</v>
      </c>
      <c r="E674" s="7" t="s">
        <v>66</v>
      </c>
      <c r="F674" s="7" t="s">
        <v>70</v>
      </c>
      <c r="G674" s="7" t="s">
        <v>69</v>
      </c>
      <c r="H674" s="7" t="s">
        <v>161</v>
      </c>
      <c r="I674" s="7" t="s">
        <v>1855</v>
      </c>
      <c r="J674" s="7" t="s">
        <v>232</v>
      </c>
    </row>
    <row r="675" ht="16" customHeight="1" outlineLevel="2" spans="1:10">
      <c r="A675" s="18">
        <v>13</v>
      </c>
      <c r="B675" s="18">
        <v>37</v>
      </c>
      <c r="C675" s="19" t="s">
        <v>1462</v>
      </c>
      <c r="D675" s="19" t="s">
        <v>1461</v>
      </c>
      <c r="E675" s="19" t="s">
        <v>66</v>
      </c>
      <c r="F675" s="8" t="s">
        <v>70</v>
      </c>
      <c r="G675" s="8" t="s">
        <v>69</v>
      </c>
      <c r="H675" s="7" t="s">
        <v>151</v>
      </c>
      <c r="I675" s="19" t="s">
        <v>1440</v>
      </c>
      <c r="J675" s="7" t="s">
        <v>241</v>
      </c>
    </row>
    <row r="676" ht="16" customHeight="1" outlineLevel="2" spans="1:10">
      <c r="A676" s="18">
        <v>13</v>
      </c>
      <c r="B676" s="18">
        <v>38</v>
      </c>
      <c r="C676" s="19" t="s">
        <v>1516</v>
      </c>
      <c r="D676" s="19" t="s">
        <v>1515</v>
      </c>
      <c r="E676" s="19" t="s">
        <v>66</v>
      </c>
      <c r="F676" s="8" t="s">
        <v>70</v>
      </c>
      <c r="G676" s="8" t="s">
        <v>69</v>
      </c>
      <c r="H676" s="19" t="s">
        <v>151</v>
      </c>
      <c r="I676" s="19" t="s">
        <v>1440</v>
      </c>
      <c r="J676" s="7" t="s">
        <v>322</v>
      </c>
    </row>
    <row r="677" ht="16" customHeight="1" outlineLevel="2" spans="1:10">
      <c r="A677" s="18">
        <v>13</v>
      </c>
      <c r="B677" s="18">
        <v>39</v>
      </c>
      <c r="C677" s="19" t="s">
        <v>1649</v>
      </c>
      <c r="D677" s="19" t="s">
        <v>1648</v>
      </c>
      <c r="E677" s="19" t="s">
        <v>66</v>
      </c>
      <c r="F677" s="8" t="s">
        <v>70</v>
      </c>
      <c r="G677" s="8" t="s">
        <v>69</v>
      </c>
      <c r="H677" s="19" t="s">
        <v>153</v>
      </c>
      <c r="I677" s="19" t="s">
        <v>1609</v>
      </c>
      <c r="J677" s="19" t="s">
        <v>268</v>
      </c>
    </row>
    <row r="678" ht="16" customHeight="1" outlineLevel="2" spans="1:10">
      <c r="A678" s="7">
        <v>13</v>
      </c>
      <c r="B678" s="7">
        <v>40</v>
      </c>
      <c r="C678" s="7" t="s">
        <v>1902</v>
      </c>
      <c r="D678" s="7" t="s">
        <v>1901</v>
      </c>
      <c r="E678" s="7" t="s">
        <v>66</v>
      </c>
      <c r="F678" s="7" t="s">
        <v>69</v>
      </c>
      <c r="G678" s="7" t="s">
        <v>68</v>
      </c>
      <c r="H678" s="7" t="s">
        <v>161</v>
      </c>
      <c r="I678" s="7" t="s">
        <v>1855</v>
      </c>
      <c r="J678" s="7" t="s">
        <v>274</v>
      </c>
    </row>
    <row r="679" ht="16" customHeight="1" outlineLevel="2" spans="1:10">
      <c r="A679" s="18">
        <v>13</v>
      </c>
      <c r="B679" s="18">
        <v>41</v>
      </c>
      <c r="C679" s="19" t="s">
        <v>1667</v>
      </c>
      <c r="D679" s="19" t="s">
        <v>1666</v>
      </c>
      <c r="E679" s="19" t="s">
        <v>66</v>
      </c>
      <c r="F679" s="8" t="s">
        <v>70</v>
      </c>
      <c r="G679" s="8" t="s">
        <v>69</v>
      </c>
      <c r="H679" s="7" t="s">
        <v>153</v>
      </c>
      <c r="I679" s="19" t="s">
        <v>1609</v>
      </c>
      <c r="J679" s="7" t="s">
        <v>295</v>
      </c>
    </row>
    <row r="680" ht="16" customHeight="1" outlineLevel="2" spans="1:10">
      <c r="A680" s="18">
        <v>13</v>
      </c>
      <c r="B680" s="18">
        <v>42</v>
      </c>
      <c r="C680" s="19" t="s">
        <v>1732</v>
      </c>
      <c r="D680" s="19" t="s">
        <v>1731</v>
      </c>
      <c r="E680" s="19" t="s">
        <v>66</v>
      </c>
      <c r="F680" s="8" t="s">
        <v>70</v>
      </c>
      <c r="G680" s="8" t="s">
        <v>69</v>
      </c>
      <c r="H680" s="19" t="s">
        <v>154</v>
      </c>
      <c r="I680" s="19" t="s">
        <v>1694</v>
      </c>
      <c r="J680" s="19" t="s">
        <v>265</v>
      </c>
    </row>
    <row r="681" ht="16" customHeight="1" outlineLevel="2" spans="1:10">
      <c r="A681" s="7">
        <v>13</v>
      </c>
      <c r="B681" s="7">
        <v>43</v>
      </c>
      <c r="C681" s="7" t="s">
        <v>1899</v>
      </c>
      <c r="D681" s="7" t="s">
        <v>1898</v>
      </c>
      <c r="E681" s="7" t="s">
        <v>66</v>
      </c>
      <c r="F681" s="7" t="s">
        <v>69</v>
      </c>
      <c r="G681" s="7" t="s">
        <v>68</v>
      </c>
      <c r="H681" s="7" t="s">
        <v>161</v>
      </c>
      <c r="I681" s="7" t="s">
        <v>1855</v>
      </c>
      <c r="J681" s="7" t="s">
        <v>271</v>
      </c>
    </row>
    <row r="682" ht="16" customHeight="1" outlineLevel="2" spans="1:10">
      <c r="A682" s="18">
        <v>13</v>
      </c>
      <c r="B682" s="18">
        <v>44</v>
      </c>
      <c r="C682" s="19" t="s">
        <v>1679</v>
      </c>
      <c r="D682" s="19" t="s">
        <v>1678</v>
      </c>
      <c r="E682" s="19" t="s">
        <v>66</v>
      </c>
      <c r="F682" s="8" t="s">
        <v>70</v>
      </c>
      <c r="G682" s="8" t="s">
        <v>69</v>
      </c>
      <c r="H682" s="7" t="s">
        <v>153</v>
      </c>
      <c r="I682" s="19" t="s">
        <v>1609</v>
      </c>
      <c r="J682" s="7" t="s">
        <v>313</v>
      </c>
    </row>
    <row r="683" ht="16" customHeight="1" outlineLevel="2" spans="1:10">
      <c r="A683" s="18">
        <v>13</v>
      </c>
      <c r="B683" s="18">
        <v>45</v>
      </c>
      <c r="C683" s="19" t="s">
        <v>1625</v>
      </c>
      <c r="D683" s="19" t="s">
        <v>1624</v>
      </c>
      <c r="E683" s="19" t="s">
        <v>66</v>
      </c>
      <c r="F683" s="8" t="s">
        <v>70</v>
      </c>
      <c r="G683" s="8" t="s">
        <v>69</v>
      </c>
      <c r="H683" s="19" t="s">
        <v>153</v>
      </c>
      <c r="I683" s="19" t="s">
        <v>1609</v>
      </c>
      <c r="J683" s="19" t="s">
        <v>232</v>
      </c>
    </row>
    <row r="684" ht="16" customHeight="1" outlineLevel="2" spans="1:10">
      <c r="A684" s="7">
        <v>13</v>
      </c>
      <c r="B684" s="7">
        <v>46</v>
      </c>
      <c r="C684" s="7" t="s">
        <v>1854</v>
      </c>
      <c r="D684" s="7" t="s">
        <v>1853</v>
      </c>
      <c r="E684" s="7" t="s">
        <v>66</v>
      </c>
      <c r="F684" s="7" t="s">
        <v>70</v>
      </c>
      <c r="G684" s="7" t="s">
        <v>69</v>
      </c>
      <c r="H684" s="7" t="s">
        <v>161</v>
      </c>
      <c r="I684" s="7" t="s">
        <v>1855</v>
      </c>
      <c r="J684" s="7" t="s">
        <v>207</v>
      </c>
    </row>
    <row r="685" ht="16" customHeight="1" outlineLevel="2" spans="1:10">
      <c r="A685" s="18">
        <v>13</v>
      </c>
      <c r="B685" s="18">
        <v>47</v>
      </c>
      <c r="C685" s="18" t="s">
        <v>1602</v>
      </c>
      <c r="D685" s="18" t="s">
        <v>1601</v>
      </c>
      <c r="E685" s="18" t="s">
        <v>66</v>
      </c>
      <c r="F685" s="18" t="s">
        <v>70</v>
      </c>
      <c r="G685" s="18" t="s">
        <v>69</v>
      </c>
      <c r="H685" s="18" t="s">
        <v>152</v>
      </c>
      <c r="I685" s="18" t="s">
        <v>1524</v>
      </c>
      <c r="J685" s="18" t="s">
        <v>325</v>
      </c>
    </row>
    <row r="686" ht="16" customHeight="1" outlineLevel="2" spans="1:10">
      <c r="A686" s="18">
        <v>13</v>
      </c>
      <c r="B686" s="18">
        <v>48</v>
      </c>
      <c r="C686" s="19" t="s">
        <v>1633</v>
      </c>
      <c r="D686" s="19" t="s">
        <v>1632</v>
      </c>
      <c r="E686" s="19" t="s">
        <v>66</v>
      </c>
      <c r="F686" s="8" t="s">
        <v>70</v>
      </c>
      <c r="G686" s="8" t="s">
        <v>69</v>
      </c>
      <c r="H686" s="7" t="s">
        <v>153</v>
      </c>
      <c r="I686" s="19" t="s">
        <v>1609</v>
      </c>
      <c r="J686" s="7" t="s">
        <v>244</v>
      </c>
    </row>
    <row r="687" ht="16" customHeight="1" outlineLevel="1" spans="1:10">
      <c r="A687" s="21" t="s">
        <v>1924</v>
      </c>
      <c r="B687" s="18"/>
      <c r="C687" s="19">
        <f>SUBTOTAL(3,C639:C686)</f>
        <v>48</v>
      </c>
      <c r="D687" s="19"/>
      <c r="E687" s="19"/>
      <c r="F687" s="8"/>
      <c r="G687" s="8"/>
      <c r="H687" s="7"/>
      <c r="I687" s="19"/>
      <c r="J687" s="7"/>
    </row>
    <row r="688" ht="16" customHeight="1" outlineLevel="2" spans="1:10">
      <c r="A688" s="18">
        <v>14</v>
      </c>
      <c r="B688" s="18">
        <v>1</v>
      </c>
      <c r="C688" s="19" t="s">
        <v>1476</v>
      </c>
      <c r="D688" s="19" t="s">
        <v>1475</v>
      </c>
      <c r="E688" s="19" t="s">
        <v>66</v>
      </c>
      <c r="F688" s="8" t="s">
        <v>70</v>
      </c>
      <c r="G688" s="8" t="s">
        <v>69</v>
      </c>
      <c r="H688" s="19" t="s">
        <v>151</v>
      </c>
      <c r="I688" s="19" t="s">
        <v>1440</v>
      </c>
      <c r="J688" s="19" t="s">
        <v>262</v>
      </c>
    </row>
    <row r="689" ht="16" customHeight="1" outlineLevel="2" spans="1:10">
      <c r="A689" s="18">
        <v>14</v>
      </c>
      <c r="B689" s="18">
        <v>2</v>
      </c>
      <c r="C689" s="19" t="s">
        <v>1492</v>
      </c>
      <c r="D689" s="19" t="s">
        <v>1491</v>
      </c>
      <c r="E689" s="19" t="s">
        <v>66</v>
      </c>
      <c r="F689" s="8" t="s">
        <v>70</v>
      </c>
      <c r="G689" s="8" t="s">
        <v>69</v>
      </c>
      <c r="H689" s="19" t="s">
        <v>151</v>
      </c>
      <c r="I689" s="19" t="s">
        <v>1440</v>
      </c>
      <c r="J689" s="19" t="s">
        <v>286</v>
      </c>
    </row>
    <row r="690" ht="16" customHeight="1" outlineLevel="2" spans="1:10">
      <c r="A690" s="18">
        <v>14</v>
      </c>
      <c r="B690" s="18">
        <v>3</v>
      </c>
      <c r="C690" s="19" t="s">
        <v>1598</v>
      </c>
      <c r="D690" s="19" t="s">
        <v>1597</v>
      </c>
      <c r="E690" s="19" t="s">
        <v>66</v>
      </c>
      <c r="F690" s="8" t="s">
        <v>70</v>
      </c>
      <c r="G690" s="8" t="s">
        <v>69</v>
      </c>
      <c r="H690" s="7" t="s">
        <v>152</v>
      </c>
      <c r="I690" s="19" t="s">
        <v>1524</v>
      </c>
      <c r="J690" s="7" t="s">
        <v>319</v>
      </c>
    </row>
    <row r="691" ht="16" customHeight="1" outlineLevel="2" spans="1:10">
      <c r="A691" s="7">
        <v>14</v>
      </c>
      <c r="B691" s="7">
        <v>4</v>
      </c>
      <c r="C691" s="7" t="s">
        <v>1906</v>
      </c>
      <c r="D691" s="7" t="s">
        <v>1905</v>
      </c>
      <c r="E691" s="7" t="s">
        <v>66</v>
      </c>
      <c r="F691" s="7" t="s">
        <v>67</v>
      </c>
      <c r="G691" s="7" t="s">
        <v>70</v>
      </c>
      <c r="H691" s="7" t="s">
        <v>161</v>
      </c>
      <c r="I691" s="7" t="s">
        <v>1855</v>
      </c>
      <c r="J691" s="7" t="s">
        <v>280</v>
      </c>
    </row>
    <row r="692" ht="16" customHeight="1" outlineLevel="2" spans="1:10">
      <c r="A692" s="18">
        <v>14</v>
      </c>
      <c r="B692" s="18">
        <v>5</v>
      </c>
      <c r="C692" s="19" t="s">
        <v>1720</v>
      </c>
      <c r="D692" s="19" t="s">
        <v>1719</v>
      </c>
      <c r="E692" s="19" t="s">
        <v>66</v>
      </c>
      <c r="F692" s="8" t="s">
        <v>70</v>
      </c>
      <c r="G692" s="8" t="s">
        <v>69</v>
      </c>
      <c r="H692" s="19" t="s">
        <v>154</v>
      </c>
      <c r="I692" s="19" t="s">
        <v>1694</v>
      </c>
      <c r="J692" s="19" t="s">
        <v>247</v>
      </c>
    </row>
    <row r="693" ht="16" customHeight="1" outlineLevel="2" spans="1:10">
      <c r="A693" s="7">
        <v>14</v>
      </c>
      <c r="B693" s="7">
        <v>6</v>
      </c>
      <c r="C693" s="7" t="s">
        <v>1897</v>
      </c>
      <c r="D693" s="7" t="s">
        <v>1896</v>
      </c>
      <c r="E693" s="7" t="s">
        <v>66</v>
      </c>
      <c r="F693" s="7" t="s">
        <v>70</v>
      </c>
      <c r="G693" s="7" t="s">
        <v>68</v>
      </c>
      <c r="H693" s="7" t="s">
        <v>161</v>
      </c>
      <c r="I693" s="7" t="s">
        <v>1855</v>
      </c>
      <c r="J693" s="7" t="s">
        <v>268</v>
      </c>
    </row>
    <row r="694" ht="16" customHeight="1" outlineLevel="2" spans="1:10">
      <c r="A694" s="18">
        <v>14</v>
      </c>
      <c r="B694" s="18">
        <v>7</v>
      </c>
      <c r="C694" s="19" t="s">
        <v>1706</v>
      </c>
      <c r="D694" s="19" t="s">
        <v>1705</v>
      </c>
      <c r="E694" s="19" t="s">
        <v>66</v>
      </c>
      <c r="F694" s="8" t="s">
        <v>70</v>
      </c>
      <c r="G694" s="8" t="s">
        <v>69</v>
      </c>
      <c r="H694" s="19" t="s">
        <v>154</v>
      </c>
      <c r="I694" s="19" t="s">
        <v>1694</v>
      </c>
      <c r="J694" s="19" t="s">
        <v>226</v>
      </c>
    </row>
    <row r="695" ht="16" customHeight="1" outlineLevel="2" spans="1:10">
      <c r="A695" s="18">
        <v>14</v>
      </c>
      <c r="B695" s="18">
        <v>8</v>
      </c>
      <c r="C695" s="19" t="s">
        <v>1448</v>
      </c>
      <c r="D695" s="19" t="s">
        <v>1447</v>
      </c>
      <c r="E695" s="19" t="s">
        <v>66</v>
      </c>
      <c r="F695" s="8" t="s">
        <v>70</v>
      </c>
      <c r="G695" s="8" t="s">
        <v>69</v>
      </c>
      <c r="H695" s="19" t="s">
        <v>151</v>
      </c>
      <c r="I695" s="19" t="s">
        <v>1440</v>
      </c>
      <c r="J695" s="19" t="s">
        <v>220</v>
      </c>
    </row>
    <row r="696" ht="16" customHeight="1" outlineLevel="2" spans="1:10">
      <c r="A696" s="18">
        <v>14</v>
      </c>
      <c r="B696" s="18">
        <v>9</v>
      </c>
      <c r="C696" s="19" t="s">
        <v>1522</v>
      </c>
      <c r="D696" s="19" t="s">
        <v>1521</v>
      </c>
      <c r="E696" s="19" t="s">
        <v>66</v>
      </c>
      <c r="F696" s="8" t="s">
        <v>70</v>
      </c>
      <c r="G696" s="8" t="s">
        <v>69</v>
      </c>
      <c r="H696" s="19" t="s">
        <v>151</v>
      </c>
      <c r="I696" s="19" t="s">
        <v>1440</v>
      </c>
      <c r="J696" s="19" t="s">
        <v>331</v>
      </c>
    </row>
    <row r="697" ht="16" customHeight="1" outlineLevel="2" spans="1:10">
      <c r="A697" s="18">
        <v>14</v>
      </c>
      <c r="B697" s="18">
        <v>10</v>
      </c>
      <c r="C697" s="19" t="s">
        <v>1696</v>
      </c>
      <c r="D697" s="19" t="s">
        <v>1695</v>
      </c>
      <c r="E697" s="19" t="s">
        <v>66</v>
      </c>
      <c r="F697" s="8" t="s">
        <v>70</v>
      </c>
      <c r="G697" s="8" t="s">
        <v>69</v>
      </c>
      <c r="H697" s="7" t="s">
        <v>154</v>
      </c>
      <c r="I697" s="19" t="s">
        <v>1694</v>
      </c>
      <c r="J697" s="7" t="s">
        <v>210</v>
      </c>
    </row>
    <row r="698" ht="16" customHeight="1" outlineLevel="2" spans="1:10">
      <c r="A698" s="7">
        <v>14</v>
      </c>
      <c r="B698" s="7">
        <v>11</v>
      </c>
      <c r="C698" s="7" t="s">
        <v>1870</v>
      </c>
      <c r="D698" s="7" t="s">
        <v>1869</v>
      </c>
      <c r="E698" s="7" t="s">
        <v>66</v>
      </c>
      <c r="F698" s="7" t="s">
        <v>70</v>
      </c>
      <c r="G698" s="7" t="s">
        <v>69</v>
      </c>
      <c r="H698" s="7" t="s">
        <v>161</v>
      </c>
      <c r="I698" s="7" t="s">
        <v>1855</v>
      </c>
      <c r="J698" s="7" t="s">
        <v>229</v>
      </c>
    </row>
    <row r="699" ht="16" customHeight="1" outlineLevel="2" spans="1:10">
      <c r="A699" s="18">
        <v>14</v>
      </c>
      <c r="B699" s="18">
        <v>12</v>
      </c>
      <c r="C699" s="18" t="s">
        <v>1615</v>
      </c>
      <c r="D699" s="18" t="s">
        <v>1614</v>
      </c>
      <c r="E699" s="18" t="s">
        <v>66</v>
      </c>
      <c r="F699" s="18" t="s">
        <v>70</v>
      </c>
      <c r="G699" s="18" t="s">
        <v>69</v>
      </c>
      <c r="H699" s="19" t="s">
        <v>153</v>
      </c>
      <c r="I699" s="18" t="s">
        <v>1609</v>
      </c>
      <c r="J699" s="18" t="s">
        <v>217</v>
      </c>
    </row>
    <row r="700" ht="16" customHeight="1" outlineLevel="2" spans="1:10">
      <c r="A700" s="18">
        <v>14</v>
      </c>
      <c r="B700" s="18">
        <v>13</v>
      </c>
      <c r="C700" s="19" t="s">
        <v>1637</v>
      </c>
      <c r="D700" s="19" t="s">
        <v>1636</v>
      </c>
      <c r="E700" s="19" t="s">
        <v>66</v>
      </c>
      <c r="F700" s="8" t="s">
        <v>70</v>
      </c>
      <c r="G700" s="8" t="s">
        <v>69</v>
      </c>
      <c r="H700" s="19" t="s">
        <v>153</v>
      </c>
      <c r="I700" s="19" t="s">
        <v>1609</v>
      </c>
      <c r="J700" s="19" t="s">
        <v>250</v>
      </c>
    </row>
    <row r="701" ht="16" customHeight="1" outlineLevel="2" spans="1:10">
      <c r="A701" s="18">
        <v>14</v>
      </c>
      <c r="B701" s="18">
        <v>14</v>
      </c>
      <c r="C701" s="19" t="s">
        <v>1512</v>
      </c>
      <c r="D701" s="19" t="s">
        <v>1511</v>
      </c>
      <c r="E701" s="19" t="s">
        <v>66</v>
      </c>
      <c r="F701" s="8" t="s">
        <v>70</v>
      </c>
      <c r="G701" s="8" t="s">
        <v>69</v>
      </c>
      <c r="H701" s="19" t="s">
        <v>151</v>
      </c>
      <c r="I701" s="19" t="s">
        <v>1440</v>
      </c>
      <c r="J701" s="19" t="s">
        <v>316</v>
      </c>
    </row>
    <row r="702" ht="16" customHeight="1" outlineLevel="2" spans="1:10">
      <c r="A702" s="18">
        <v>14</v>
      </c>
      <c r="B702" s="18">
        <v>15</v>
      </c>
      <c r="C702" s="19" t="s">
        <v>1708</v>
      </c>
      <c r="D702" s="19" t="s">
        <v>1707</v>
      </c>
      <c r="E702" s="19" t="s">
        <v>66</v>
      </c>
      <c r="F702" s="8" t="s">
        <v>70</v>
      </c>
      <c r="G702" s="8" t="s">
        <v>69</v>
      </c>
      <c r="H702" s="7" t="s">
        <v>154</v>
      </c>
      <c r="I702" s="19" t="s">
        <v>1694</v>
      </c>
      <c r="J702" s="7" t="s">
        <v>229</v>
      </c>
    </row>
    <row r="703" ht="16" customHeight="1" outlineLevel="2" spans="1:10">
      <c r="A703" s="7">
        <v>14</v>
      </c>
      <c r="B703" s="7">
        <v>16</v>
      </c>
      <c r="C703" s="7" t="s">
        <v>1874</v>
      </c>
      <c r="D703" s="7" t="s">
        <v>1873</v>
      </c>
      <c r="E703" s="7" t="s">
        <v>66</v>
      </c>
      <c r="F703" s="7" t="s">
        <v>70</v>
      </c>
      <c r="G703" s="7" t="s">
        <v>69</v>
      </c>
      <c r="H703" s="7" t="s">
        <v>161</v>
      </c>
      <c r="I703" s="7" t="s">
        <v>1855</v>
      </c>
      <c r="J703" s="7" t="s">
        <v>235</v>
      </c>
    </row>
    <row r="704" ht="16" customHeight="1" outlineLevel="2" spans="1:10">
      <c r="A704" s="7">
        <v>14</v>
      </c>
      <c r="B704" s="7">
        <v>17</v>
      </c>
      <c r="C704" s="7" t="s">
        <v>1895</v>
      </c>
      <c r="D704" s="7" t="s">
        <v>1894</v>
      </c>
      <c r="E704" s="7" t="s">
        <v>66</v>
      </c>
      <c r="F704" s="7" t="s">
        <v>70</v>
      </c>
      <c r="G704" s="7" t="s">
        <v>68</v>
      </c>
      <c r="H704" s="7" t="s">
        <v>161</v>
      </c>
      <c r="I704" s="7" t="s">
        <v>1855</v>
      </c>
      <c r="J704" s="7" t="s">
        <v>265</v>
      </c>
    </row>
    <row r="705" ht="16" customHeight="1" outlineLevel="2" spans="1:10">
      <c r="A705" s="18">
        <v>14</v>
      </c>
      <c r="B705" s="18">
        <v>18</v>
      </c>
      <c r="C705" s="19" t="s">
        <v>1484</v>
      </c>
      <c r="D705" s="19" t="s">
        <v>1483</v>
      </c>
      <c r="E705" s="19" t="s">
        <v>66</v>
      </c>
      <c r="F705" s="8" t="s">
        <v>70</v>
      </c>
      <c r="G705" s="8" t="s">
        <v>69</v>
      </c>
      <c r="H705" s="7" t="s">
        <v>151</v>
      </c>
      <c r="I705" s="19" t="s">
        <v>1440</v>
      </c>
      <c r="J705" s="7" t="s">
        <v>274</v>
      </c>
    </row>
    <row r="706" ht="16" customHeight="1" outlineLevel="2" spans="1:10">
      <c r="A706" s="18">
        <v>14</v>
      </c>
      <c r="B706" s="18">
        <v>19</v>
      </c>
      <c r="C706" s="19" t="s">
        <v>1712</v>
      </c>
      <c r="D706" s="19" t="s">
        <v>1711</v>
      </c>
      <c r="E706" s="19" t="s">
        <v>66</v>
      </c>
      <c r="F706" s="8" t="s">
        <v>70</v>
      </c>
      <c r="G706" s="8" t="s">
        <v>69</v>
      </c>
      <c r="H706" s="7" t="s">
        <v>154</v>
      </c>
      <c r="I706" s="19" t="s">
        <v>1694</v>
      </c>
      <c r="J706" s="7" t="s">
        <v>235</v>
      </c>
    </row>
    <row r="707" ht="16" customHeight="1" outlineLevel="2" spans="1:10">
      <c r="A707" s="18">
        <v>14</v>
      </c>
      <c r="B707" s="18">
        <v>20</v>
      </c>
      <c r="C707" s="19" t="s">
        <v>1689</v>
      </c>
      <c r="D707" s="19" t="s">
        <v>1688</v>
      </c>
      <c r="E707" s="19" t="s">
        <v>66</v>
      </c>
      <c r="F707" s="8" t="s">
        <v>70</v>
      </c>
      <c r="G707" s="8" t="s">
        <v>69</v>
      </c>
      <c r="H707" s="7" t="s">
        <v>153</v>
      </c>
      <c r="I707" s="19" t="s">
        <v>1609</v>
      </c>
      <c r="J707" s="7" t="s">
        <v>328</v>
      </c>
    </row>
    <row r="708" ht="16" customHeight="1" outlineLevel="2" spans="1:10">
      <c r="A708" s="7">
        <v>14</v>
      </c>
      <c r="B708" s="7">
        <v>21</v>
      </c>
      <c r="C708" s="7" t="s">
        <v>1889</v>
      </c>
      <c r="D708" s="7" t="s">
        <v>1888</v>
      </c>
      <c r="E708" s="7" t="s">
        <v>66</v>
      </c>
      <c r="F708" s="7" t="s">
        <v>70</v>
      </c>
      <c r="G708" s="7" t="s">
        <v>68</v>
      </c>
      <c r="H708" s="7" t="s">
        <v>161</v>
      </c>
      <c r="I708" s="7" t="s">
        <v>1855</v>
      </c>
      <c r="J708" s="7" t="s">
        <v>256</v>
      </c>
    </row>
    <row r="709" ht="16" customHeight="1" outlineLevel="2" spans="1:10">
      <c r="A709" s="18">
        <v>14</v>
      </c>
      <c r="B709" s="18">
        <v>22</v>
      </c>
      <c r="C709" s="19" t="s">
        <v>1726</v>
      </c>
      <c r="D709" s="19" t="s">
        <v>1725</v>
      </c>
      <c r="E709" s="19" t="s">
        <v>66</v>
      </c>
      <c r="F709" s="8" t="s">
        <v>70</v>
      </c>
      <c r="G709" s="8" t="s">
        <v>69</v>
      </c>
      <c r="H709" s="19" t="s">
        <v>154</v>
      </c>
      <c r="I709" s="19" t="s">
        <v>1694</v>
      </c>
      <c r="J709" s="19" t="s">
        <v>256</v>
      </c>
    </row>
    <row r="710" ht="16" customHeight="1" outlineLevel="2" spans="1:10">
      <c r="A710" s="18">
        <v>14</v>
      </c>
      <c r="B710" s="18">
        <v>23</v>
      </c>
      <c r="C710" s="19" t="s">
        <v>1702</v>
      </c>
      <c r="D710" s="19" t="s">
        <v>1701</v>
      </c>
      <c r="E710" s="19" t="s">
        <v>66</v>
      </c>
      <c r="F710" s="8" t="s">
        <v>70</v>
      </c>
      <c r="G710" s="8" t="s">
        <v>69</v>
      </c>
      <c r="H710" s="7" t="s">
        <v>154</v>
      </c>
      <c r="I710" s="19" t="s">
        <v>1694</v>
      </c>
      <c r="J710" s="7" t="s">
        <v>220</v>
      </c>
    </row>
    <row r="711" ht="16" customHeight="1" outlineLevel="2" spans="1:10">
      <c r="A711" s="18">
        <v>14</v>
      </c>
      <c r="B711" s="18">
        <v>24</v>
      </c>
      <c r="C711" s="19" t="s">
        <v>1566</v>
      </c>
      <c r="D711" s="19" t="s">
        <v>1565</v>
      </c>
      <c r="E711" s="19" t="s">
        <v>66</v>
      </c>
      <c r="F711" s="8" t="s">
        <v>70</v>
      </c>
      <c r="G711" s="8" t="s">
        <v>69</v>
      </c>
      <c r="H711" s="19" t="s">
        <v>152</v>
      </c>
      <c r="I711" s="19" t="s">
        <v>1524</v>
      </c>
      <c r="J711" s="19" t="s">
        <v>271</v>
      </c>
    </row>
    <row r="712" ht="16" customHeight="1" outlineLevel="2" spans="1:10">
      <c r="A712" s="18">
        <v>14</v>
      </c>
      <c r="B712" s="18">
        <v>25</v>
      </c>
      <c r="C712" s="19" t="s">
        <v>1748</v>
      </c>
      <c r="D712" s="19" t="s">
        <v>1747</v>
      </c>
      <c r="E712" s="19" t="s">
        <v>66</v>
      </c>
      <c r="F712" s="8" t="s">
        <v>70</v>
      </c>
      <c r="G712" s="8" t="s">
        <v>69</v>
      </c>
      <c r="H712" s="7" t="s">
        <v>154</v>
      </c>
      <c r="I712" s="19" t="s">
        <v>1694</v>
      </c>
      <c r="J712" s="7" t="s">
        <v>289</v>
      </c>
    </row>
    <row r="713" ht="16" customHeight="1" outlineLevel="2" spans="1:10">
      <c r="A713" s="18">
        <v>14</v>
      </c>
      <c r="B713" s="18">
        <v>26</v>
      </c>
      <c r="C713" s="19" t="s">
        <v>1750</v>
      </c>
      <c r="D713" s="19" t="s">
        <v>1749</v>
      </c>
      <c r="E713" s="19" t="s">
        <v>66</v>
      </c>
      <c r="F713" s="8" t="s">
        <v>70</v>
      </c>
      <c r="G713" s="8" t="s">
        <v>69</v>
      </c>
      <c r="H713" s="7" t="s">
        <v>154</v>
      </c>
      <c r="I713" s="19" t="s">
        <v>1694</v>
      </c>
      <c r="J713" s="7" t="s">
        <v>292</v>
      </c>
    </row>
    <row r="714" ht="16" customHeight="1" outlineLevel="2" spans="1:10">
      <c r="A714" s="18">
        <v>14</v>
      </c>
      <c r="B714" s="18">
        <v>27</v>
      </c>
      <c r="C714" s="19" t="s">
        <v>1486</v>
      </c>
      <c r="D714" s="19" t="s">
        <v>1485</v>
      </c>
      <c r="E714" s="19" t="s">
        <v>66</v>
      </c>
      <c r="F714" s="8" t="s">
        <v>70</v>
      </c>
      <c r="G714" s="8" t="s">
        <v>69</v>
      </c>
      <c r="H714" s="19" t="s">
        <v>151</v>
      </c>
      <c r="I714" s="19" t="s">
        <v>1440</v>
      </c>
      <c r="J714" s="19" t="s">
        <v>277</v>
      </c>
    </row>
    <row r="715" ht="16" customHeight="1" outlineLevel="2" spans="1:10">
      <c r="A715" s="7">
        <v>14</v>
      </c>
      <c r="B715" s="7">
        <v>28</v>
      </c>
      <c r="C715" s="7" t="s">
        <v>1886</v>
      </c>
      <c r="D715" s="7" t="s">
        <v>1885</v>
      </c>
      <c r="E715" s="7" t="s">
        <v>66</v>
      </c>
      <c r="F715" s="7" t="s">
        <v>70</v>
      </c>
      <c r="G715" s="7" t="s">
        <v>68</v>
      </c>
      <c r="H715" s="7" t="s">
        <v>161</v>
      </c>
      <c r="I715" s="7" t="s">
        <v>1855</v>
      </c>
      <c r="J715" s="7" t="s">
        <v>253</v>
      </c>
    </row>
    <row r="716" ht="16" customHeight="1" outlineLevel="2" spans="1:10">
      <c r="A716" s="18">
        <v>14</v>
      </c>
      <c r="B716" s="18">
        <v>29</v>
      </c>
      <c r="C716" s="19" t="s">
        <v>1532</v>
      </c>
      <c r="D716" s="19" t="s">
        <v>1531</v>
      </c>
      <c r="E716" s="19" t="s">
        <v>66</v>
      </c>
      <c r="F716" s="8" t="s">
        <v>70</v>
      </c>
      <c r="G716" s="8" t="s">
        <v>69</v>
      </c>
      <c r="H716" s="19" t="s">
        <v>152</v>
      </c>
      <c r="I716" s="19" t="s">
        <v>1524</v>
      </c>
      <c r="J716" s="19" t="s">
        <v>220</v>
      </c>
    </row>
    <row r="717" ht="16" customHeight="1" outlineLevel="2" spans="1:10">
      <c r="A717" s="18">
        <v>14</v>
      </c>
      <c r="B717" s="18">
        <v>30</v>
      </c>
      <c r="C717" s="19" t="s">
        <v>1606</v>
      </c>
      <c r="D717" s="19" t="s">
        <v>1605</v>
      </c>
      <c r="E717" s="19" t="s">
        <v>66</v>
      </c>
      <c r="F717" s="8" t="s">
        <v>70</v>
      </c>
      <c r="G717" s="8" t="s">
        <v>69</v>
      </c>
      <c r="H717" s="7" t="s">
        <v>152</v>
      </c>
      <c r="I717" s="19" t="s">
        <v>1524</v>
      </c>
      <c r="J717" s="7" t="s">
        <v>331</v>
      </c>
    </row>
    <row r="718" ht="16" customHeight="1" outlineLevel="2" spans="1:10">
      <c r="A718" s="7">
        <v>14</v>
      </c>
      <c r="B718" s="7">
        <v>31</v>
      </c>
      <c r="C718" s="7" t="s">
        <v>1891</v>
      </c>
      <c r="D718" s="7" t="s">
        <v>1890</v>
      </c>
      <c r="E718" s="7" t="s">
        <v>66</v>
      </c>
      <c r="F718" s="7" t="s">
        <v>70</v>
      </c>
      <c r="G718" s="7" t="s">
        <v>68</v>
      </c>
      <c r="H718" s="7" t="s">
        <v>161</v>
      </c>
      <c r="I718" s="7" t="s">
        <v>1855</v>
      </c>
      <c r="J718" s="7" t="s">
        <v>259</v>
      </c>
    </row>
    <row r="719" ht="16" customHeight="1" outlineLevel="2" spans="1:10">
      <c r="A719" s="18">
        <v>14</v>
      </c>
      <c r="B719" s="18">
        <v>32</v>
      </c>
      <c r="C719" s="19" t="s">
        <v>1608</v>
      </c>
      <c r="D719" s="19" t="s">
        <v>1607</v>
      </c>
      <c r="E719" s="19" t="s">
        <v>66</v>
      </c>
      <c r="F719" s="8" t="s">
        <v>70</v>
      </c>
      <c r="G719" s="8" t="s">
        <v>69</v>
      </c>
      <c r="H719" s="19" t="s">
        <v>153</v>
      </c>
      <c r="I719" s="19" t="s">
        <v>1609</v>
      </c>
      <c r="J719" s="19" t="s">
        <v>207</v>
      </c>
    </row>
    <row r="720" ht="16" customHeight="1" outlineLevel="2" spans="1:10">
      <c r="A720" s="7">
        <v>14</v>
      </c>
      <c r="B720" s="7">
        <v>33</v>
      </c>
      <c r="C720" s="7" t="s">
        <v>1893</v>
      </c>
      <c r="D720" s="7" t="s">
        <v>1892</v>
      </c>
      <c r="E720" s="7" t="s">
        <v>66</v>
      </c>
      <c r="F720" s="7" t="s">
        <v>70</v>
      </c>
      <c r="G720" s="7" t="s">
        <v>68</v>
      </c>
      <c r="H720" s="7" t="s">
        <v>161</v>
      </c>
      <c r="I720" s="7" t="s">
        <v>1855</v>
      </c>
      <c r="J720" s="7" t="s">
        <v>262</v>
      </c>
    </row>
    <row r="721" ht="16" customHeight="1" outlineLevel="2" spans="1:10">
      <c r="A721" s="18">
        <v>14</v>
      </c>
      <c r="B721" s="18">
        <v>34</v>
      </c>
      <c r="C721" s="19" t="s">
        <v>1764</v>
      </c>
      <c r="D721" s="19" t="s">
        <v>1763</v>
      </c>
      <c r="E721" s="19" t="s">
        <v>66</v>
      </c>
      <c r="F721" s="8" t="s">
        <v>70</v>
      </c>
      <c r="G721" s="8" t="s">
        <v>69</v>
      </c>
      <c r="H721" s="19" t="s">
        <v>154</v>
      </c>
      <c r="I721" s="19" t="s">
        <v>1694</v>
      </c>
      <c r="J721" s="19" t="s">
        <v>313</v>
      </c>
    </row>
    <row r="722" ht="16" customHeight="1" outlineLevel="2" spans="1:10">
      <c r="A722" s="18">
        <v>14</v>
      </c>
      <c r="B722" s="18">
        <v>35</v>
      </c>
      <c r="C722" s="19" t="s">
        <v>1604</v>
      </c>
      <c r="D722" s="19" t="s">
        <v>1603</v>
      </c>
      <c r="E722" s="19" t="s">
        <v>66</v>
      </c>
      <c r="F722" s="8" t="s">
        <v>70</v>
      </c>
      <c r="G722" s="8" t="s">
        <v>69</v>
      </c>
      <c r="H722" s="7" t="s">
        <v>152</v>
      </c>
      <c r="I722" s="19" t="s">
        <v>1524</v>
      </c>
      <c r="J722" s="7" t="s">
        <v>328</v>
      </c>
    </row>
    <row r="723" ht="16" customHeight="1" outlineLevel="2" spans="1:10">
      <c r="A723" s="18">
        <v>14</v>
      </c>
      <c r="B723" s="18">
        <v>36</v>
      </c>
      <c r="C723" s="19" t="s">
        <v>1691</v>
      </c>
      <c r="D723" s="19" t="s">
        <v>1690</v>
      </c>
      <c r="E723" s="19" t="s">
        <v>66</v>
      </c>
      <c r="F723" s="8" t="s">
        <v>70</v>
      </c>
      <c r="G723" s="8" t="s">
        <v>69</v>
      </c>
      <c r="H723" s="19" t="s">
        <v>153</v>
      </c>
      <c r="I723" s="19" t="s">
        <v>1609</v>
      </c>
      <c r="J723" s="19" t="s">
        <v>331</v>
      </c>
    </row>
    <row r="724" ht="16" customHeight="1" outlineLevel="2" spans="1:10">
      <c r="A724" s="7">
        <v>14</v>
      </c>
      <c r="B724" s="7">
        <v>37</v>
      </c>
      <c r="C724" s="7" t="s">
        <v>1858</v>
      </c>
      <c r="D724" s="7" t="s">
        <v>1857</v>
      </c>
      <c r="E724" s="7" t="s">
        <v>66</v>
      </c>
      <c r="F724" s="7" t="s">
        <v>70</v>
      </c>
      <c r="G724" s="7" t="s">
        <v>69</v>
      </c>
      <c r="H724" s="7" t="s">
        <v>161</v>
      </c>
      <c r="I724" s="7" t="s">
        <v>1855</v>
      </c>
      <c r="J724" s="7" t="s">
        <v>210</v>
      </c>
    </row>
    <row r="725" ht="16" customHeight="1" outlineLevel="2" spans="1:10">
      <c r="A725" s="18">
        <v>14</v>
      </c>
      <c r="B725" s="18">
        <v>38</v>
      </c>
      <c r="C725" s="19" t="s">
        <v>1518</v>
      </c>
      <c r="D725" s="19" t="s">
        <v>1517</v>
      </c>
      <c r="E725" s="19" t="s">
        <v>66</v>
      </c>
      <c r="F725" s="8" t="s">
        <v>70</v>
      </c>
      <c r="G725" s="8" t="s">
        <v>69</v>
      </c>
      <c r="H725" s="19" t="s">
        <v>151</v>
      </c>
      <c r="I725" s="19" t="s">
        <v>1440</v>
      </c>
      <c r="J725" s="19" t="s">
        <v>325</v>
      </c>
    </row>
    <row r="726" ht="16" customHeight="1" outlineLevel="2" spans="1:10">
      <c r="A726" s="18">
        <v>14</v>
      </c>
      <c r="B726" s="18">
        <v>39</v>
      </c>
      <c r="C726" s="19" t="s">
        <v>1738</v>
      </c>
      <c r="D726" s="19" t="s">
        <v>1737</v>
      </c>
      <c r="E726" s="19" t="s">
        <v>66</v>
      </c>
      <c r="F726" s="8" t="s">
        <v>70</v>
      </c>
      <c r="G726" s="8" t="s">
        <v>69</v>
      </c>
      <c r="H726" s="7" t="s">
        <v>154</v>
      </c>
      <c r="I726" s="19" t="s">
        <v>1694</v>
      </c>
      <c r="J726" s="7" t="s">
        <v>274</v>
      </c>
    </row>
    <row r="727" ht="16" customHeight="1" outlineLevel="2" spans="1:10">
      <c r="A727" s="18">
        <v>14</v>
      </c>
      <c r="B727" s="18">
        <v>40</v>
      </c>
      <c r="C727" s="19" t="s">
        <v>1582</v>
      </c>
      <c r="D727" s="19" t="s">
        <v>1581</v>
      </c>
      <c r="E727" s="19" t="s">
        <v>66</v>
      </c>
      <c r="F727" s="8" t="s">
        <v>70</v>
      </c>
      <c r="G727" s="8" t="s">
        <v>69</v>
      </c>
      <c r="H727" s="7" t="s">
        <v>152</v>
      </c>
      <c r="I727" s="19" t="s">
        <v>1524</v>
      </c>
      <c r="J727" s="7" t="s">
        <v>295</v>
      </c>
    </row>
    <row r="728" ht="16" customHeight="1" outlineLevel="2" spans="1:10">
      <c r="A728" s="18">
        <v>14</v>
      </c>
      <c r="B728" s="18">
        <v>41</v>
      </c>
      <c r="C728" s="19" t="s">
        <v>1772</v>
      </c>
      <c r="D728" s="19" t="s">
        <v>1771</v>
      </c>
      <c r="E728" s="19" t="s">
        <v>66</v>
      </c>
      <c r="F728" s="8" t="s">
        <v>70</v>
      </c>
      <c r="G728" s="8" t="s">
        <v>69</v>
      </c>
      <c r="H728" s="19" t="s">
        <v>154</v>
      </c>
      <c r="I728" s="19" t="s">
        <v>1694</v>
      </c>
      <c r="J728" s="19" t="s">
        <v>325</v>
      </c>
    </row>
    <row r="729" ht="16" customHeight="1" outlineLevel="2" spans="1:10">
      <c r="A729" s="18">
        <v>14</v>
      </c>
      <c r="B729" s="18">
        <v>42</v>
      </c>
      <c r="C729" s="19" t="s">
        <v>1611</v>
      </c>
      <c r="D729" s="19" t="s">
        <v>1610</v>
      </c>
      <c r="E729" s="19" t="s">
        <v>66</v>
      </c>
      <c r="F729" s="8" t="s">
        <v>70</v>
      </c>
      <c r="G729" s="8" t="s">
        <v>69</v>
      </c>
      <c r="H729" s="7" t="s">
        <v>153</v>
      </c>
      <c r="I729" s="19" t="s">
        <v>1609</v>
      </c>
      <c r="J729" s="7" t="s">
        <v>210</v>
      </c>
    </row>
    <row r="730" ht="16" customHeight="1" outlineLevel="2" spans="1:10">
      <c r="A730" s="18">
        <v>14</v>
      </c>
      <c r="B730" s="18">
        <v>43</v>
      </c>
      <c r="C730" s="18" t="s">
        <v>1536</v>
      </c>
      <c r="D730" s="18" t="s">
        <v>1535</v>
      </c>
      <c r="E730" s="18" t="s">
        <v>66</v>
      </c>
      <c r="F730" s="18" t="s">
        <v>70</v>
      </c>
      <c r="G730" s="18" t="s">
        <v>69</v>
      </c>
      <c r="H730" s="18" t="s">
        <v>152</v>
      </c>
      <c r="I730" s="18" t="s">
        <v>1524</v>
      </c>
      <c r="J730" s="18" t="s">
        <v>226</v>
      </c>
    </row>
    <row r="731" ht="16" customHeight="1" outlineLevel="2" spans="1:10">
      <c r="A731" s="18">
        <v>14</v>
      </c>
      <c r="B731" s="18">
        <v>44</v>
      </c>
      <c r="C731" s="19" t="s">
        <v>1655</v>
      </c>
      <c r="D731" s="19" t="s">
        <v>1654</v>
      </c>
      <c r="E731" s="19" t="s">
        <v>66</v>
      </c>
      <c r="F731" s="8" t="s">
        <v>70</v>
      </c>
      <c r="G731" s="8" t="s">
        <v>69</v>
      </c>
      <c r="H731" s="7" t="s">
        <v>153</v>
      </c>
      <c r="I731" s="19" t="s">
        <v>1609</v>
      </c>
      <c r="J731" s="7" t="s">
        <v>277</v>
      </c>
    </row>
    <row r="732" ht="16" customHeight="1" outlineLevel="2" spans="1:10">
      <c r="A732" s="18">
        <v>14</v>
      </c>
      <c r="B732" s="18">
        <v>45</v>
      </c>
      <c r="C732" s="19" t="s">
        <v>1758</v>
      </c>
      <c r="D732" s="19" t="s">
        <v>1757</v>
      </c>
      <c r="E732" s="19" t="s">
        <v>66</v>
      </c>
      <c r="F732" s="8" t="s">
        <v>70</v>
      </c>
      <c r="G732" s="8" t="s">
        <v>69</v>
      </c>
      <c r="H732" s="7" t="s">
        <v>154</v>
      </c>
      <c r="I732" s="19" t="s">
        <v>1694</v>
      </c>
      <c r="J732" s="7" t="s">
        <v>304</v>
      </c>
    </row>
    <row r="733" ht="16" customHeight="1" outlineLevel="2" spans="1:10">
      <c r="A733" s="18">
        <v>14</v>
      </c>
      <c r="B733" s="18">
        <v>46</v>
      </c>
      <c r="C733" s="18" t="s">
        <v>1526</v>
      </c>
      <c r="D733" s="18" t="s">
        <v>1525</v>
      </c>
      <c r="E733" s="18" t="s">
        <v>66</v>
      </c>
      <c r="F733" s="18" t="s">
        <v>70</v>
      </c>
      <c r="G733" s="18" t="s">
        <v>69</v>
      </c>
      <c r="H733" s="18" t="s">
        <v>152</v>
      </c>
      <c r="I733" s="18" t="s">
        <v>1524</v>
      </c>
      <c r="J733" s="18" t="s">
        <v>210</v>
      </c>
    </row>
    <row r="734" ht="16" customHeight="1" outlineLevel="2" spans="1:10">
      <c r="A734" s="18">
        <v>14</v>
      </c>
      <c r="B734" s="18">
        <v>47</v>
      </c>
      <c r="C734" s="19" t="s">
        <v>1746</v>
      </c>
      <c r="D734" s="19" t="s">
        <v>1745</v>
      </c>
      <c r="E734" s="19" t="s">
        <v>66</v>
      </c>
      <c r="F734" s="8" t="s">
        <v>70</v>
      </c>
      <c r="G734" s="8" t="s">
        <v>69</v>
      </c>
      <c r="H734" s="19" t="s">
        <v>154</v>
      </c>
      <c r="I734" s="19" t="s">
        <v>1694</v>
      </c>
      <c r="J734" s="7" t="s">
        <v>286</v>
      </c>
    </row>
    <row r="735" ht="16" customHeight="1" outlineLevel="2" spans="1:10">
      <c r="A735" s="18">
        <v>14</v>
      </c>
      <c r="B735" s="18">
        <v>48</v>
      </c>
      <c r="C735" s="19" t="s">
        <v>1635</v>
      </c>
      <c r="D735" s="19" t="s">
        <v>1634</v>
      </c>
      <c r="E735" s="19" t="s">
        <v>66</v>
      </c>
      <c r="F735" s="8" t="s">
        <v>70</v>
      </c>
      <c r="G735" s="8" t="s">
        <v>69</v>
      </c>
      <c r="H735" s="7" t="s">
        <v>153</v>
      </c>
      <c r="I735" s="19" t="s">
        <v>1609</v>
      </c>
      <c r="J735" s="7" t="s">
        <v>247</v>
      </c>
    </row>
    <row r="736" ht="16" customHeight="1" outlineLevel="2" spans="1:10">
      <c r="A736" s="18">
        <v>14</v>
      </c>
      <c r="B736" s="18">
        <v>49</v>
      </c>
      <c r="C736" s="18" t="s">
        <v>1574</v>
      </c>
      <c r="D736" s="18" t="s">
        <v>1573</v>
      </c>
      <c r="E736" s="18" t="s">
        <v>66</v>
      </c>
      <c r="F736" s="18" t="s">
        <v>70</v>
      </c>
      <c r="G736" s="18" t="s">
        <v>69</v>
      </c>
      <c r="H736" s="18" t="s">
        <v>152</v>
      </c>
      <c r="I736" s="18" t="s">
        <v>1524</v>
      </c>
      <c r="J736" s="18" t="s">
        <v>283</v>
      </c>
    </row>
    <row r="737" ht="16" customHeight="1" outlineLevel="1" spans="1:10">
      <c r="A737" s="21" t="s">
        <v>1925</v>
      </c>
      <c r="B737" s="18"/>
      <c r="C737" s="18">
        <f>SUBTOTAL(3,C688:C736)</f>
        <v>49</v>
      </c>
      <c r="D737" s="18"/>
      <c r="E737" s="18"/>
      <c r="F737" s="18"/>
      <c r="G737" s="18"/>
      <c r="H737" s="18"/>
      <c r="I737" s="18"/>
      <c r="J737" s="18"/>
    </row>
    <row r="738" ht="16" customHeight="1" outlineLevel="2" spans="1:10">
      <c r="A738" s="7">
        <v>15</v>
      </c>
      <c r="B738" s="7">
        <v>1</v>
      </c>
      <c r="C738" s="7" t="s">
        <v>1868</v>
      </c>
      <c r="D738" s="7" t="s">
        <v>1867</v>
      </c>
      <c r="E738" s="7" t="s">
        <v>66</v>
      </c>
      <c r="F738" s="7" t="s">
        <v>70</v>
      </c>
      <c r="G738" s="7" t="s">
        <v>69</v>
      </c>
      <c r="H738" s="7" t="s">
        <v>161</v>
      </c>
      <c r="I738" s="7" t="s">
        <v>1855</v>
      </c>
      <c r="J738" s="7" t="s">
        <v>226</v>
      </c>
    </row>
    <row r="739" ht="16" customHeight="1" outlineLevel="2" spans="1:10">
      <c r="A739" s="18">
        <v>15</v>
      </c>
      <c r="B739" s="18">
        <v>2</v>
      </c>
      <c r="C739" s="19" t="s">
        <v>1586</v>
      </c>
      <c r="D739" s="19" t="s">
        <v>1585</v>
      </c>
      <c r="E739" s="19" t="s">
        <v>66</v>
      </c>
      <c r="F739" s="8" t="s">
        <v>70</v>
      </c>
      <c r="G739" s="8" t="s">
        <v>69</v>
      </c>
      <c r="H739" s="19" t="s">
        <v>152</v>
      </c>
      <c r="I739" s="19" t="s">
        <v>1524</v>
      </c>
      <c r="J739" s="19" t="s">
        <v>301</v>
      </c>
    </row>
    <row r="740" ht="16" customHeight="1" outlineLevel="2" spans="1:10">
      <c r="A740" s="18">
        <v>15</v>
      </c>
      <c r="B740" s="18">
        <v>3</v>
      </c>
      <c r="C740" s="19" t="s">
        <v>1584</v>
      </c>
      <c r="D740" s="19" t="s">
        <v>1583</v>
      </c>
      <c r="E740" s="19" t="s">
        <v>66</v>
      </c>
      <c r="F740" s="8" t="s">
        <v>70</v>
      </c>
      <c r="G740" s="8" t="s">
        <v>69</v>
      </c>
      <c r="H740" s="19" t="s">
        <v>152</v>
      </c>
      <c r="I740" s="19" t="s">
        <v>1524</v>
      </c>
      <c r="J740" s="19" t="s">
        <v>298</v>
      </c>
    </row>
    <row r="741" ht="16" customHeight="1" outlineLevel="2" spans="1:10">
      <c r="A741" s="18">
        <v>15</v>
      </c>
      <c r="B741" s="18">
        <v>4</v>
      </c>
      <c r="C741" s="19" t="s">
        <v>1466</v>
      </c>
      <c r="D741" s="19" t="s">
        <v>1465</v>
      </c>
      <c r="E741" s="19" t="s">
        <v>66</v>
      </c>
      <c r="F741" s="8" t="s">
        <v>70</v>
      </c>
      <c r="G741" s="8" t="s">
        <v>69</v>
      </c>
      <c r="H741" s="19" t="s">
        <v>151</v>
      </c>
      <c r="I741" s="19" t="s">
        <v>1440</v>
      </c>
      <c r="J741" s="19" t="s">
        <v>247</v>
      </c>
    </row>
    <row r="742" ht="16" customHeight="1" outlineLevel="2" spans="1:10">
      <c r="A742" s="7">
        <v>15</v>
      </c>
      <c r="B742" s="7">
        <v>5</v>
      </c>
      <c r="C742" s="7" t="s">
        <v>1862</v>
      </c>
      <c r="D742" s="7" t="s">
        <v>1861</v>
      </c>
      <c r="E742" s="7" t="s">
        <v>66</v>
      </c>
      <c r="F742" s="7" t="s">
        <v>70</v>
      </c>
      <c r="G742" s="7" t="s">
        <v>69</v>
      </c>
      <c r="H742" s="7" t="s">
        <v>161</v>
      </c>
      <c r="I742" s="7" t="s">
        <v>1855</v>
      </c>
      <c r="J742" s="7" t="s">
        <v>217</v>
      </c>
    </row>
    <row r="743" ht="16" customHeight="1" outlineLevel="2" spans="1:10">
      <c r="A743" s="18">
        <v>15</v>
      </c>
      <c r="B743" s="18">
        <v>6</v>
      </c>
      <c r="C743" s="19" t="s">
        <v>1669</v>
      </c>
      <c r="D743" s="19" t="s">
        <v>1668</v>
      </c>
      <c r="E743" s="19" t="s">
        <v>66</v>
      </c>
      <c r="F743" s="8" t="s">
        <v>70</v>
      </c>
      <c r="G743" s="8" t="s">
        <v>69</v>
      </c>
      <c r="H743" s="7" t="s">
        <v>153</v>
      </c>
      <c r="I743" s="19" t="s">
        <v>1609</v>
      </c>
      <c r="J743" s="19" t="s">
        <v>298</v>
      </c>
    </row>
    <row r="744" ht="16" customHeight="1" outlineLevel="2" spans="1:10">
      <c r="A744" s="18">
        <v>15</v>
      </c>
      <c r="B744" s="18">
        <v>7</v>
      </c>
      <c r="C744" s="19" t="s">
        <v>1631</v>
      </c>
      <c r="D744" s="19" t="s">
        <v>1630</v>
      </c>
      <c r="E744" s="19" t="s">
        <v>66</v>
      </c>
      <c r="F744" s="8" t="s">
        <v>70</v>
      </c>
      <c r="G744" s="8" t="s">
        <v>69</v>
      </c>
      <c r="H744" s="7" t="s">
        <v>153</v>
      </c>
      <c r="I744" s="19" t="s">
        <v>1609</v>
      </c>
      <c r="J744" s="7" t="s">
        <v>241</v>
      </c>
    </row>
    <row r="745" ht="16" customHeight="1" outlineLevel="2" spans="1:10">
      <c r="A745" s="18">
        <v>15</v>
      </c>
      <c r="B745" s="18">
        <v>8</v>
      </c>
      <c r="C745" s="19" t="s">
        <v>1762</v>
      </c>
      <c r="D745" s="19" t="s">
        <v>1761</v>
      </c>
      <c r="E745" s="19" t="s">
        <v>66</v>
      </c>
      <c r="F745" s="8" t="s">
        <v>70</v>
      </c>
      <c r="G745" s="8" t="s">
        <v>69</v>
      </c>
      <c r="H745" s="19" t="s">
        <v>154</v>
      </c>
      <c r="I745" s="19" t="s">
        <v>1694</v>
      </c>
      <c r="J745" s="19" t="s">
        <v>310</v>
      </c>
    </row>
    <row r="746" ht="16" customHeight="1" outlineLevel="2" spans="1:10">
      <c r="A746" s="18">
        <v>15</v>
      </c>
      <c r="B746" s="18">
        <v>9</v>
      </c>
      <c r="C746" s="19" t="s">
        <v>1698</v>
      </c>
      <c r="D746" s="19" t="s">
        <v>1697</v>
      </c>
      <c r="E746" s="19" t="s">
        <v>66</v>
      </c>
      <c r="F746" s="8" t="s">
        <v>70</v>
      </c>
      <c r="G746" s="8" t="s">
        <v>69</v>
      </c>
      <c r="H746" s="7" t="s">
        <v>154</v>
      </c>
      <c r="I746" s="19" t="s">
        <v>1694</v>
      </c>
      <c r="J746" s="7" t="s">
        <v>214</v>
      </c>
    </row>
    <row r="747" ht="16" customHeight="1" outlineLevel="2" spans="1:10">
      <c r="A747" s="18">
        <v>15</v>
      </c>
      <c r="B747" s="18">
        <v>10</v>
      </c>
      <c r="C747" s="19" t="s">
        <v>1498</v>
      </c>
      <c r="D747" s="19" t="s">
        <v>1497</v>
      </c>
      <c r="E747" s="19" t="s">
        <v>66</v>
      </c>
      <c r="F747" s="8" t="s">
        <v>70</v>
      </c>
      <c r="G747" s="8" t="s">
        <v>69</v>
      </c>
      <c r="H747" s="19" t="s">
        <v>151</v>
      </c>
      <c r="I747" s="19" t="s">
        <v>1440</v>
      </c>
      <c r="J747" s="19" t="s">
        <v>295</v>
      </c>
    </row>
    <row r="748" ht="16" customHeight="1" outlineLevel="2" spans="1:10">
      <c r="A748" s="18">
        <v>15</v>
      </c>
      <c r="B748" s="18">
        <v>11</v>
      </c>
      <c r="C748" s="19" t="s">
        <v>1572</v>
      </c>
      <c r="D748" s="19" t="s">
        <v>1571</v>
      </c>
      <c r="E748" s="19" t="s">
        <v>66</v>
      </c>
      <c r="F748" s="8" t="s">
        <v>70</v>
      </c>
      <c r="G748" s="8" t="s">
        <v>69</v>
      </c>
      <c r="H748" s="19" t="s">
        <v>152</v>
      </c>
      <c r="I748" s="19" t="s">
        <v>1524</v>
      </c>
      <c r="J748" s="19" t="s">
        <v>280</v>
      </c>
    </row>
    <row r="749" ht="16" customHeight="1" outlineLevel="2" spans="1:10">
      <c r="A749" s="18">
        <v>15</v>
      </c>
      <c r="B749" s="18">
        <v>12</v>
      </c>
      <c r="C749" s="19" t="s">
        <v>1464</v>
      </c>
      <c r="D749" s="19" t="s">
        <v>1463</v>
      </c>
      <c r="E749" s="19" t="s">
        <v>66</v>
      </c>
      <c r="F749" s="8" t="s">
        <v>70</v>
      </c>
      <c r="G749" s="8" t="s">
        <v>69</v>
      </c>
      <c r="H749" s="7" t="s">
        <v>151</v>
      </c>
      <c r="I749" s="19" t="s">
        <v>1440</v>
      </c>
      <c r="J749" s="7" t="s">
        <v>244</v>
      </c>
    </row>
    <row r="750" ht="16" customHeight="1" outlineLevel="2" spans="1:10">
      <c r="A750" s="18">
        <v>15</v>
      </c>
      <c r="B750" s="18">
        <v>13</v>
      </c>
      <c r="C750" s="19" t="s">
        <v>1663</v>
      </c>
      <c r="D750" s="19" t="s">
        <v>1662</v>
      </c>
      <c r="E750" s="19" t="s">
        <v>66</v>
      </c>
      <c r="F750" s="8" t="s">
        <v>70</v>
      </c>
      <c r="G750" s="8" t="s">
        <v>69</v>
      </c>
      <c r="H750" s="19" t="s">
        <v>153</v>
      </c>
      <c r="I750" s="19" t="s">
        <v>1609</v>
      </c>
      <c r="J750" s="19" t="s">
        <v>289</v>
      </c>
    </row>
    <row r="751" ht="16" customHeight="1" outlineLevel="2" spans="1:10">
      <c r="A751" s="18">
        <v>15</v>
      </c>
      <c r="B751" s="18">
        <v>14</v>
      </c>
      <c r="C751" s="18" t="s">
        <v>1623</v>
      </c>
      <c r="D751" s="18" t="s">
        <v>1622</v>
      </c>
      <c r="E751" s="18" t="s">
        <v>66</v>
      </c>
      <c r="F751" s="18" t="s">
        <v>70</v>
      </c>
      <c r="G751" s="18" t="s">
        <v>69</v>
      </c>
      <c r="H751" s="19" t="s">
        <v>153</v>
      </c>
      <c r="I751" s="18" t="s">
        <v>1609</v>
      </c>
      <c r="J751" s="18" t="s">
        <v>229</v>
      </c>
    </row>
    <row r="752" ht="16" customHeight="1" outlineLevel="2" spans="1:10">
      <c r="A752" s="18">
        <v>15</v>
      </c>
      <c r="B752" s="18">
        <v>15</v>
      </c>
      <c r="C752" s="19" t="s">
        <v>1470</v>
      </c>
      <c r="D752" s="19" t="s">
        <v>1469</v>
      </c>
      <c r="E752" s="19" t="s">
        <v>66</v>
      </c>
      <c r="F752" s="8" t="s">
        <v>70</v>
      </c>
      <c r="G752" s="8" t="s">
        <v>69</v>
      </c>
      <c r="H752" s="19" t="s">
        <v>151</v>
      </c>
      <c r="I752" s="19" t="s">
        <v>1440</v>
      </c>
      <c r="J752" s="19" t="s">
        <v>253</v>
      </c>
    </row>
    <row r="753" ht="16" customHeight="1" outlineLevel="2" spans="1:10">
      <c r="A753" s="18">
        <v>15</v>
      </c>
      <c r="B753" s="18">
        <v>16</v>
      </c>
      <c r="C753" s="18" t="s">
        <v>1552</v>
      </c>
      <c r="D753" s="18" t="s">
        <v>1551</v>
      </c>
      <c r="E753" s="18" t="s">
        <v>66</v>
      </c>
      <c r="F753" s="18" t="s">
        <v>70</v>
      </c>
      <c r="G753" s="18" t="s">
        <v>69</v>
      </c>
      <c r="H753" s="18" t="s">
        <v>152</v>
      </c>
      <c r="I753" s="18" t="s">
        <v>1524</v>
      </c>
      <c r="J753" s="18" t="s">
        <v>250</v>
      </c>
    </row>
    <row r="754" ht="16" customHeight="1" outlineLevel="2" spans="1:10">
      <c r="A754" s="18">
        <v>15</v>
      </c>
      <c r="B754" s="18">
        <v>17</v>
      </c>
      <c r="C754" s="19" t="s">
        <v>1677</v>
      </c>
      <c r="D754" s="19" t="s">
        <v>1676</v>
      </c>
      <c r="E754" s="19" t="s">
        <v>66</v>
      </c>
      <c r="F754" s="8" t="s">
        <v>70</v>
      </c>
      <c r="G754" s="8" t="s">
        <v>69</v>
      </c>
      <c r="H754" s="7" t="s">
        <v>153</v>
      </c>
      <c r="I754" s="19" t="s">
        <v>1609</v>
      </c>
      <c r="J754" s="7" t="s">
        <v>310</v>
      </c>
    </row>
    <row r="755" ht="16" customHeight="1" outlineLevel="2" spans="1:10">
      <c r="A755" s="18">
        <v>15</v>
      </c>
      <c r="B755" s="18">
        <v>18</v>
      </c>
      <c r="C755" s="19" t="s">
        <v>1714</v>
      </c>
      <c r="D755" s="19" t="s">
        <v>1713</v>
      </c>
      <c r="E755" s="19" t="s">
        <v>66</v>
      </c>
      <c r="F755" s="8" t="s">
        <v>70</v>
      </c>
      <c r="G755" s="8" t="s">
        <v>69</v>
      </c>
      <c r="H755" s="19" t="s">
        <v>154</v>
      </c>
      <c r="I755" s="19" t="s">
        <v>1694</v>
      </c>
      <c r="J755" s="19" t="s">
        <v>238</v>
      </c>
    </row>
    <row r="756" ht="16" customHeight="1" outlineLevel="2" spans="1:10">
      <c r="A756" s="18">
        <v>15</v>
      </c>
      <c r="B756" s="18">
        <v>19</v>
      </c>
      <c r="C756" s="19" t="s">
        <v>1621</v>
      </c>
      <c r="D756" s="19" t="s">
        <v>1620</v>
      </c>
      <c r="E756" s="19" t="s">
        <v>66</v>
      </c>
      <c r="F756" s="8" t="s">
        <v>70</v>
      </c>
      <c r="G756" s="8" t="s">
        <v>69</v>
      </c>
      <c r="H756" s="7" t="s">
        <v>153</v>
      </c>
      <c r="I756" s="19" t="s">
        <v>1609</v>
      </c>
      <c r="J756" s="7" t="s">
        <v>226</v>
      </c>
    </row>
    <row r="757" ht="16" customHeight="1" outlineLevel="2" spans="1:10">
      <c r="A757" s="18">
        <v>15</v>
      </c>
      <c r="B757" s="18">
        <v>20</v>
      </c>
      <c r="C757" s="19" t="s">
        <v>1544</v>
      </c>
      <c r="D757" s="19" t="s">
        <v>1543</v>
      </c>
      <c r="E757" s="19" t="s">
        <v>66</v>
      </c>
      <c r="F757" s="8" t="s">
        <v>70</v>
      </c>
      <c r="G757" s="8" t="s">
        <v>69</v>
      </c>
      <c r="H757" s="19" t="s">
        <v>152</v>
      </c>
      <c r="I757" s="19" t="s">
        <v>1524</v>
      </c>
      <c r="J757" s="19" t="s">
        <v>238</v>
      </c>
    </row>
    <row r="758" ht="16" customHeight="1" outlineLevel="2" spans="1:10">
      <c r="A758" s="18">
        <v>15</v>
      </c>
      <c r="B758" s="18">
        <v>21</v>
      </c>
      <c r="C758" s="19" t="s">
        <v>1530</v>
      </c>
      <c r="D758" s="19" t="s">
        <v>1529</v>
      </c>
      <c r="E758" s="19" t="s">
        <v>66</v>
      </c>
      <c r="F758" s="8" t="s">
        <v>70</v>
      </c>
      <c r="G758" s="8" t="s">
        <v>69</v>
      </c>
      <c r="H758" s="19" t="s">
        <v>152</v>
      </c>
      <c r="I758" s="19" t="s">
        <v>1524</v>
      </c>
      <c r="J758" s="19" t="s">
        <v>217</v>
      </c>
    </row>
    <row r="759" ht="16" customHeight="1" outlineLevel="2" spans="1:10">
      <c r="A759" s="18">
        <v>15</v>
      </c>
      <c r="B759" s="18">
        <v>22</v>
      </c>
      <c r="C759" s="19" t="s">
        <v>1645</v>
      </c>
      <c r="D759" s="19" t="s">
        <v>1644</v>
      </c>
      <c r="E759" s="19" t="s">
        <v>66</v>
      </c>
      <c r="F759" s="8" t="s">
        <v>70</v>
      </c>
      <c r="G759" s="8" t="s">
        <v>69</v>
      </c>
      <c r="H759" s="19" t="s">
        <v>153</v>
      </c>
      <c r="I759" s="19" t="s">
        <v>1609</v>
      </c>
      <c r="J759" s="19" t="s">
        <v>262</v>
      </c>
    </row>
    <row r="760" ht="16" customHeight="1" outlineLevel="2" spans="1:10">
      <c r="A760" s="18">
        <v>15</v>
      </c>
      <c r="B760" s="18">
        <v>23</v>
      </c>
      <c r="C760" s="19" t="s">
        <v>1564</v>
      </c>
      <c r="D760" s="19" t="s">
        <v>1563</v>
      </c>
      <c r="E760" s="19" t="s">
        <v>66</v>
      </c>
      <c r="F760" s="8" t="s">
        <v>70</v>
      </c>
      <c r="G760" s="8" t="s">
        <v>69</v>
      </c>
      <c r="H760" s="19" t="s">
        <v>152</v>
      </c>
      <c r="I760" s="19" t="s">
        <v>1524</v>
      </c>
      <c r="J760" s="19" t="s">
        <v>268</v>
      </c>
    </row>
    <row r="761" ht="16" customHeight="1" outlineLevel="2" spans="1:10">
      <c r="A761" s="18">
        <v>15</v>
      </c>
      <c r="B761" s="18">
        <v>24</v>
      </c>
      <c r="C761" s="19" t="s">
        <v>1460</v>
      </c>
      <c r="D761" s="19" t="s">
        <v>1459</v>
      </c>
      <c r="E761" s="19" t="s">
        <v>66</v>
      </c>
      <c r="F761" s="8" t="s">
        <v>70</v>
      </c>
      <c r="G761" s="8" t="s">
        <v>69</v>
      </c>
      <c r="H761" s="19" t="s">
        <v>151</v>
      </c>
      <c r="I761" s="19" t="s">
        <v>1440</v>
      </c>
      <c r="J761" s="19" t="s">
        <v>238</v>
      </c>
    </row>
    <row r="762" ht="16" customHeight="1" outlineLevel="2" spans="1:10">
      <c r="A762" s="18">
        <v>15</v>
      </c>
      <c r="B762" s="18">
        <v>26</v>
      </c>
      <c r="C762" s="19" t="s">
        <v>1458</v>
      </c>
      <c r="D762" s="19" t="s">
        <v>1457</v>
      </c>
      <c r="E762" s="19" t="s">
        <v>66</v>
      </c>
      <c r="F762" s="8" t="s">
        <v>70</v>
      </c>
      <c r="G762" s="8" t="s">
        <v>69</v>
      </c>
      <c r="H762" s="7" t="s">
        <v>151</v>
      </c>
      <c r="I762" s="19" t="s">
        <v>1440</v>
      </c>
      <c r="J762" s="19" t="s">
        <v>235</v>
      </c>
    </row>
    <row r="763" ht="16" customHeight="1" outlineLevel="2" spans="1:10">
      <c r="A763" s="18">
        <v>15</v>
      </c>
      <c r="B763" s="18">
        <v>27</v>
      </c>
      <c r="C763" s="19" t="s">
        <v>1641</v>
      </c>
      <c r="D763" s="19" t="s">
        <v>1640</v>
      </c>
      <c r="E763" s="19" t="s">
        <v>66</v>
      </c>
      <c r="F763" s="8" t="s">
        <v>70</v>
      </c>
      <c r="G763" s="8" t="s">
        <v>69</v>
      </c>
      <c r="H763" s="19" t="s">
        <v>153</v>
      </c>
      <c r="I763" s="19" t="s">
        <v>1609</v>
      </c>
      <c r="J763" s="19" t="s">
        <v>256</v>
      </c>
    </row>
    <row r="764" ht="16" customHeight="1" outlineLevel="2" spans="1:10">
      <c r="A764" s="18">
        <v>15</v>
      </c>
      <c r="B764" s="18">
        <v>28</v>
      </c>
      <c r="C764" s="19" t="s">
        <v>1494</v>
      </c>
      <c r="D764" s="19" t="s">
        <v>1493</v>
      </c>
      <c r="E764" s="19" t="s">
        <v>66</v>
      </c>
      <c r="F764" s="8" t="s">
        <v>70</v>
      </c>
      <c r="G764" s="8" t="s">
        <v>69</v>
      </c>
      <c r="H764" s="7" t="s">
        <v>151</v>
      </c>
      <c r="I764" s="19" t="s">
        <v>1440</v>
      </c>
      <c r="J764" s="7" t="s">
        <v>289</v>
      </c>
    </row>
    <row r="765" ht="16" customHeight="1" outlineLevel="2" spans="1:10">
      <c r="A765" s="18">
        <v>15</v>
      </c>
      <c r="B765" s="18">
        <v>29</v>
      </c>
      <c r="C765" s="19" t="s">
        <v>1687</v>
      </c>
      <c r="D765" s="19" t="s">
        <v>1686</v>
      </c>
      <c r="E765" s="19" t="s">
        <v>66</v>
      </c>
      <c r="F765" s="8" t="s">
        <v>70</v>
      </c>
      <c r="G765" s="8" t="s">
        <v>69</v>
      </c>
      <c r="H765" s="7" t="s">
        <v>153</v>
      </c>
      <c r="I765" s="19" t="s">
        <v>1609</v>
      </c>
      <c r="J765" s="7" t="s">
        <v>325</v>
      </c>
    </row>
    <row r="766" ht="16" customHeight="1" outlineLevel="2" spans="1:10">
      <c r="A766" s="18">
        <v>15</v>
      </c>
      <c r="B766" s="18">
        <v>30</v>
      </c>
      <c r="C766" s="19" t="s">
        <v>1534</v>
      </c>
      <c r="D766" s="19" t="s">
        <v>1533</v>
      </c>
      <c r="E766" s="19" t="s">
        <v>66</v>
      </c>
      <c r="F766" s="8" t="s">
        <v>70</v>
      </c>
      <c r="G766" s="8" t="s">
        <v>69</v>
      </c>
      <c r="H766" s="19" t="s">
        <v>152</v>
      </c>
      <c r="I766" s="19" t="s">
        <v>1524</v>
      </c>
      <c r="J766" s="19" t="s">
        <v>223</v>
      </c>
    </row>
    <row r="767" ht="16" customHeight="1" outlineLevel="2" spans="1:10">
      <c r="A767" s="18">
        <v>15</v>
      </c>
      <c r="B767" s="18">
        <v>31</v>
      </c>
      <c r="C767" s="19" t="s">
        <v>1538</v>
      </c>
      <c r="D767" s="19" t="s">
        <v>1537</v>
      </c>
      <c r="E767" s="19" t="s">
        <v>66</v>
      </c>
      <c r="F767" s="8" t="s">
        <v>70</v>
      </c>
      <c r="G767" s="8" t="s">
        <v>69</v>
      </c>
      <c r="H767" s="7" t="s">
        <v>152</v>
      </c>
      <c r="I767" s="19" t="s">
        <v>1524</v>
      </c>
      <c r="J767" s="19" t="s">
        <v>229</v>
      </c>
    </row>
    <row r="768" ht="16" customHeight="1" outlineLevel="2" spans="1:10">
      <c r="A768" s="7">
        <v>15</v>
      </c>
      <c r="B768" s="7">
        <v>32</v>
      </c>
      <c r="C768" s="7" t="s">
        <v>1866</v>
      </c>
      <c r="D768" s="7" t="s">
        <v>1865</v>
      </c>
      <c r="E768" s="7" t="s">
        <v>66</v>
      </c>
      <c r="F768" s="7" t="s">
        <v>70</v>
      </c>
      <c r="G768" s="7" t="s">
        <v>69</v>
      </c>
      <c r="H768" s="7" t="s">
        <v>161</v>
      </c>
      <c r="I768" s="7" t="s">
        <v>1855</v>
      </c>
      <c r="J768" s="7" t="s">
        <v>223</v>
      </c>
    </row>
    <row r="769" ht="16" customHeight="1" outlineLevel="2" spans="1:10">
      <c r="A769" s="18">
        <v>15</v>
      </c>
      <c r="B769" s="18">
        <v>33</v>
      </c>
      <c r="C769" s="19" t="s">
        <v>1768</v>
      </c>
      <c r="D769" s="19" t="s">
        <v>1767</v>
      </c>
      <c r="E769" s="19" t="s">
        <v>66</v>
      </c>
      <c r="F769" s="8" t="s">
        <v>70</v>
      </c>
      <c r="G769" s="8" t="s">
        <v>69</v>
      </c>
      <c r="H769" s="19" t="s">
        <v>154</v>
      </c>
      <c r="I769" s="19" t="s">
        <v>1694</v>
      </c>
      <c r="J769" s="19" t="s">
        <v>319</v>
      </c>
    </row>
    <row r="770" ht="16" customHeight="1" outlineLevel="2" spans="1:10">
      <c r="A770" s="18">
        <v>15</v>
      </c>
      <c r="B770" s="18">
        <v>34</v>
      </c>
      <c r="C770" s="19" t="s">
        <v>1442</v>
      </c>
      <c r="D770" s="19" t="s">
        <v>1441</v>
      </c>
      <c r="E770" s="19" t="s">
        <v>66</v>
      </c>
      <c r="F770" s="8" t="s">
        <v>70</v>
      </c>
      <c r="G770" s="8" t="s">
        <v>69</v>
      </c>
      <c r="H770" s="19" t="s">
        <v>151</v>
      </c>
      <c r="I770" s="19" t="s">
        <v>1440</v>
      </c>
      <c r="J770" s="19" t="s">
        <v>210</v>
      </c>
    </row>
    <row r="771" ht="16" customHeight="1" outlineLevel="2" spans="1:10">
      <c r="A771" s="18">
        <v>15</v>
      </c>
      <c r="B771" s="18">
        <v>35</v>
      </c>
      <c r="C771" s="19" t="s">
        <v>1661</v>
      </c>
      <c r="D771" s="19" t="s">
        <v>1660</v>
      </c>
      <c r="E771" s="19" t="s">
        <v>66</v>
      </c>
      <c r="F771" s="8" t="s">
        <v>70</v>
      </c>
      <c r="G771" s="8" t="s">
        <v>69</v>
      </c>
      <c r="H771" s="19" t="s">
        <v>153</v>
      </c>
      <c r="I771" s="19" t="s">
        <v>1609</v>
      </c>
      <c r="J771" s="19" t="s">
        <v>286</v>
      </c>
    </row>
    <row r="772" ht="16" customHeight="1" outlineLevel="2" spans="1:10">
      <c r="A772" s="18">
        <v>15</v>
      </c>
      <c r="B772" s="18">
        <v>36</v>
      </c>
      <c r="C772" s="19" t="s">
        <v>1724</v>
      </c>
      <c r="D772" s="19" t="s">
        <v>1723</v>
      </c>
      <c r="E772" s="19" t="s">
        <v>66</v>
      </c>
      <c r="F772" s="8" t="s">
        <v>70</v>
      </c>
      <c r="G772" s="8" t="s">
        <v>69</v>
      </c>
      <c r="H772" s="7" t="s">
        <v>154</v>
      </c>
      <c r="I772" s="19" t="s">
        <v>1694</v>
      </c>
      <c r="J772" s="19" t="s">
        <v>253</v>
      </c>
    </row>
    <row r="773" ht="16" customHeight="1" outlineLevel="2" spans="1:10">
      <c r="A773" s="18">
        <v>15</v>
      </c>
      <c r="B773" s="18">
        <v>37</v>
      </c>
      <c r="C773" s="19" t="s">
        <v>1736</v>
      </c>
      <c r="D773" s="19" t="s">
        <v>1735</v>
      </c>
      <c r="E773" s="19" t="s">
        <v>66</v>
      </c>
      <c r="F773" s="8" t="s">
        <v>70</v>
      </c>
      <c r="G773" s="8" t="s">
        <v>69</v>
      </c>
      <c r="H773" s="7" t="s">
        <v>154</v>
      </c>
      <c r="I773" s="19" t="s">
        <v>1694</v>
      </c>
      <c r="J773" s="7" t="s">
        <v>271</v>
      </c>
    </row>
    <row r="774" ht="16" customHeight="1" outlineLevel="2" spans="1:10">
      <c r="A774" s="18">
        <v>15</v>
      </c>
      <c r="B774" s="18">
        <v>38</v>
      </c>
      <c r="C774" s="19" t="s">
        <v>1554</v>
      </c>
      <c r="D774" s="19" t="s">
        <v>1553</v>
      </c>
      <c r="E774" s="19" t="s">
        <v>66</v>
      </c>
      <c r="F774" s="8" t="s">
        <v>70</v>
      </c>
      <c r="G774" s="8" t="s">
        <v>69</v>
      </c>
      <c r="H774" s="19" t="s">
        <v>152</v>
      </c>
      <c r="I774" s="19" t="s">
        <v>1524</v>
      </c>
      <c r="J774" s="19" t="s">
        <v>253</v>
      </c>
    </row>
    <row r="775" ht="16" customHeight="1" outlineLevel="2" spans="1:10">
      <c r="A775" s="18">
        <v>15</v>
      </c>
      <c r="B775" s="18">
        <v>39</v>
      </c>
      <c r="C775" s="19" t="s">
        <v>1490</v>
      </c>
      <c r="D775" s="19" t="s">
        <v>1489</v>
      </c>
      <c r="E775" s="19" t="s">
        <v>66</v>
      </c>
      <c r="F775" s="8" t="s">
        <v>70</v>
      </c>
      <c r="G775" s="8" t="s">
        <v>69</v>
      </c>
      <c r="H775" s="19" t="s">
        <v>151</v>
      </c>
      <c r="I775" s="19" t="s">
        <v>1440</v>
      </c>
      <c r="J775" s="19" t="s">
        <v>283</v>
      </c>
    </row>
    <row r="776" ht="16" customHeight="1" outlineLevel="2" spans="1:10">
      <c r="A776" s="7">
        <v>15</v>
      </c>
      <c r="B776" s="7">
        <v>40</v>
      </c>
      <c r="C776" s="7" t="s">
        <v>1860</v>
      </c>
      <c r="D776" s="7" t="s">
        <v>1859</v>
      </c>
      <c r="E776" s="7" t="s">
        <v>66</v>
      </c>
      <c r="F776" s="7" t="s">
        <v>70</v>
      </c>
      <c r="G776" s="7" t="s">
        <v>69</v>
      </c>
      <c r="H776" s="7" t="s">
        <v>161</v>
      </c>
      <c r="I776" s="7" t="s">
        <v>1855</v>
      </c>
      <c r="J776" s="7" t="s">
        <v>214</v>
      </c>
    </row>
    <row r="777" ht="16" customHeight="1" outlineLevel="2" spans="1:10">
      <c r="A777" s="7">
        <v>15</v>
      </c>
      <c r="B777" s="7">
        <v>41</v>
      </c>
      <c r="C777" s="7" t="s">
        <v>1864</v>
      </c>
      <c r="D777" s="7" t="s">
        <v>1863</v>
      </c>
      <c r="E777" s="7" t="s">
        <v>66</v>
      </c>
      <c r="F777" s="7" t="s">
        <v>70</v>
      </c>
      <c r="G777" s="7" t="s">
        <v>69</v>
      </c>
      <c r="H777" s="7" t="s">
        <v>161</v>
      </c>
      <c r="I777" s="7" t="s">
        <v>1855</v>
      </c>
      <c r="J777" s="7" t="s">
        <v>220</v>
      </c>
    </row>
    <row r="778" ht="16" customHeight="1" outlineLevel="2" spans="1:10">
      <c r="A778" s="18">
        <v>15</v>
      </c>
      <c r="B778" s="18">
        <v>42</v>
      </c>
      <c r="C778" s="19" t="s">
        <v>1710</v>
      </c>
      <c r="D778" s="19" t="s">
        <v>1709</v>
      </c>
      <c r="E778" s="19" t="s">
        <v>66</v>
      </c>
      <c r="F778" s="8" t="s">
        <v>70</v>
      </c>
      <c r="G778" s="8" t="s">
        <v>69</v>
      </c>
      <c r="H778" s="7" t="s">
        <v>154</v>
      </c>
      <c r="I778" s="19" t="s">
        <v>1694</v>
      </c>
      <c r="J778" s="7" t="s">
        <v>232</v>
      </c>
    </row>
    <row r="779" ht="16" customHeight="1" outlineLevel="2" spans="1:10">
      <c r="A779" s="18">
        <v>15</v>
      </c>
      <c r="B779" s="18">
        <v>43</v>
      </c>
      <c r="C779" s="19" t="s">
        <v>1588</v>
      </c>
      <c r="D779" s="19" t="s">
        <v>1587</v>
      </c>
      <c r="E779" s="19" t="s">
        <v>66</v>
      </c>
      <c r="F779" s="8" t="s">
        <v>70</v>
      </c>
      <c r="G779" s="8" t="s">
        <v>69</v>
      </c>
      <c r="H779" s="19" t="s">
        <v>152</v>
      </c>
      <c r="I779" s="19" t="s">
        <v>1524</v>
      </c>
      <c r="J779" s="19" t="s">
        <v>304</v>
      </c>
    </row>
    <row r="780" ht="16" customHeight="1" outlineLevel="2" spans="1:10">
      <c r="A780" s="7">
        <v>15</v>
      </c>
      <c r="B780" s="7">
        <v>44</v>
      </c>
      <c r="C780" s="7" t="s">
        <v>1884</v>
      </c>
      <c r="D780" s="7" t="s">
        <v>1883</v>
      </c>
      <c r="E780" s="7" t="s">
        <v>66</v>
      </c>
      <c r="F780" s="7" t="s">
        <v>70</v>
      </c>
      <c r="G780" s="7" t="s">
        <v>69</v>
      </c>
      <c r="H780" s="7" t="s">
        <v>161</v>
      </c>
      <c r="I780" s="7" t="s">
        <v>1855</v>
      </c>
      <c r="J780" s="7" t="s">
        <v>250</v>
      </c>
    </row>
    <row r="781" ht="16" customHeight="1" outlineLevel="2" spans="1:10">
      <c r="A781" s="18">
        <v>15</v>
      </c>
      <c r="B781" s="18">
        <v>45</v>
      </c>
      <c r="C781" s="19" t="s">
        <v>1480</v>
      </c>
      <c r="D781" s="19" t="s">
        <v>1479</v>
      </c>
      <c r="E781" s="19" t="s">
        <v>66</v>
      </c>
      <c r="F781" s="8" t="s">
        <v>70</v>
      </c>
      <c r="G781" s="8" t="s">
        <v>69</v>
      </c>
      <c r="H781" s="19" t="s">
        <v>151</v>
      </c>
      <c r="I781" s="19" t="s">
        <v>1440</v>
      </c>
      <c r="J781" s="19" t="s">
        <v>268</v>
      </c>
    </row>
    <row r="782" ht="16" customHeight="1" outlineLevel="2" spans="1:10">
      <c r="A782" s="18">
        <v>15</v>
      </c>
      <c r="B782" s="18">
        <v>46</v>
      </c>
      <c r="C782" s="19" t="s">
        <v>1700</v>
      </c>
      <c r="D782" s="19" t="s">
        <v>1699</v>
      </c>
      <c r="E782" s="19" t="s">
        <v>66</v>
      </c>
      <c r="F782" s="8" t="s">
        <v>70</v>
      </c>
      <c r="G782" s="8" t="s">
        <v>69</v>
      </c>
      <c r="H782" s="7" t="s">
        <v>154</v>
      </c>
      <c r="I782" s="19" t="s">
        <v>1694</v>
      </c>
      <c r="J782" s="7" t="s">
        <v>217</v>
      </c>
    </row>
    <row r="783" ht="16" customHeight="1" outlineLevel="2" spans="1:10">
      <c r="A783" s="18">
        <v>15</v>
      </c>
      <c r="B783" s="18">
        <v>47</v>
      </c>
      <c r="C783" s="19" t="s">
        <v>1742</v>
      </c>
      <c r="D783" s="19" t="s">
        <v>1741</v>
      </c>
      <c r="E783" s="19" t="s">
        <v>66</v>
      </c>
      <c r="F783" s="8" t="s">
        <v>70</v>
      </c>
      <c r="G783" s="8" t="s">
        <v>69</v>
      </c>
      <c r="H783" s="7" t="s">
        <v>154</v>
      </c>
      <c r="I783" s="19" t="s">
        <v>1694</v>
      </c>
      <c r="J783" s="7" t="s">
        <v>280</v>
      </c>
    </row>
    <row r="784" ht="16" customHeight="1" outlineLevel="2" spans="1:10">
      <c r="A784" s="18">
        <v>15</v>
      </c>
      <c r="B784" s="18">
        <v>48</v>
      </c>
      <c r="C784" s="19" t="s">
        <v>1444</v>
      </c>
      <c r="D784" s="19" t="s">
        <v>1443</v>
      </c>
      <c r="E784" s="19" t="s">
        <v>66</v>
      </c>
      <c r="F784" s="8" t="s">
        <v>70</v>
      </c>
      <c r="G784" s="8" t="s">
        <v>69</v>
      </c>
      <c r="H784" s="19" t="s">
        <v>151</v>
      </c>
      <c r="I784" s="19" t="s">
        <v>1440</v>
      </c>
      <c r="J784" s="19" t="s">
        <v>214</v>
      </c>
    </row>
    <row r="785" ht="16" customHeight="1" outlineLevel="1" spans="1:10">
      <c r="A785" s="21" t="s">
        <v>1926</v>
      </c>
      <c r="B785" s="18"/>
      <c r="C785" s="19">
        <f>SUBTOTAL(3,C738:C784)</f>
        <v>47</v>
      </c>
      <c r="D785" s="19"/>
      <c r="E785" s="19"/>
      <c r="F785" s="8"/>
      <c r="G785" s="8"/>
      <c r="H785" s="19"/>
      <c r="I785" s="19"/>
      <c r="J785" s="19"/>
    </row>
    <row r="786" ht="16" customHeight="1" outlineLevel="2" spans="1:10">
      <c r="A786" s="18">
        <v>16</v>
      </c>
      <c r="B786" s="18">
        <v>1</v>
      </c>
      <c r="C786" s="19" t="s">
        <v>1722</v>
      </c>
      <c r="D786" s="19" t="s">
        <v>1721</v>
      </c>
      <c r="E786" s="19" t="s">
        <v>66</v>
      </c>
      <c r="F786" s="8" t="s">
        <v>70</v>
      </c>
      <c r="G786" s="8" t="s">
        <v>69</v>
      </c>
      <c r="H786" s="19" t="s">
        <v>154</v>
      </c>
      <c r="I786" s="19" t="s">
        <v>1694</v>
      </c>
      <c r="J786" s="19" t="s">
        <v>250</v>
      </c>
    </row>
    <row r="787" ht="16" customHeight="1" outlineLevel="2" spans="1:10">
      <c r="A787" s="18">
        <v>16</v>
      </c>
      <c r="B787" s="18">
        <v>2</v>
      </c>
      <c r="C787" s="19" t="s">
        <v>1716</v>
      </c>
      <c r="D787" s="19" t="s">
        <v>1715</v>
      </c>
      <c r="E787" s="19" t="s">
        <v>66</v>
      </c>
      <c r="F787" s="8" t="s">
        <v>70</v>
      </c>
      <c r="G787" s="8" t="s">
        <v>69</v>
      </c>
      <c r="H787" s="19" t="s">
        <v>154</v>
      </c>
      <c r="I787" s="19" t="s">
        <v>1694</v>
      </c>
      <c r="J787" s="19" t="s">
        <v>241</v>
      </c>
    </row>
    <row r="788" ht="16" customHeight="1" outlineLevel="2" spans="1:10">
      <c r="A788" s="18">
        <v>16</v>
      </c>
      <c r="B788" s="18">
        <v>3</v>
      </c>
      <c r="C788" s="19" t="s">
        <v>1578</v>
      </c>
      <c r="D788" s="19" t="s">
        <v>1577</v>
      </c>
      <c r="E788" s="19" t="s">
        <v>66</v>
      </c>
      <c r="F788" s="8" t="s">
        <v>70</v>
      </c>
      <c r="G788" s="8" t="s">
        <v>69</v>
      </c>
      <c r="H788" s="19" t="s">
        <v>152</v>
      </c>
      <c r="I788" s="19" t="s">
        <v>1524</v>
      </c>
      <c r="J788" s="19" t="s">
        <v>289</v>
      </c>
    </row>
    <row r="789" ht="16" customHeight="1" outlineLevel="2" spans="1:10">
      <c r="A789" s="18">
        <v>16</v>
      </c>
      <c r="B789" s="18">
        <v>4</v>
      </c>
      <c r="C789" s="19" t="s">
        <v>1776</v>
      </c>
      <c r="D789" s="19" t="s">
        <v>1775</v>
      </c>
      <c r="E789" s="19" t="s">
        <v>66</v>
      </c>
      <c r="F789" s="8" t="s">
        <v>70</v>
      </c>
      <c r="G789" s="8" t="s">
        <v>69</v>
      </c>
      <c r="H789" s="19" t="s">
        <v>154</v>
      </c>
      <c r="I789" s="19" t="s">
        <v>1694</v>
      </c>
      <c r="J789" s="7" t="s">
        <v>331</v>
      </c>
    </row>
    <row r="790" ht="16" customHeight="1" outlineLevel="2" spans="1:10">
      <c r="A790" s="18">
        <v>16</v>
      </c>
      <c r="B790" s="18">
        <v>5</v>
      </c>
      <c r="C790" s="19" t="s">
        <v>1675</v>
      </c>
      <c r="D790" s="19" t="s">
        <v>1674</v>
      </c>
      <c r="E790" s="19" t="s">
        <v>66</v>
      </c>
      <c r="F790" s="8" t="s">
        <v>70</v>
      </c>
      <c r="G790" s="8" t="s">
        <v>69</v>
      </c>
      <c r="H790" s="7" t="s">
        <v>153</v>
      </c>
      <c r="I790" s="19" t="s">
        <v>1609</v>
      </c>
      <c r="J790" s="7" t="s">
        <v>307</v>
      </c>
    </row>
    <row r="791" ht="16" customHeight="1" outlineLevel="2" spans="1:10">
      <c r="A791" s="18">
        <v>16</v>
      </c>
      <c r="B791" s="18">
        <v>6</v>
      </c>
      <c r="C791" s="19" t="s">
        <v>1683</v>
      </c>
      <c r="D791" s="19" t="s">
        <v>1682</v>
      </c>
      <c r="E791" s="19" t="s">
        <v>66</v>
      </c>
      <c r="F791" s="8" t="s">
        <v>70</v>
      </c>
      <c r="G791" s="8" t="s">
        <v>69</v>
      </c>
      <c r="H791" s="19" t="s">
        <v>153</v>
      </c>
      <c r="I791" s="19" t="s">
        <v>1609</v>
      </c>
      <c r="J791" s="19" t="s">
        <v>319</v>
      </c>
    </row>
    <row r="792" ht="16" customHeight="1" outlineLevel="2" spans="1:10">
      <c r="A792" s="18">
        <v>16</v>
      </c>
      <c r="B792" s="18">
        <v>7</v>
      </c>
      <c r="C792" s="19" t="s">
        <v>1546</v>
      </c>
      <c r="D792" s="19" t="s">
        <v>1545</v>
      </c>
      <c r="E792" s="19" t="s">
        <v>66</v>
      </c>
      <c r="F792" s="8" t="s">
        <v>70</v>
      </c>
      <c r="G792" s="8" t="s">
        <v>69</v>
      </c>
      <c r="H792" s="19" t="s">
        <v>152</v>
      </c>
      <c r="I792" s="19" t="s">
        <v>1524</v>
      </c>
      <c r="J792" s="19" t="s">
        <v>241</v>
      </c>
    </row>
    <row r="793" ht="16" customHeight="1" outlineLevel="2" spans="1:10">
      <c r="A793" s="18">
        <v>16</v>
      </c>
      <c r="B793" s="18">
        <v>8</v>
      </c>
      <c r="C793" s="19" t="s">
        <v>1752</v>
      </c>
      <c r="D793" s="19" t="s">
        <v>1751</v>
      </c>
      <c r="E793" s="19" t="s">
        <v>66</v>
      </c>
      <c r="F793" s="8" t="s">
        <v>70</v>
      </c>
      <c r="G793" s="8" t="s">
        <v>69</v>
      </c>
      <c r="H793" s="19" t="s">
        <v>154</v>
      </c>
      <c r="I793" s="19" t="s">
        <v>1694</v>
      </c>
      <c r="J793" s="19" t="s">
        <v>295</v>
      </c>
    </row>
    <row r="794" ht="16" customHeight="1" outlineLevel="2" spans="1:10">
      <c r="A794" s="18">
        <v>16</v>
      </c>
      <c r="B794" s="18">
        <v>9</v>
      </c>
      <c r="C794" s="19" t="s">
        <v>1580</v>
      </c>
      <c r="D794" s="19" t="s">
        <v>1579</v>
      </c>
      <c r="E794" s="19" t="s">
        <v>66</v>
      </c>
      <c r="F794" s="8" t="s">
        <v>70</v>
      </c>
      <c r="G794" s="8" t="s">
        <v>69</v>
      </c>
      <c r="H794" s="19" t="s">
        <v>152</v>
      </c>
      <c r="I794" s="19" t="s">
        <v>1524</v>
      </c>
      <c r="J794" s="19" t="s">
        <v>292</v>
      </c>
    </row>
    <row r="795" ht="16" customHeight="1" outlineLevel="2" spans="1:10">
      <c r="A795" s="18">
        <v>16</v>
      </c>
      <c r="B795" s="18">
        <v>10</v>
      </c>
      <c r="C795" s="19" t="s">
        <v>1590</v>
      </c>
      <c r="D795" s="19" t="s">
        <v>1589</v>
      </c>
      <c r="E795" s="19" t="s">
        <v>66</v>
      </c>
      <c r="F795" s="8" t="s">
        <v>70</v>
      </c>
      <c r="G795" s="8" t="s">
        <v>69</v>
      </c>
      <c r="H795" s="19" t="s">
        <v>152</v>
      </c>
      <c r="I795" s="19" t="s">
        <v>1524</v>
      </c>
      <c r="J795" s="19" t="s">
        <v>307</v>
      </c>
    </row>
    <row r="796" ht="16" customHeight="1" outlineLevel="2" spans="1:10">
      <c r="A796" s="18">
        <v>16</v>
      </c>
      <c r="B796" s="18">
        <v>11</v>
      </c>
      <c r="C796" s="19" t="s">
        <v>1756</v>
      </c>
      <c r="D796" s="19" t="s">
        <v>1755</v>
      </c>
      <c r="E796" s="19" t="s">
        <v>66</v>
      </c>
      <c r="F796" s="8" t="s">
        <v>70</v>
      </c>
      <c r="G796" s="8" t="s">
        <v>69</v>
      </c>
      <c r="H796" s="19" t="s">
        <v>154</v>
      </c>
      <c r="I796" s="19" t="s">
        <v>1694</v>
      </c>
      <c r="J796" s="19" t="s">
        <v>301</v>
      </c>
    </row>
    <row r="797" ht="16" customHeight="1" outlineLevel="2" spans="1:10">
      <c r="A797" s="18">
        <v>16</v>
      </c>
      <c r="B797" s="18">
        <v>12</v>
      </c>
      <c r="C797" s="19" t="s">
        <v>1627</v>
      </c>
      <c r="D797" s="19" t="s">
        <v>1626</v>
      </c>
      <c r="E797" s="19" t="s">
        <v>66</v>
      </c>
      <c r="F797" s="8" t="s">
        <v>70</v>
      </c>
      <c r="G797" s="8" t="s">
        <v>69</v>
      </c>
      <c r="H797" s="7" t="s">
        <v>153</v>
      </c>
      <c r="I797" s="19" t="s">
        <v>1609</v>
      </c>
      <c r="J797" s="19" t="s">
        <v>235</v>
      </c>
    </row>
    <row r="798" ht="16" customHeight="1" outlineLevel="2" spans="1:10">
      <c r="A798" s="18">
        <v>16</v>
      </c>
      <c r="B798" s="18">
        <v>13</v>
      </c>
      <c r="C798" s="19" t="s">
        <v>1558</v>
      </c>
      <c r="D798" s="19" t="s">
        <v>1557</v>
      </c>
      <c r="E798" s="19" t="s">
        <v>66</v>
      </c>
      <c r="F798" s="8" t="s">
        <v>70</v>
      </c>
      <c r="G798" s="8" t="s">
        <v>69</v>
      </c>
      <c r="H798" s="19" t="s">
        <v>152</v>
      </c>
      <c r="I798" s="19" t="s">
        <v>1524</v>
      </c>
      <c r="J798" s="19" t="s">
        <v>259</v>
      </c>
    </row>
    <row r="799" ht="16" customHeight="1" outlineLevel="2" spans="1:10">
      <c r="A799" s="18">
        <v>16</v>
      </c>
      <c r="B799" s="18">
        <v>14</v>
      </c>
      <c r="C799" s="19" t="s">
        <v>1576</v>
      </c>
      <c r="D799" s="19" t="s">
        <v>1575</v>
      </c>
      <c r="E799" s="19" t="s">
        <v>66</v>
      </c>
      <c r="F799" s="8" t="s">
        <v>70</v>
      </c>
      <c r="G799" s="8" t="s">
        <v>69</v>
      </c>
      <c r="H799" s="19" t="s">
        <v>152</v>
      </c>
      <c r="I799" s="19" t="s">
        <v>1524</v>
      </c>
      <c r="J799" s="19" t="s">
        <v>286</v>
      </c>
    </row>
    <row r="800" ht="16" customHeight="1" outlineLevel="2" spans="1:10">
      <c r="A800" s="18">
        <v>16</v>
      </c>
      <c r="B800" s="18">
        <v>15</v>
      </c>
      <c r="C800" s="19" t="s">
        <v>1681</v>
      </c>
      <c r="D800" s="19" t="s">
        <v>1680</v>
      </c>
      <c r="E800" s="19" t="s">
        <v>66</v>
      </c>
      <c r="F800" s="8" t="s">
        <v>70</v>
      </c>
      <c r="G800" s="8" t="s">
        <v>69</v>
      </c>
      <c r="H800" s="7" t="s">
        <v>153</v>
      </c>
      <c r="I800" s="19" t="s">
        <v>1609</v>
      </c>
      <c r="J800" s="7" t="s">
        <v>316</v>
      </c>
    </row>
    <row r="801" ht="16" customHeight="1" outlineLevel="2" spans="1:10">
      <c r="A801" s="7">
        <v>16</v>
      </c>
      <c r="B801" s="7">
        <v>16</v>
      </c>
      <c r="C801" s="7" t="s">
        <v>1876</v>
      </c>
      <c r="D801" s="7" t="s">
        <v>1875</v>
      </c>
      <c r="E801" s="7" t="s">
        <v>66</v>
      </c>
      <c r="F801" s="7" t="s">
        <v>70</v>
      </c>
      <c r="G801" s="7" t="s">
        <v>69</v>
      </c>
      <c r="H801" s="7" t="s">
        <v>161</v>
      </c>
      <c r="I801" s="7" t="s">
        <v>1855</v>
      </c>
      <c r="J801" s="7" t="s">
        <v>238</v>
      </c>
    </row>
    <row r="802" ht="16" customHeight="1" outlineLevel="2" spans="1:10">
      <c r="A802" s="18">
        <v>16</v>
      </c>
      <c r="B802" s="18">
        <v>17</v>
      </c>
      <c r="C802" s="19" t="s">
        <v>1568</v>
      </c>
      <c r="D802" s="19" t="s">
        <v>1567</v>
      </c>
      <c r="E802" s="19" t="s">
        <v>66</v>
      </c>
      <c r="F802" s="8" t="s">
        <v>70</v>
      </c>
      <c r="G802" s="8" t="s">
        <v>69</v>
      </c>
      <c r="H802" s="7" t="s">
        <v>152</v>
      </c>
      <c r="I802" s="19" t="s">
        <v>1524</v>
      </c>
      <c r="J802" s="19" t="s">
        <v>274</v>
      </c>
    </row>
    <row r="803" ht="16" customHeight="1" outlineLevel="2" spans="1:10">
      <c r="A803" s="18">
        <v>16</v>
      </c>
      <c r="B803" s="18">
        <v>18</v>
      </c>
      <c r="C803" s="19" t="s">
        <v>1740</v>
      </c>
      <c r="D803" s="19" t="s">
        <v>1739</v>
      </c>
      <c r="E803" s="19" t="s">
        <v>66</v>
      </c>
      <c r="F803" s="8" t="s">
        <v>70</v>
      </c>
      <c r="G803" s="8" t="s">
        <v>69</v>
      </c>
      <c r="H803" s="7" t="s">
        <v>154</v>
      </c>
      <c r="I803" s="19" t="s">
        <v>1694</v>
      </c>
      <c r="J803" s="19" t="s">
        <v>277</v>
      </c>
    </row>
    <row r="804" ht="16" customHeight="1" outlineLevel="2" spans="1:10">
      <c r="A804" s="18">
        <v>16</v>
      </c>
      <c r="B804" s="18">
        <v>19</v>
      </c>
      <c r="C804" s="19" t="s">
        <v>1468</v>
      </c>
      <c r="D804" s="19" t="s">
        <v>1467</v>
      </c>
      <c r="E804" s="19" t="s">
        <v>66</v>
      </c>
      <c r="F804" s="8" t="s">
        <v>70</v>
      </c>
      <c r="G804" s="8" t="s">
        <v>69</v>
      </c>
      <c r="H804" s="19" t="s">
        <v>151</v>
      </c>
      <c r="I804" s="19" t="s">
        <v>1440</v>
      </c>
      <c r="J804" s="19" t="s">
        <v>250</v>
      </c>
    </row>
    <row r="805" ht="16" customHeight="1" outlineLevel="2" spans="1:10">
      <c r="A805" s="18">
        <v>16</v>
      </c>
      <c r="B805" s="18">
        <v>20</v>
      </c>
      <c r="C805" s="19" t="s">
        <v>1659</v>
      </c>
      <c r="D805" s="19" t="s">
        <v>1658</v>
      </c>
      <c r="E805" s="19" t="s">
        <v>66</v>
      </c>
      <c r="F805" s="8" t="s">
        <v>70</v>
      </c>
      <c r="G805" s="8" t="s">
        <v>69</v>
      </c>
      <c r="H805" s="19" t="s">
        <v>153</v>
      </c>
      <c r="I805" s="19" t="s">
        <v>1609</v>
      </c>
      <c r="J805" s="19" t="s">
        <v>283</v>
      </c>
    </row>
    <row r="806" ht="16" customHeight="1" outlineLevel="2" spans="1:10">
      <c r="A806" s="18">
        <v>16</v>
      </c>
      <c r="B806" s="18">
        <v>21</v>
      </c>
      <c r="C806" s="19" t="s">
        <v>1548</v>
      </c>
      <c r="D806" s="19" t="s">
        <v>1547</v>
      </c>
      <c r="E806" s="19" t="s">
        <v>66</v>
      </c>
      <c r="F806" s="8" t="s">
        <v>70</v>
      </c>
      <c r="G806" s="8" t="s">
        <v>69</v>
      </c>
      <c r="H806" s="19" t="s">
        <v>152</v>
      </c>
      <c r="I806" s="19" t="s">
        <v>1524</v>
      </c>
      <c r="J806" s="19" t="s">
        <v>244</v>
      </c>
    </row>
    <row r="807" ht="16" customHeight="1" outlineLevel="2" spans="1:10">
      <c r="A807" s="18">
        <v>16</v>
      </c>
      <c r="B807" s="18">
        <v>22</v>
      </c>
      <c r="C807" s="19" t="s">
        <v>1482</v>
      </c>
      <c r="D807" s="19" t="s">
        <v>1481</v>
      </c>
      <c r="E807" s="19" t="s">
        <v>66</v>
      </c>
      <c r="F807" s="8" t="s">
        <v>70</v>
      </c>
      <c r="G807" s="8" t="s">
        <v>69</v>
      </c>
      <c r="H807" s="19" t="s">
        <v>151</v>
      </c>
      <c r="I807" s="19" t="s">
        <v>1440</v>
      </c>
      <c r="J807" s="19" t="s">
        <v>271</v>
      </c>
    </row>
    <row r="808" ht="16" customHeight="1" outlineLevel="2" spans="1:10">
      <c r="A808" s="18">
        <v>16</v>
      </c>
      <c r="B808" s="18">
        <v>23</v>
      </c>
      <c r="C808" s="19" t="s">
        <v>1653</v>
      </c>
      <c r="D808" s="19" t="s">
        <v>1652</v>
      </c>
      <c r="E808" s="19" t="s">
        <v>66</v>
      </c>
      <c r="F808" s="8" t="s">
        <v>70</v>
      </c>
      <c r="G808" s="8" t="s">
        <v>69</v>
      </c>
      <c r="H808" s="19" t="s">
        <v>153</v>
      </c>
      <c r="I808" s="19" t="s">
        <v>1609</v>
      </c>
      <c r="J808" s="19" t="s">
        <v>274</v>
      </c>
    </row>
    <row r="809" ht="16" customHeight="1" outlineLevel="2" spans="1:10">
      <c r="A809" s="18">
        <v>16</v>
      </c>
      <c r="B809" s="18">
        <v>24</v>
      </c>
      <c r="C809" s="18" t="s">
        <v>1619</v>
      </c>
      <c r="D809" s="18" t="s">
        <v>1618</v>
      </c>
      <c r="E809" s="18" t="s">
        <v>66</v>
      </c>
      <c r="F809" s="18" t="s">
        <v>70</v>
      </c>
      <c r="G809" s="18" t="s">
        <v>69</v>
      </c>
      <c r="H809" s="19" t="s">
        <v>153</v>
      </c>
      <c r="I809" s="18" t="s">
        <v>1609</v>
      </c>
      <c r="J809" s="18" t="s">
        <v>223</v>
      </c>
    </row>
    <row r="810" ht="16" customHeight="1" outlineLevel="2" spans="1:10">
      <c r="A810" s="18">
        <v>16</v>
      </c>
      <c r="B810" s="18">
        <v>25</v>
      </c>
      <c r="C810" s="19" t="s">
        <v>1639</v>
      </c>
      <c r="D810" s="19" t="s">
        <v>1638</v>
      </c>
      <c r="E810" s="19" t="s">
        <v>66</v>
      </c>
      <c r="F810" s="8" t="s">
        <v>70</v>
      </c>
      <c r="G810" s="8" t="s">
        <v>69</v>
      </c>
      <c r="H810" s="19" t="s">
        <v>153</v>
      </c>
      <c r="I810" s="19" t="s">
        <v>1609</v>
      </c>
      <c r="J810" s="19" t="s">
        <v>253</v>
      </c>
    </row>
    <row r="811" ht="16" customHeight="1" outlineLevel="2" spans="1:10">
      <c r="A811" s="7">
        <v>16</v>
      </c>
      <c r="B811" s="7">
        <v>26</v>
      </c>
      <c r="C811" s="7" t="s">
        <v>1878</v>
      </c>
      <c r="D811" s="7" t="s">
        <v>1877</v>
      </c>
      <c r="E811" s="7" t="s">
        <v>66</v>
      </c>
      <c r="F811" s="7" t="s">
        <v>70</v>
      </c>
      <c r="G811" s="7" t="s">
        <v>69</v>
      </c>
      <c r="H811" s="7" t="s">
        <v>161</v>
      </c>
      <c r="I811" s="7" t="s">
        <v>1855</v>
      </c>
      <c r="J811" s="7" t="s">
        <v>241</v>
      </c>
    </row>
    <row r="812" ht="16" customHeight="1" outlineLevel="2" spans="1:10">
      <c r="A812" s="18">
        <v>16</v>
      </c>
      <c r="B812" s="18">
        <v>27</v>
      </c>
      <c r="C812" s="19" t="s">
        <v>1629</v>
      </c>
      <c r="D812" s="19" t="s">
        <v>1628</v>
      </c>
      <c r="E812" s="19" t="s">
        <v>66</v>
      </c>
      <c r="F812" s="8" t="s">
        <v>70</v>
      </c>
      <c r="G812" s="8" t="s">
        <v>69</v>
      </c>
      <c r="H812" s="7" t="s">
        <v>153</v>
      </c>
      <c r="I812" s="19" t="s">
        <v>1609</v>
      </c>
      <c r="J812" s="7" t="s">
        <v>238</v>
      </c>
    </row>
    <row r="813" ht="16" customHeight="1" outlineLevel="2" spans="1:10">
      <c r="A813" s="18">
        <v>16</v>
      </c>
      <c r="B813" s="18">
        <v>28</v>
      </c>
      <c r="C813" s="19" t="s">
        <v>1500</v>
      </c>
      <c r="D813" s="19" t="s">
        <v>1499</v>
      </c>
      <c r="E813" s="19" t="s">
        <v>66</v>
      </c>
      <c r="F813" s="8" t="s">
        <v>70</v>
      </c>
      <c r="G813" s="8" t="s">
        <v>69</v>
      </c>
      <c r="H813" s="19" t="s">
        <v>151</v>
      </c>
      <c r="I813" s="19" t="s">
        <v>1440</v>
      </c>
      <c r="J813" s="19" t="s">
        <v>298</v>
      </c>
    </row>
    <row r="814" ht="16" customHeight="1" outlineLevel="2" spans="1:10">
      <c r="A814" s="18">
        <v>16</v>
      </c>
      <c r="B814" s="18">
        <v>29</v>
      </c>
      <c r="C814" s="19" t="s">
        <v>1474</v>
      </c>
      <c r="D814" s="19" t="s">
        <v>1473</v>
      </c>
      <c r="E814" s="19" t="s">
        <v>66</v>
      </c>
      <c r="F814" s="8" t="s">
        <v>70</v>
      </c>
      <c r="G814" s="8" t="s">
        <v>69</v>
      </c>
      <c r="H814" s="19" t="s">
        <v>151</v>
      </c>
      <c r="I814" s="19" t="s">
        <v>1440</v>
      </c>
      <c r="J814" s="19" t="s">
        <v>259</v>
      </c>
    </row>
    <row r="815" ht="16" customHeight="1" outlineLevel="2" spans="1:10">
      <c r="A815" s="18">
        <v>16</v>
      </c>
      <c r="B815" s="18">
        <v>30</v>
      </c>
      <c r="C815" s="19" t="s">
        <v>1542</v>
      </c>
      <c r="D815" s="19" t="s">
        <v>1541</v>
      </c>
      <c r="E815" s="19" t="s">
        <v>66</v>
      </c>
      <c r="F815" s="8" t="s">
        <v>70</v>
      </c>
      <c r="G815" s="8" t="s">
        <v>69</v>
      </c>
      <c r="H815" s="19" t="s">
        <v>152</v>
      </c>
      <c r="I815" s="19" t="s">
        <v>1524</v>
      </c>
      <c r="J815" s="19" t="s">
        <v>235</v>
      </c>
    </row>
    <row r="816" ht="16" customHeight="1" outlineLevel="2" spans="1:10">
      <c r="A816" s="18">
        <v>16</v>
      </c>
      <c r="B816" s="18">
        <v>31</v>
      </c>
      <c r="C816" s="19" t="s">
        <v>1450</v>
      </c>
      <c r="D816" s="19" t="s">
        <v>1449</v>
      </c>
      <c r="E816" s="19" t="s">
        <v>66</v>
      </c>
      <c r="F816" s="8" t="s">
        <v>70</v>
      </c>
      <c r="G816" s="8" t="s">
        <v>69</v>
      </c>
      <c r="H816" s="19" t="s">
        <v>151</v>
      </c>
      <c r="I816" s="19" t="s">
        <v>1440</v>
      </c>
      <c r="J816" s="19" t="s">
        <v>223</v>
      </c>
    </row>
    <row r="817" ht="16" customHeight="1" outlineLevel="2" spans="1:10">
      <c r="A817" s="18">
        <v>16</v>
      </c>
      <c r="B817" s="18">
        <v>32</v>
      </c>
      <c r="C817" s="19" t="s">
        <v>1685</v>
      </c>
      <c r="D817" s="19" t="s">
        <v>1684</v>
      </c>
      <c r="E817" s="19" t="s">
        <v>66</v>
      </c>
      <c r="F817" s="8" t="s">
        <v>70</v>
      </c>
      <c r="G817" s="8" t="s">
        <v>69</v>
      </c>
      <c r="H817" s="19" t="s">
        <v>153</v>
      </c>
      <c r="I817" s="19" t="s">
        <v>1609</v>
      </c>
      <c r="J817" s="19" t="s">
        <v>322</v>
      </c>
    </row>
    <row r="818" ht="16" customHeight="1" outlineLevel="2" spans="1:10">
      <c r="A818" s="18">
        <v>16</v>
      </c>
      <c r="B818" s="18">
        <v>33</v>
      </c>
      <c r="C818" s="19" t="s">
        <v>1665</v>
      </c>
      <c r="D818" s="19" t="s">
        <v>1664</v>
      </c>
      <c r="E818" s="19" t="s">
        <v>66</v>
      </c>
      <c r="F818" s="8" t="s">
        <v>70</v>
      </c>
      <c r="G818" s="8" t="s">
        <v>69</v>
      </c>
      <c r="H818" s="19" t="s">
        <v>153</v>
      </c>
      <c r="I818" s="19" t="s">
        <v>1609</v>
      </c>
      <c r="J818" s="19" t="s">
        <v>292</v>
      </c>
    </row>
    <row r="819" ht="16" customHeight="1" outlineLevel="2" spans="1:10">
      <c r="A819" s="18">
        <v>16</v>
      </c>
      <c r="B819" s="18">
        <v>34</v>
      </c>
      <c r="C819" s="19" t="s">
        <v>1671</v>
      </c>
      <c r="D819" s="19" t="s">
        <v>1670</v>
      </c>
      <c r="E819" s="19" t="s">
        <v>66</v>
      </c>
      <c r="F819" s="8" t="s">
        <v>70</v>
      </c>
      <c r="G819" s="8" t="s">
        <v>69</v>
      </c>
      <c r="H819" s="19" t="s">
        <v>153</v>
      </c>
      <c r="I819" s="19" t="s">
        <v>1609</v>
      </c>
      <c r="J819" s="19" t="s">
        <v>301</v>
      </c>
    </row>
    <row r="820" ht="16" customHeight="1" outlineLevel="2" spans="1:10">
      <c r="A820" s="18">
        <v>16</v>
      </c>
      <c r="B820" s="18">
        <v>35</v>
      </c>
      <c r="C820" s="19" t="s">
        <v>1528</v>
      </c>
      <c r="D820" s="19" t="s">
        <v>1527</v>
      </c>
      <c r="E820" s="19" t="s">
        <v>66</v>
      </c>
      <c r="F820" s="8" t="s">
        <v>70</v>
      </c>
      <c r="G820" s="8" t="s">
        <v>69</v>
      </c>
      <c r="H820" s="19" t="s">
        <v>152</v>
      </c>
      <c r="I820" s="19" t="s">
        <v>1524</v>
      </c>
      <c r="J820" s="19" t="s">
        <v>214</v>
      </c>
    </row>
    <row r="821" ht="16" customHeight="1" outlineLevel="2" spans="1:10">
      <c r="A821" s="18">
        <v>16</v>
      </c>
      <c r="B821" s="18">
        <v>36</v>
      </c>
      <c r="C821" s="19" t="s">
        <v>1613</v>
      </c>
      <c r="D821" s="19" t="s">
        <v>1612</v>
      </c>
      <c r="E821" s="19" t="s">
        <v>66</v>
      </c>
      <c r="F821" s="8" t="s">
        <v>70</v>
      </c>
      <c r="G821" s="8" t="s">
        <v>69</v>
      </c>
      <c r="H821" s="19" t="s">
        <v>153</v>
      </c>
      <c r="I821" s="19" t="s">
        <v>1609</v>
      </c>
      <c r="J821" s="19" t="s">
        <v>214</v>
      </c>
    </row>
    <row r="822" ht="16" customHeight="1" outlineLevel="2" spans="1:10">
      <c r="A822" s="18">
        <v>16</v>
      </c>
      <c r="B822" s="18">
        <v>37</v>
      </c>
      <c r="C822" s="19" t="s">
        <v>1718</v>
      </c>
      <c r="D822" s="19" t="s">
        <v>1717</v>
      </c>
      <c r="E822" s="19" t="s">
        <v>66</v>
      </c>
      <c r="F822" s="8" t="s">
        <v>70</v>
      </c>
      <c r="G822" s="8" t="s">
        <v>69</v>
      </c>
      <c r="H822" s="19" t="s">
        <v>154</v>
      </c>
      <c r="I822" s="19" t="s">
        <v>1694</v>
      </c>
      <c r="J822" s="19" t="s">
        <v>244</v>
      </c>
    </row>
    <row r="823" ht="16" customHeight="1" outlineLevel="2" spans="1:10">
      <c r="A823" s="18">
        <v>16</v>
      </c>
      <c r="B823" s="18">
        <v>38</v>
      </c>
      <c r="C823" s="19" t="s">
        <v>1643</v>
      </c>
      <c r="D823" s="19" t="s">
        <v>1642</v>
      </c>
      <c r="E823" s="19" t="s">
        <v>66</v>
      </c>
      <c r="F823" s="8" t="s">
        <v>70</v>
      </c>
      <c r="G823" s="8" t="s">
        <v>69</v>
      </c>
      <c r="H823" s="19" t="s">
        <v>153</v>
      </c>
      <c r="I823" s="19" t="s">
        <v>1609</v>
      </c>
      <c r="J823" s="19" t="s">
        <v>259</v>
      </c>
    </row>
    <row r="824" ht="16" customHeight="1" outlineLevel="2" spans="1:10">
      <c r="A824" s="18">
        <v>16</v>
      </c>
      <c r="B824" s="18">
        <v>39</v>
      </c>
      <c r="C824" s="19" t="s">
        <v>1478</v>
      </c>
      <c r="D824" s="19" t="s">
        <v>1477</v>
      </c>
      <c r="E824" s="19" t="s">
        <v>66</v>
      </c>
      <c r="F824" s="8" t="s">
        <v>70</v>
      </c>
      <c r="G824" s="8" t="s">
        <v>69</v>
      </c>
      <c r="H824" s="7" t="s">
        <v>151</v>
      </c>
      <c r="I824" s="19" t="s">
        <v>1440</v>
      </c>
      <c r="J824" s="7" t="s">
        <v>265</v>
      </c>
    </row>
    <row r="825" ht="16" customHeight="1" outlineLevel="2" spans="1:10">
      <c r="A825" s="18">
        <v>16</v>
      </c>
      <c r="B825" s="18">
        <v>40</v>
      </c>
      <c r="C825" s="19" t="s">
        <v>1594</v>
      </c>
      <c r="D825" s="19" t="s">
        <v>1593</v>
      </c>
      <c r="E825" s="19" t="s">
        <v>66</v>
      </c>
      <c r="F825" s="8" t="s">
        <v>70</v>
      </c>
      <c r="G825" s="8" t="s">
        <v>69</v>
      </c>
      <c r="H825" s="19" t="s">
        <v>152</v>
      </c>
      <c r="I825" s="19" t="s">
        <v>1524</v>
      </c>
      <c r="J825" s="19" t="s">
        <v>313</v>
      </c>
    </row>
    <row r="826" ht="16" customHeight="1" outlineLevel="2" spans="1:10">
      <c r="A826" s="18">
        <v>16</v>
      </c>
      <c r="B826" s="18">
        <v>41</v>
      </c>
      <c r="C826" s="19" t="s">
        <v>1647</v>
      </c>
      <c r="D826" s="19" t="s">
        <v>1646</v>
      </c>
      <c r="E826" s="19" t="s">
        <v>66</v>
      </c>
      <c r="F826" s="8" t="s">
        <v>70</v>
      </c>
      <c r="G826" s="8" t="s">
        <v>69</v>
      </c>
      <c r="H826" s="19" t="s">
        <v>153</v>
      </c>
      <c r="I826" s="19" t="s">
        <v>1609</v>
      </c>
      <c r="J826" s="19" t="s">
        <v>265</v>
      </c>
    </row>
    <row r="827" ht="16" customHeight="1" outlineLevel="2" spans="1:10">
      <c r="A827" s="18">
        <v>16</v>
      </c>
      <c r="B827" s="18">
        <v>42</v>
      </c>
      <c r="C827" s="19" t="s">
        <v>1506</v>
      </c>
      <c r="D827" s="19" t="s">
        <v>1505</v>
      </c>
      <c r="E827" s="19" t="s">
        <v>66</v>
      </c>
      <c r="F827" s="8" t="s">
        <v>70</v>
      </c>
      <c r="G827" s="8" t="s">
        <v>69</v>
      </c>
      <c r="H827" s="19" t="s">
        <v>151</v>
      </c>
      <c r="I827" s="19" t="s">
        <v>1440</v>
      </c>
      <c r="J827" s="19" t="s">
        <v>307</v>
      </c>
    </row>
    <row r="828" ht="16" customHeight="1" outlineLevel="2" spans="1:10">
      <c r="A828" s="18">
        <v>16</v>
      </c>
      <c r="B828" s="18">
        <v>43</v>
      </c>
      <c r="C828" s="19" t="s">
        <v>1600</v>
      </c>
      <c r="D828" s="19" t="s">
        <v>1599</v>
      </c>
      <c r="E828" s="19" t="s">
        <v>66</v>
      </c>
      <c r="F828" s="8" t="s">
        <v>70</v>
      </c>
      <c r="G828" s="8" t="s">
        <v>69</v>
      </c>
      <c r="H828" s="19" t="s">
        <v>152</v>
      </c>
      <c r="I828" s="19" t="s">
        <v>1524</v>
      </c>
      <c r="J828" s="19" t="s">
        <v>322</v>
      </c>
    </row>
    <row r="829" ht="16" customHeight="1" outlineLevel="2" spans="1:10">
      <c r="A829" s="18">
        <v>16</v>
      </c>
      <c r="B829" s="18">
        <v>44</v>
      </c>
      <c r="C829" s="19" t="s">
        <v>1508</v>
      </c>
      <c r="D829" s="19" t="s">
        <v>1507</v>
      </c>
      <c r="E829" s="19" t="s">
        <v>66</v>
      </c>
      <c r="F829" s="8" t="s">
        <v>70</v>
      </c>
      <c r="G829" s="8" t="s">
        <v>69</v>
      </c>
      <c r="H829" s="7" t="s">
        <v>151</v>
      </c>
      <c r="I829" s="19" t="s">
        <v>1440</v>
      </c>
      <c r="J829" s="7" t="s">
        <v>310</v>
      </c>
    </row>
    <row r="830" ht="16" customHeight="1" outlineLevel="2" spans="1:10">
      <c r="A830" s="18">
        <v>16</v>
      </c>
      <c r="B830" s="18">
        <v>45</v>
      </c>
      <c r="C830" s="19" t="s">
        <v>1520</v>
      </c>
      <c r="D830" s="19" t="s">
        <v>1519</v>
      </c>
      <c r="E830" s="19" t="s">
        <v>66</v>
      </c>
      <c r="F830" s="8" t="s">
        <v>70</v>
      </c>
      <c r="G830" s="8" t="s">
        <v>69</v>
      </c>
      <c r="H830" s="7" t="s">
        <v>151</v>
      </c>
      <c r="I830" s="19" t="s">
        <v>1440</v>
      </c>
      <c r="J830" s="7" t="s">
        <v>328</v>
      </c>
    </row>
    <row r="831" ht="16" customHeight="1" outlineLevel="2" spans="1:10">
      <c r="A831" s="7">
        <v>16</v>
      </c>
      <c r="B831" s="7">
        <v>46</v>
      </c>
      <c r="C831" s="7" t="s">
        <v>1882</v>
      </c>
      <c r="D831" s="7" t="s">
        <v>1881</v>
      </c>
      <c r="E831" s="7" t="s">
        <v>66</v>
      </c>
      <c r="F831" s="7" t="s">
        <v>70</v>
      </c>
      <c r="G831" s="7" t="s">
        <v>69</v>
      </c>
      <c r="H831" s="7" t="s">
        <v>161</v>
      </c>
      <c r="I831" s="7" t="s">
        <v>1855</v>
      </c>
      <c r="J831" s="7" t="s">
        <v>247</v>
      </c>
    </row>
    <row r="832" ht="16" customHeight="1" outlineLevel="2" spans="1:10">
      <c r="A832" s="18">
        <v>16</v>
      </c>
      <c r="B832" s="18">
        <v>47</v>
      </c>
      <c r="C832" s="19" t="s">
        <v>1596</v>
      </c>
      <c r="D832" s="19" t="s">
        <v>1595</v>
      </c>
      <c r="E832" s="19" t="s">
        <v>66</v>
      </c>
      <c r="F832" s="8" t="s">
        <v>70</v>
      </c>
      <c r="G832" s="8" t="s">
        <v>69</v>
      </c>
      <c r="H832" s="19" t="s">
        <v>152</v>
      </c>
      <c r="I832" s="19" t="s">
        <v>1524</v>
      </c>
      <c r="J832" s="19" t="s">
        <v>316</v>
      </c>
    </row>
    <row r="833" ht="16" customHeight="1" outlineLevel="2" spans="1:10">
      <c r="A833" s="18">
        <v>16</v>
      </c>
      <c r="B833" s="18">
        <v>48</v>
      </c>
      <c r="C833" s="19" t="s">
        <v>1496</v>
      </c>
      <c r="D833" s="19" t="s">
        <v>1495</v>
      </c>
      <c r="E833" s="19" t="s">
        <v>66</v>
      </c>
      <c r="F833" s="8" t="s">
        <v>70</v>
      </c>
      <c r="G833" s="8" t="s">
        <v>69</v>
      </c>
      <c r="H833" s="7" t="s">
        <v>151</v>
      </c>
      <c r="I833" s="19" t="s">
        <v>1440</v>
      </c>
      <c r="J833" s="19" t="s">
        <v>292</v>
      </c>
    </row>
    <row r="834" ht="16" customHeight="1" outlineLevel="2" spans="1:10">
      <c r="A834" s="18">
        <v>16</v>
      </c>
      <c r="B834" s="18">
        <v>49</v>
      </c>
      <c r="C834" s="19" t="s">
        <v>1458</v>
      </c>
      <c r="D834" s="19" t="s">
        <v>1523</v>
      </c>
      <c r="E834" s="19" t="s">
        <v>66</v>
      </c>
      <c r="F834" s="8" t="s">
        <v>70</v>
      </c>
      <c r="G834" s="8" t="s">
        <v>69</v>
      </c>
      <c r="H834" s="7" t="s">
        <v>152</v>
      </c>
      <c r="I834" s="19" t="s">
        <v>1524</v>
      </c>
      <c r="J834" s="7" t="s">
        <v>207</v>
      </c>
    </row>
    <row r="835" ht="16" customHeight="1" outlineLevel="1" spans="1:10">
      <c r="A835" s="21" t="s">
        <v>1927</v>
      </c>
      <c r="B835" s="18"/>
      <c r="C835" s="19">
        <f>SUBTOTAL(3,C786:C834)</f>
        <v>49</v>
      </c>
      <c r="D835" s="19"/>
      <c r="E835" s="19"/>
      <c r="F835" s="8"/>
      <c r="G835" s="8"/>
      <c r="H835" s="7"/>
      <c r="I835" s="19"/>
      <c r="J835" s="7"/>
    </row>
    <row r="836" ht="16" customHeight="1" spans="1:10">
      <c r="A836" s="21" t="s">
        <v>1928</v>
      </c>
      <c r="B836" s="18"/>
      <c r="C836" s="19">
        <f>SUBTOTAL(3,C3:C834)</f>
        <v>817</v>
      </c>
      <c r="D836" s="19"/>
      <c r="E836" s="19"/>
      <c r="F836" s="8"/>
      <c r="G836" s="8"/>
      <c r="H836" s="7"/>
      <c r="I836" s="19"/>
      <c r="J836" s="7"/>
    </row>
  </sheetData>
  <autoFilter xmlns:etc="http://www.wps.cn/officeDocument/2017/etCustomData" ref="A1:J836" etc:filterBottomFollowUsedRange="0">
    <extLst/>
  </autoFilter>
  <sortState ref="A3:J819">
    <sortCondition ref="A3:A819"/>
    <sortCondition ref="B3:B819"/>
  </sortState>
  <mergeCells count="1">
    <mergeCell ref="A1:J1"/>
  </mergeCells>
  <printOptions horizontalCentered="1"/>
  <pageMargins left="0.708333333333333" right="0.708333333333333" top="0.196527777777778" bottom="0.196527777777778" header="0" footer="0"/>
  <pageSetup paperSize="9" orientation="portrait" horizontalDpi="600"/>
  <headerFooter/>
  <rowBreaks count="16" manualBreakCount="16">
    <brk id="53" max="9" man="1"/>
    <brk id="106" max="9" man="1"/>
    <brk id="160" max="9" man="1"/>
    <brk id="213" max="9" man="1"/>
    <brk id="266" max="9" man="1"/>
    <brk id="319" max="9" man="1"/>
    <brk id="372" max="9" man="1"/>
    <brk id="425" max="9" man="1"/>
    <brk id="478" max="9" man="1"/>
    <brk id="530" max="9" man="1"/>
    <brk id="583" max="9" man="1"/>
    <brk id="638" max="9" man="1"/>
    <brk id="687" max="9" man="1"/>
    <brk id="737" max="9" man="1"/>
    <brk id="785" max="9" man="1"/>
    <brk id="83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pageSetUpPr autoPageBreaks="0"/>
  </sheetPr>
  <dimension ref="A1:J840"/>
  <sheetViews>
    <sheetView workbookViewId="0">
      <pane ySplit="2" topLeftCell="A791" activePane="bottomLeft" state="frozen"/>
      <selection/>
      <selection pane="bottomLeft" activeCell="K489" sqref="K489"/>
    </sheetView>
  </sheetViews>
  <sheetFormatPr defaultColWidth="9" defaultRowHeight="14.25"/>
  <cols>
    <col min="1" max="2" width="6.63333333333333" style="6" customWidth="1"/>
    <col min="3" max="3" width="8.63333333333333" style="6" customWidth="1"/>
    <col min="4" max="4" width="12.6333333333333" style="6" customWidth="1"/>
    <col min="5" max="7" width="7.63333333333333" style="6" customWidth="1"/>
    <col min="8" max="8" width="12.6333333333333" style="6" customWidth="1"/>
    <col min="9" max="10" width="8.63333333333333" style="6" customWidth="1"/>
    <col min="11" max="16383" width="9" style="6"/>
  </cols>
  <sheetData>
    <row r="1" ht="20" customHeight="1" spans="1:10">
      <c r="A1" s="16" t="str">
        <f>巡视!$A$1&amp;"座位安排-考场"</f>
        <v>2025-2026学年高二第一学期期中考座位安排-考场</v>
      </c>
      <c r="B1" s="16"/>
      <c r="C1" s="16"/>
      <c r="D1" s="16"/>
      <c r="E1" s="16"/>
      <c r="F1" s="16"/>
      <c r="G1" s="16"/>
      <c r="H1" s="16"/>
      <c r="I1" s="16"/>
      <c r="J1" s="16"/>
    </row>
    <row r="2" s="15" customFormat="1" ht="20" customHeight="1" spans="1:10">
      <c r="A2" s="17" t="s">
        <v>193</v>
      </c>
      <c r="B2" s="17" t="s">
        <v>194</v>
      </c>
      <c r="C2" s="17" t="s">
        <v>56</v>
      </c>
      <c r="D2" s="17" t="s">
        <v>190</v>
      </c>
      <c r="E2" s="17" t="s">
        <v>1908</v>
      </c>
      <c r="F2" s="17" t="s">
        <v>1909</v>
      </c>
      <c r="G2" s="17" t="s">
        <v>1910</v>
      </c>
      <c r="H2" s="17" t="s">
        <v>196</v>
      </c>
      <c r="I2" s="17" t="s">
        <v>195</v>
      </c>
      <c r="J2" s="17" t="s">
        <v>1911</v>
      </c>
    </row>
    <row r="3" ht="18" customHeight="1" outlineLevel="2" spans="1:10">
      <c r="A3" s="18">
        <v>7</v>
      </c>
      <c r="B3" s="18">
        <v>1</v>
      </c>
      <c r="C3" s="19" t="s">
        <v>203</v>
      </c>
      <c r="D3" s="19" t="s">
        <v>202</v>
      </c>
      <c r="E3" s="19" t="s">
        <v>65</v>
      </c>
      <c r="F3" s="8" t="s">
        <v>67</v>
      </c>
      <c r="G3" s="8" t="s">
        <v>68</v>
      </c>
      <c r="H3" s="19" t="s">
        <v>73</v>
      </c>
      <c r="I3" s="19" t="s">
        <v>206</v>
      </c>
      <c r="J3" s="19" t="s">
        <v>207</v>
      </c>
    </row>
    <row r="4" ht="18" customHeight="1" outlineLevel="2" spans="1:10">
      <c r="A4" s="18">
        <v>3</v>
      </c>
      <c r="B4" s="18">
        <v>2</v>
      </c>
      <c r="C4" s="19" t="s">
        <v>209</v>
      </c>
      <c r="D4" s="19" t="s">
        <v>208</v>
      </c>
      <c r="E4" s="19" t="s">
        <v>65</v>
      </c>
      <c r="F4" s="8" t="s">
        <v>67</v>
      </c>
      <c r="G4" s="8" t="s">
        <v>68</v>
      </c>
      <c r="H4" s="19" t="s">
        <v>73</v>
      </c>
      <c r="I4" s="19" t="s">
        <v>206</v>
      </c>
      <c r="J4" s="19" t="s">
        <v>210</v>
      </c>
    </row>
    <row r="5" ht="18" customHeight="1" outlineLevel="2" spans="1:10">
      <c r="A5" s="18">
        <v>8</v>
      </c>
      <c r="B5" s="18">
        <v>51</v>
      </c>
      <c r="C5" s="19" t="s">
        <v>212</v>
      </c>
      <c r="D5" s="19" t="s">
        <v>211</v>
      </c>
      <c r="E5" s="19" t="s">
        <v>65</v>
      </c>
      <c r="F5" s="8" t="s">
        <v>67</v>
      </c>
      <c r="G5" s="8" t="s">
        <v>68</v>
      </c>
      <c r="H5" s="19" t="s">
        <v>73</v>
      </c>
      <c r="I5" s="19" t="s">
        <v>206</v>
      </c>
      <c r="J5" s="19" t="s">
        <v>214</v>
      </c>
    </row>
    <row r="6" ht="18" customHeight="1" outlineLevel="2" spans="1:10">
      <c r="A6" s="18">
        <v>5</v>
      </c>
      <c r="B6" s="18">
        <v>18</v>
      </c>
      <c r="C6" s="19" t="s">
        <v>216</v>
      </c>
      <c r="D6" s="19" t="s">
        <v>215</v>
      </c>
      <c r="E6" s="19" t="s">
        <v>65</v>
      </c>
      <c r="F6" s="8" t="s">
        <v>67</v>
      </c>
      <c r="G6" s="8" t="s">
        <v>68</v>
      </c>
      <c r="H6" s="19" t="s">
        <v>73</v>
      </c>
      <c r="I6" s="19" t="s">
        <v>206</v>
      </c>
      <c r="J6" s="19" t="s">
        <v>217</v>
      </c>
    </row>
    <row r="7" ht="18" customHeight="1" outlineLevel="2" spans="1:10">
      <c r="A7" s="18">
        <v>5</v>
      </c>
      <c r="B7" s="18">
        <v>32</v>
      </c>
      <c r="C7" s="19" t="s">
        <v>219</v>
      </c>
      <c r="D7" s="19" t="s">
        <v>218</v>
      </c>
      <c r="E7" s="19" t="s">
        <v>65</v>
      </c>
      <c r="F7" s="8" t="s">
        <v>67</v>
      </c>
      <c r="G7" s="8" t="s">
        <v>68</v>
      </c>
      <c r="H7" s="19" t="s">
        <v>73</v>
      </c>
      <c r="I7" s="19" t="s">
        <v>206</v>
      </c>
      <c r="J7" s="19" t="s">
        <v>220</v>
      </c>
    </row>
    <row r="8" ht="18" customHeight="1" outlineLevel="2" spans="1:10">
      <c r="A8" s="18">
        <v>8</v>
      </c>
      <c r="B8" s="18">
        <v>17</v>
      </c>
      <c r="C8" s="19" t="s">
        <v>222</v>
      </c>
      <c r="D8" s="19" t="s">
        <v>221</v>
      </c>
      <c r="E8" s="19" t="s">
        <v>65</v>
      </c>
      <c r="F8" s="8" t="s">
        <v>67</v>
      </c>
      <c r="G8" s="8" t="s">
        <v>68</v>
      </c>
      <c r="H8" s="19" t="s">
        <v>73</v>
      </c>
      <c r="I8" s="19" t="s">
        <v>206</v>
      </c>
      <c r="J8" s="19" t="s">
        <v>223</v>
      </c>
    </row>
    <row r="9" ht="18" customHeight="1" outlineLevel="2" spans="1:10">
      <c r="A9" s="18">
        <v>4</v>
      </c>
      <c r="B9" s="18">
        <v>6</v>
      </c>
      <c r="C9" s="19" t="s">
        <v>225</v>
      </c>
      <c r="D9" s="19" t="s">
        <v>224</v>
      </c>
      <c r="E9" s="19" t="s">
        <v>65</v>
      </c>
      <c r="F9" s="8" t="s">
        <v>67</v>
      </c>
      <c r="G9" s="8" t="s">
        <v>68</v>
      </c>
      <c r="H9" s="19" t="s">
        <v>73</v>
      </c>
      <c r="I9" s="19" t="s">
        <v>206</v>
      </c>
      <c r="J9" s="19" t="s">
        <v>226</v>
      </c>
    </row>
    <row r="10" ht="18" customHeight="1" outlineLevel="2" spans="1:10">
      <c r="A10" s="18">
        <v>5</v>
      </c>
      <c r="B10" s="18">
        <v>26</v>
      </c>
      <c r="C10" s="19" t="s">
        <v>228</v>
      </c>
      <c r="D10" s="19" t="s">
        <v>227</v>
      </c>
      <c r="E10" s="19" t="s">
        <v>65</v>
      </c>
      <c r="F10" s="8" t="s">
        <v>67</v>
      </c>
      <c r="G10" s="8" t="s">
        <v>68</v>
      </c>
      <c r="H10" s="19" t="s">
        <v>73</v>
      </c>
      <c r="I10" s="19" t="s">
        <v>206</v>
      </c>
      <c r="J10" s="19" t="s">
        <v>229</v>
      </c>
    </row>
    <row r="11" ht="18" customHeight="1" outlineLevel="2" spans="1:10">
      <c r="A11" s="18">
        <v>4</v>
      </c>
      <c r="B11" s="18">
        <v>8</v>
      </c>
      <c r="C11" s="19" t="s">
        <v>231</v>
      </c>
      <c r="D11" s="19" t="s">
        <v>230</v>
      </c>
      <c r="E11" s="19" t="s">
        <v>65</v>
      </c>
      <c r="F11" s="8" t="s">
        <v>67</v>
      </c>
      <c r="G11" s="8" t="s">
        <v>68</v>
      </c>
      <c r="H11" s="19" t="s">
        <v>73</v>
      </c>
      <c r="I11" s="19" t="s">
        <v>206</v>
      </c>
      <c r="J11" s="19" t="s">
        <v>232</v>
      </c>
    </row>
    <row r="12" ht="18" customHeight="1" outlineLevel="2" spans="1:10">
      <c r="A12" s="18">
        <v>9</v>
      </c>
      <c r="B12" s="18">
        <v>16</v>
      </c>
      <c r="C12" s="19" t="s">
        <v>234</v>
      </c>
      <c r="D12" s="19" t="s">
        <v>233</v>
      </c>
      <c r="E12" s="19" t="s">
        <v>65</v>
      </c>
      <c r="F12" s="8" t="s">
        <v>67</v>
      </c>
      <c r="G12" s="8" t="s">
        <v>68</v>
      </c>
      <c r="H12" s="19" t="s">
        <v>73</v>
      </c>
      <c r="I12" s="19" t="s">
        <v>206</v>
      </c>
      <c r="J12" s="19" t="s">
        <v>235</v>
      </c>
    </row>
    <row r="13" ht="18" customHeight="1" outlineLevel="2" spans="1:10">
      <c r="A13" s="18">
        <v>8</v>
      </c>
      <c r="B13" s="18">
        <v>49</v>
      </c>
      <c r="C13" s="19" t="s">
        <v>237</v>
      </c>
      <c r="D13" s="19" t="s">
        <v>236</v>
      </c>
      <c r="E13" s="19" t="s">
        <v>65</v>
      </c>
      <c r="F13" s="8" t="s">
        <v>67</v>
      </c>
      <c r="G13" s="8" t="s">
        <v>68</v>
      </c>
      <c r="H13" s="19" t="s">
        <v>73</v>
      </c>
      <c r="I13" s="19" t="s">
        <v>206</v>
      </c>
      <c r="J13" s="19" t="s">
        <v>238</v>
      </c>
    </row>
    <row r="14" ht="18" customHeight="1" outlineLevel="2" spans="1:10">
      <c r="A14" s="18">
        <v>1</v>
      </c>
      <c r="B14" s="18">
        <v>36</v>
      </c>
      <c r="C14" s="19" t="s">
        <v>240</v>
      </c>
      <c r="D14" s="19" t="s">
        <v>239</v>
      </c>
      <c r="E14" s="19" t="s">
        <v>65</v>
      </c>
      <c r="F14" s="8" t="s">
        <v>67</v>
      </c>
      <c r="G14" s="8" t="s">
        <v>68</v>
      </c>
      <c r="H14" s="19" t="s">
        <v>73</v>
      </c>
      <c r="I14" s="19" t="s">
        <v>206</v>
      </c>
      <c r="J14" s="19" t="s">
        <v>241</v>
      </c>
    </row>
    <row r="15" ht="18" customHeight="1" outlineLevel="2" spans="1:10">
      <c r="A15" s="18">
        <v>5</v>
      </c>
      <c r="B15" s="18">
        <v>12</v>
      </c>
      <c r="C15" s="19" t="s">
        <v>243</v>
      </c>
      <c r="D15" s="19" t="s">
        <v>242</v>
      </c>
      <c r="E15" s="19" t="s">
        <v>65</v>
      </c>
      <c r="F15" s="8" t="s">
        <v>67</v>
      </c>
      <c r="G15" s="8" t="s">
        <v>68</v>
      </c>
      <c r="H15" s="19" t="s">
        <v>73</v>
      </c>
      <c r="I15" s="19" t="s">
        <v>206</v>
      </c>
      <c r="J15" s="19" t="s">
        <v>244</v>
      </c>
    </row>
    <row r="16" ht="18" customHeight="1" outlineLevel="2" spans="1:10">
      <c r="A16" s="18">
        <v>1</v>
      </c>
      <c r="B16" s="18">
        <v>15</v>
      </c>
      <c r="C16" s="19" t="s">
        <v>246</v>
      </c>
      <c r="D16" s="19" t="s">
        <v>245</v>
      </c>
      <c r="E16" s="19" t="s">
        <v>65</v>
      </c>
      <c r="F16" s="8" t="s">
        <v>67</v>
      </c>
      <c r="G16" s="8" t="s">
        <v>68</v>
      </c>
      <c r="H16" s="19" t="s">
        <v>73</v>
      </c>
      <c r="I16" s="19" t="s">
        <v>206</v>
      </c>
      <c r="J16" s="19" t="s">
        <v>247</v>
      </c>
    </row>
    <row r="17" ht="18" customHeight="1" outlineLevel="2" spans="1:10">
      <c r="A17" s="18">
        <v>8</v>
      </c>
      <c r="B17" s="18">
        <v>27</v>
      </c>
      <c r="C17" s="19" t="s">
        <v>249</v>
      </c>
      <c r="D17" s="19" t="s">
        <v>248</v>
      </c>
      <c r="E17" s="19" t="s">
        <v>65</v>
      </c>
      <c r="F17" s="8" t="s">
        <v>67</v>
      </c>
      <c r="G17" s="8" t="s">
        <v>68</v>
      </c>
      <c r="H17" s="19" t="s">
        <v>73</v>
      </c>
      <c r="I17" s="19" t="s">
        <v>206</v>
      </c>
      <c r="J17" s="19" t="s">
        <v>250</v>
      </c>
    </row>
    <row r="18" ht="18" customHeight="1" outlineLevel="2" spans="1:10">
      <c r="A18" s="18">
        <v>2</v>
      </c>
      <c r="B18" s="18">
        <v>42</v>
      </c>
      <c r="C18" s="19" t="s">
        <v>252</v>
      </c>
      <c r="D18" s="19" t="s">
        <v>251</v>
      </c>
      <c r="E18" s="19" t="s">
        <v>65</v>
      </c>
      <c r="F18" s="8" t="s">
        <v>67</v>
      </c>
      <c r="G18" s="8" t="s">
        <v>68</v>
      </c>
      <c r="H18" s="19" t="s">
        <v>73</v>
      </c>
      <c r="I18" s="19" t="s">
        <v>206</v>
      </c>
      <c r="J18" s="19" t="s">
        <v>253</v>
      </c>
    </row>
    <row r="19" ht="18" customHeight="1" outlineLevel="2" spans="1:10">
      <c r="A19" s="18">
        <v>6</v>
      </c>
      <c r="B19" s="18">
        <v>42</v>
      </c>
      <c r="C19" s="19" t="s">
        <v>255</v>
      </c>
      <c r="D19" s="19" t="s">
        <v>254</v>
      </c>
      <c r="E19" s="19" t="s">
        <v>65</v>
      </c>
      <c r="F19" s="8" t="s">
        <v>67</v>
      </c>
      <c r="G19" s="8" t="s">
        <v>68</v>
      </c>
      <c r="H19" s="19" t="s">
        <v>73</v>
      </c>
      <c r="I19" s="19" t="s">
        <v>206</v>
      </c>
      <c r="J19" s="19" t="s">
        <v>256</v>
      </c>
    </row>
    <row r="20" ht="18" customHeight="1" outlineLevel="2" spans="1:10">
      <c r="A20" s="18">
        <v>5</v>
      </c>
      <c r="B20" s="18">
        <v>25</v>
      </c>
      <c r="C20" s="19" t="s">
        <v>258</v>
      </c>
      <c r="D20" s="19" t="s">
        <v>257</v>
      </c>
      <c r="E20" s="19" t="s">
        <v>65</v>
      </c>
      <c r="F20" s="8" t="s">
        <v>67</v>
      </c>
      <c r="G20" s="8" t="s">
        <v>68</v>
      </c>
      <c r="H20" s="19" t="s">
        <v>73</v>
      </c>
      <c r="I20" s="19" t="s">
        <v>206</v>
      </c>
      <c r="J20" s="19" t="s">
        <v>259</v>
      </c>
    </row>
    <row r="21" ht="18" customHeight="1" outlineLevel="2" spans="1:10">
      <c r="A21" s="18">
        <v>4</v>
      </c>
      <c r="B21" s="18">
        <v>4</v>
      </c>
      <c r="C21" s="19" t="s">
        <v>261</v>
      </c>
      <c r="D21" s="19" t="s">
        <v>260</v>
      </c>
      <c r="E21" s="19" t="s">
        <v>65</v>
      </c>
      <c r="F21" s="8" t="s">
        <v>67</v>
      </c>
      <c r="G21" s="8" t="s">
        <v>68</v>
      </c>
      <c r="H21" s="19" t="s">
        <v>73</v>
      </c>
      <c r="I21" s="19" t="s">
        <v>206</v>
      </c>
      <c r="J21" s="19" t="s">
        <v>262</v>
      </c>
    </row>
    <row r="22" ht="18" customHeight="1" outlineLevel="2" spans="1:10">
      <c r="A22" s="18">
        <v>8</v>
      </c>
      <c r="B22" s="18">
        <v>48</v>
      </c>
      <c r="C22" s="19" t="s">
        <v>264</v>
      </c>
      <c r="D22" s="19" t="s">
        <v>263</v>
      </c>
      <c r="E22" s="19" t="s">
        <v>65</v>
      </c>
      <c r="F22" s="8" t="s">
        <v>67</v>
      </c>
      <c r="G22" s="8" t="s">
        <v>68</v>
      </c>
      <c r="H22" s="19" t="s">
        <v>73</v>
      </c>
      <c r="I22" s="19" t="s">
        <v>206</v>
      </c>
      <c r="J22" s="19" t="s">
        <v>265</v>
      </c>
    </row>
    <row r="23" ht="18" customHeight="1" outlineLevel="2" spans="1:10">
      <c r="A23" s="18">
        <v>7</v>
      </c>
      <c r="B23" s="18">
        <v>31</v>
      </c>
      <c r="C23" s="19" t="s">
        <v>267</v>
      </c>
      <c r="D23" s="19" t="s">
        <v>266</v>
      </c>
      <c r="E23" s="19" t="s">
        <v>65</v>
      </c>
      <c r="F23" s="8" t="s">
        <v>67</v>
      </c>
      <c r="G23" s="8" t="s">
        <v>68</v>
      </c>
      <c r="H23" s="19" t="s">
        <v>73</v>
      </c>
      <c r="I23" s="19" t="s">
        <v>206</v>
      </c>
      <c r="J23" s="19" t="s">
        <v>268</v>
      </c>
    </row>
    <row r="24" ht="18" customHeight="1" outlineLevel="2" spans="1:10">
      <c r="A24" s="18">
        <v>3</v>
      </c>
      <c r="B24" s="18">
        <v>5</v>
      </c>
      <c r="C24" s="19" t="s">
        <v>270</v>
      </c>
      <c r="D24" s="19" t="s">
        <v>269</v>
      </c>
      <c r="E24" s="19" t="s">
        <v>65</v>
      </c>
      <c r="F24" s="8" t="s">
        <v>67</v>
      </c>
      <c r="G24" s="8" t="s">
        <v>68</v>
      </c>
      <c r="H24" s="19" t="s">
        <v>73</v>
      </c>
      <c r="I24" s="19" t="s">
        <v>206</v>
      </c>
      <c r="J24" s="19" t="s">
        <v>271</v>
      </c>
    </row>
    <row r="25" ht="18" customHeight="1" outlineLevel="2" spans="1:10">
      <c r="A25" s="18">
        <v>2</v>
      </c>
      <c r="B25" s="18">
        <v>12</v>
      </c>
      <c r="C25" s="19" t="s">
        <v>273</v>
      </c>
      <c r="D25" s="19" t="s">
        <v>272</v>
      </c>
      <c r="E25" s="19" t="s">
        <v>65</v>
      </c>
      <c r="F25" s="8" t="s">
        <v>67</v>
      </c>
      <c r="G25" s="8" t="s">
        <v>68</v>
      </c>
      <c r="H25" s="19" t="s">
        <v>73</v>
      </c>
      <c r="I25" s="19" t="s">
        <v>206</v>
      </c>
      <c r="J25" s="19" t="s">
        <v>274</v>
      </c>
    </row>
    <row r="26" ht="18" customHeight="1" outlineLevel="2" spans="1:10">
      <c r="A26" s="18">
        <v>5</v>
      </c>
      <c r="B26" s="18">
        <v>31</v>
      </c>
      <c r="C26" s="19" t="s">
        <v>276</v>
      </c>
      <c r="D26" s="19" t="s">
        <v>275</v>
      </c>
      <c r="E26" s="19" t="s">
        <v>65</v>
      </c>
      <c r="F26" s="8" t="s">
        <v>67</v>
      </c>
      <c r="G26" s="8" t="s">
        <v>68</v>
      </c>
      <c r="H26" s="19" t="s">
        <v>73</v>
      </c>
      <c r="I26" s="19" t="s">
        <v>206</v>
      </c>
      <c r="J26" s="19" t="s">
        <v>277</v>
      </c>
    </row>
    <row r="27" ht="18" customHeight="1" outlineLevel="2" spans="1:10">
      <c r="A27" s="18">
        <v>2</v>
      </c>
      <c r="B27" s="18">
        <v>23</v>
      </c>
      <c r="C27" s="19" t="s">
        <v>279</v>
      </c>
      <c r="D27" s="19" t="s">
        <v>278</v>
      </c>
      <c r="E27" s="19" t="s">
        <v>65</v>
      </c>
      <c r="F27" s="8" t="s">
        <v>67</v>
      </c>
      <c r="G27" s="8" t="s">
        <v>68</v>
      </c>
      <c r="H27" s="19" t="s">
        <v>73</v>
      </c>
      <c r="I27" s="19" t="s">
        <v>206</v>
      </c>
      <c r="J27" s="19" t="s">
        <v>280</v>
      </c>
    </row>
    <row r="28" ht="18" customHeight="1" outlineLevel="2" spans="1:10">
      <c r="A28" s="18">
        <v>6</v>
      </c>
      <c r="B28" s="18">
        <v>35</v>
      </c>
      <c r="C28" s="19" t="s">
        <v>282</v>
      </c>
      <c r="D28" s="19" t="s">
        <v>281</v>
      </c>
      <c r="E28" s="19" t="s">
        <v>65</v>
      </c>
      <c r="F28" s="8" t="s">
        <v>67</v>
      </c>
      <c r="G28" s="8" t="s">
        <v>68</v>
      </c>
      <c r="H28" s="19" t="s">
        <v>73</v>
      </c>
      <c r="I28" s="19" t="s">
        <v>206</v>
      </c>
      <c r="J28" s="19" t="s">
        <v>283</v>
      </c>
    </row>
    <row r="29" ht="18" customHeight="1" outlineLevel="2" spans="1:10">
      <c r="A29" s="18">
        <v>4</v>
      </c>
      <c r="B29" s="18">
        <v>49</v>
      </c>
      <c r="C29" s="19" t="s">
        <v>285</v>
      </c>
      <c r="D29" s="19" t="s">
        <v>284</v>
      </c>
      <c r="E29" s="19" t="s">
        <v>65</v>
      </c>
      <c r="F29" s="8" t="s">
        <v>67</v>
      </c>
      <c r="G29" s="8" t="s">
        <v>68</v>
      </c>
      <c r="H29" s="19" t="s">
        <v>73</v>
      </c>
      <c r="I29" s="19" t="s">
        <v>206</v>
      </c>
      <c r="J29" s="19" t="s">
        <v>286</v>
      </c>
    </row>
    <row r="30" ht="18" customHeight="1" outlineLevel="2" spans="1:10">
      <c r="A30" s="18">
        <v>6</v>
      </c>
      <c r="B30" s="18">
        <v>28</v>
      </c>
      <c r="C30" s="19" t="s">
        <v>288</v>
      </c>
      <c r="D30" s="19" t="s">
        <v>287</v>
      </c>
      <c r="E30" s="19" t="s">
        <v>65</v>
      </c>
      <c r="F30" s="8" t="s">
        <v>67</v>
      </c>
      <c r="G30" s="8" t="s">
        <v>68</v>
      </c>
      <c r="H30" s="19" t="s">
        <v>73</v>
      </c>
      <c r="I30" s="19" t="s">
        <v>206</v>
      </c>
      <c r="J30" s="19" t="s">
        <v>289</v>
      </c>
    </row>
    <row r="31" ht="18" customHeight="1" outlineLevel="2" spans="1:10">
      <c r="A31" s="18">
        <v>9</v>
      </c>
      <c r="B31" s="18">
        <v>44</v>
      </c>
      <c r="C31" s="19" t="s">
        <v>291</v>
      </c>
      <c r="D31" s="19" t="s">
        <v>290</v>
      </c>
      <c r="E31" s="19" t="s">
        <v>65</v>
      </c>
      <c r="F31" s="8" t="s">
        <v>67</v>
      </c>
      <c r="G31" s="8" t="s">
        <v>68</v>
      </c>
      <c r="H31" s="19" t="s">
        <v>73</v>
      </c>
      <c r="I31" s="19" t="s">
        <v>206</v>
      </c>
      <c r="J31" s="19" t="s">
        <v>292</v>
      </c>
    </row>
    <row r="32" ht="18" customHeight="1" outlineLevel="2" spans="1:10">
      <c r="A32" s="18">
        <v>6</v>
      </c>
      <c r="B32" s="18">
        <v>10</v>
      </c>
      <c r="C32" s="19" t="s">
        <v>294</v>
      </c>
      <c r="D32" s="19" t="s">
        <v>293</v>
      </c>
      <c r="E32" s="19" t="s">
        <v>65</v>
      </c>
      <c r="F32" s="8" t="s">
        <v>67</v>
      </c>
      <c r="G32" s="8" t="s">
        <v>68</v>
      </c>
      <c r="H32" s="19" t="s">
        <v>73</v>
      </c>
      <c r="I32" s="19" t="s">
        <v>206</v>
      </c>
      <c r="J32" s="19" t="s">
        <v>295</v>
      </c>
    </row>
    <row r="33" ht="18" customHeight="1" outlineLevel="2" spans="1:10">
      <c r="A33" s="18">
        <v>2</v>
      </c>
      <c r="B33" s="18">
        <v>11</v>
      </c>
      <c r="C33" s="19" t="s">
        <v>297</v>
      </c>
      <c r="D33" s="19" t="s">
        <v>296</v>
      </c>
      <c r="E33" s="19" t="s">
        <v>65</v>
      </c>
      <c r="F33" s="8" t="s">
        <v>67</v>
      </c>
      <c r="G33" s="8" t="s">
        <v>68</v>
      </c>
      <c r="H33" s="19" t="s">
        <v>73</v>
      </c>
      <c r="I33" s="19" t="s">
        <v>206</v>
      </c>
      <c r="J33" s="19" t="s">
        <v>298</v>
      </c>
    </row>
    <row r="34" ht="18" customHeight="1" outlineLevel="2" spans="1:10">
      <c r="A34" s="18">
        <v>4</v>
      </c>
      <c r="B34" s="18">
        <v>14</v>
      </c>
      <c r="C34" s="19" t="s">
        <v>300</v>
      </c>
      <c r="D34" s="19" t="s">
        <v>299</v>
      </c>
      <c r="E34" s="19" t="s">
        <v>65</v>
      </c>
      <c r="F34" s="8" t="s">
        <v>67</v>
      </c>
      <c r="G34" s="8" t="s">
        <v>68</v>
      </c>
      <c r="H34" s="19" t="s">
        <v>73</v>
      </c>
      <c r="I34" s="19" t="s">
        <v>206</v>
      </c>
      <c r="J34" s="19" t="s">
        <v>301</v>
      </c>
    </row>
    <row r="35" ht="18" customHeight="1" outlineLevel="2" spans="1:10">
      <c r="A35" s="18">
        <v>3</v>
      </c>
      <c r="B35" s="18">
        <v>37</v>
      </c>
      <c r="C35" s="19" t="s">
        <v>303</v>
      </c>
      <c r="D35" s="19" t="s">
        <v>302</v>
      </c>
      <c r="E35" s="19" t="s">
        <v>65</v>
      </c>
      <c r="F35" s="8" t="s">
        <v>67</v>
      </c>
      <c r="G35" s="8" t="s">
        <v>68</v>
      </c>
      <c r="H35" s="19" t="s">
        <v>73</v>
      </c>
      <c r="I35" s="19" t="s">
        <v>206</v>
      </c>
      <c r="J35" s="19" t="s">
        <v>304</v>
      </c>
    </row>
    <row r="36" ht="18" customHeight="1" outlineLevel="2" spans="1:10">
      <c r="A36" s="18">
        <v>9</v>
      </c>
      <c r="B36" s="18">
        <v>53</v>
      </c>
      <c r="C36" s="19" t="s">
        <v>306</v>
      </c>
      <c r="D36" s="19" t="s">
        <v>305</v>
      </c>
      <c r="E36" s="19" t="s">
        <v>65</v>
      </c>
      <c r="F36" s="8" t="s">
        <v>67</v>
      </c>
      <c r="G36" s="8" t="s">
        <v>68</v>
      </c>
      <c r="H36" s="19" t="s">
        <v>73</v>
      </c>
      <c r="I36" s="19" t="s">
        <v>206</v>
      </c>
      <c r="J36" s="19" t="s">
        <v>307</v>
      </c>
    </row>
    <row r="37" ht="18" customHeight="1" outlineLevel="2" spans="1:10">
      <c r="A37" s="18">
        <v>9</v>
      </c>
      <c r="B37" s="18">
        <v>17</v>
      </c>
      <c r="C37" s="19" t="s">
        <v>309</v>
      </c>
      <c r="D37" s="19" t="s">
        <v>308</v>
      </c>
      <c r="E37" s="19" t="s">
        <v>65</v>
      </c>
      <c r="F37" s="8" t="s">
        <v>67</v>
      </c>
      <c r="G37" s="8" t="s">
        <v>68</v>
      </c>
      <c r="H37" s="19" t="s">
        <v>73</v>
      </c>
      <c r="I37" s="19" t="s">
        <v>206</v>
      </c>
      <c r="J37" s="19" t="s">
        <v>310</v>
      </c>
    </row>
    <row r="38" ht="18" customHeight="1" outlineLevel="2" spans="1:10">
      <c r="A38" s="18">
        <v>4</v>
      </c>
      <c r="B38" s="18">
        <v>39</v>
      </c>
      <c r="C38" s="19" t="s">
        <v>312</v>
      </c>
      <c r="D38" s="19" t="s">
        <v>311</v>
      </c>
      <c r="E38" s="19" t="s">
        <v>65</v>
      </c>
      <c r="F38" s="8" t="s">
        <v>67</v>
      </c>
      <c r="G38" s="8" t="s">
        <v>68</v>
      </c>
      <c r="H38" s="19" t="s">
        <v>73</v>
      </c>
      <c r="I38" s="19" t="s">
        <v>206</v>
      </c>
      <c r="J38" s="19" t="s">
        <v>313</v>
      </c>
    </row>
    <row r="39" ht="18" customHeight="1" outlineLevel="2" spans="1:10">
      <c r="A39" s="18">
        <v>8</v>
      </c>
      <c r="B39" s="18">
        <v>39</v>
      </c>
      <c r="C39" s="19" t="s">
        <v>315</v>
      </c>
      <c r="D39" s="19" t="s">
        <v>314</v>
      </c>
      <c r="E39" s="19" t="s">
        <v>65</v>
      </c>
      <c r="F39" s="8" t="s">
        <v>67</v>
      </c>
      <c r="G39" s="8" t="s">
        <v>68</v>
      </c>
      <c r="H39" s="19" t="s">
        <v>73</v>
      </c>
      <c r="I39" s="19" t="s">
        <v>206</v>
      </c>
      <c r="J39" s="19" t="s">
        <v>316</v>
      </c>
    </row>
    <row r="40" ht="18" customHeight="1" outlineLevel="2" spans="1:10">
      <c r="A40" s="18">
        <v>4</v>
      </c>
      <c r="B40" s="18">
        <v>45</v>
      </c>
      <c r="C40" s="19" t="s">
        <v>318</v>
      </c>
      <c r="D40" s="19" t="s">
        <v>317</v>
      </c>
      <c r="E40" s="19" t="s">
        <v>65</v>
      </c>
      <c r="F40" s="8" t="s">
        <v>67</v>
      </c>
      <c r="G40" s="8" t="s">
        <v>68</v>
      </c>
      <c r="H40" s="19" t="s">
        <v>73</v>
      </c>
      <c r="I40" s="19" t="s">
        <v>206</v>
      </c>
      <c r="J40" s="19" t="s">
        <v>319</v>
      </c>
    </row>
    <row r="41" ht="18" customHeight="1" outlineLevel="2" spans="1:10">
      <c r="A41" s="18">
        <v>8</v>
      </c>
      <c r="B41" s="18">
        <v>7</v>
      </c>
      <c r="C41" s="19" t="s">
        <v>321</v>
      </c>
      <c r="D41" s="19" t="s">
        <v>320</v>
      </c>
      <c r="E41" s="19" t="s">
        <v>65</v>
      </c>
      <c r="F41" s="8" t="s">
        <v>67</v>
      </c>
      <c r="G41" s="8" t="s">
        <v>68</v>
      </c>
      <c r="H41" s="19" t="s">
        <v>73</v>
      </c>
      <c r="I41" s="19" t="s">
        <v>206</v>
      </c>
      <c r="J41" s="19" t="s">
        <v>322</v>
      </c>
    </row>
    <row r="42" ht="18" customHeight="1" outlineLevel="2" spans="1:10">
      <c r="A42" s="18">
        <v>4</v>
      </c>
      <c r="B42" s="18">
        <v>10</v>
      </c>
      <c r="C42" s="19" t="s">
        <v>324</v>
      </c>
      <c r="D42" s="19" t="s">
        <v>323</v>
      </c>
      <c r="E42" s="19" t="s">
        <v>65</v>
      </c>
      <c r="F42" s="8" t="s">
        <v>67</v>
      </c>
      <c r="G42" s="8" t="s">
        <v>68</v>
      </c>
      <c r="H42" s="19" t="s">
        <v>73</v>
      </c>
      <c r="I42" s="19" t="s">
        <v>206</v>
      </c>
      <c r="J42" s="19" t="s">
        <v>325</v>
      </c>
    </row>
    <row r="43" ht="18" customHeight="1" outlineLevel="2" spans="1:10">
      <c r="A43" s="18">
        <v>3</v>
      </c>
      <c r="B43" s="18">
        <v>22</v>
      </c>
      <c r="C43" s="19" t="s">
        <v>327</v>
      </c>
      <c r="D43" s="19" t="s">
        <v>326</v>
      </c>
      <c r="E43" s="19" t="s">
        <v>65</v>
      </c>
      <c r="F43" s="8" t="s">
        <v>67</v>
      </c>
      <c r="G43" s="8" t="s">
        <v>68</v>
      </c>
      <c r="H43" s="19" t="s">
        <v>73</v>
      </c>
      <c r="I43" s="19" t="s">
        <v>206</v>
      </c>
      <c r="J43" s="19" t="s">
        <v>328</v>
      </c>
    </row>
    <row r="44" ht="18" customHeight="1" outlineLevel="2" spans="1:10">
      <c r="A44" s="18">
        <v>1</v>
      </c>
      <c r="B44" s="18">
        <v>11</v>
      </c>
      <c r="C44" s="19" t="s">
        <v>330</v>
      </c>
      <c r="D44" s="19" t="s">
        <v>329</v>
      </c>
      <c r="E44" s="19" t="s">
        <v>65</v>
      </c>
      <c r="F44" s="8" t="s">
        <v>67</v>
      </c>
      <c r="G44" s="8" t="s">
        <v>68</v>
      </c>
      <c r="H44" s="19" t="s">
        <v>73</v>
      </c>
      <c r="I44" s="19" t="s">
        <v>206</v>
      </c>
      <c r="J44" s="19" t="s">
        <v>331</v>
      </c>
    </row>
    <row r="45" ht="18" customHeight="1" outlineLevel="1" spans="1:10">
      <c r="A45" s="18"/>
      <c r="B45" s="18"/>
      <c r="C45" s="19">
        <f>SUBTOTAL(3,C3:C44)</f>
        <v>42</v>
      </c>
      <c r="D45" s="19"/>
      <c r="E45" s="19"/>
      <c r="F45" s="8"/>
      <c r="G45" s="8"/>
      <c r="H45" s="20" t="s">
        <v>1929</v>
      </c>
      <c r="I45" s="19"/>
      <c r="J45" s="19"/>
    </row>
    <row r="46" ht="18" customHeight="1" outlineLevel="2" spans="1:10">
      <c r="A46" s="18">
        <v>5</v>
      </c>
      <c r="B46" s="18">
        <v>15</v>
      </c>
      <c r="C46" s="19" t="s">
        <v>333</v>
      </c>
      <c r="D46" s="19" t="s">
        <v>332</v>
      </c>
      <c r="E46" s="19" t="s">
        <v>65</v>
      </c>
      <c r="F46" s="8" t="s">
        <v>67</v>
      </c>
      <c r="G46" s="8" t="s">
        <v>68</v>
      </c>
      <c r="H46" s="19" t="s">
        <v>86</v>
      </c>
      <c r="I46" s="19" t="s">
        <v>334</v>
      </c>
      <c r="J46" s="19" t="s">
        <v>207</v>
      </c>
    </row>
    <row r="47" ht="18" customHeight="1" outlineLevel="2" spans="1:10">
      <c r="A47" s="18">
        <v>2</v>
      </c>
      <c r="B47" s="18">
        <v>3</v>
      </c>
      <c r="C47" s="19" t="s">
        <v>336</v>
      </c>
      <c r="D47" s="19" t="s">
        <v>335</v>
      </c>
      <c r="E47" s="19" t="s">
        <v>65</v>
      </c>
      <c r="F47" s="8" t="s">
        <v>67</v>
      </c>
      <c r="G47" s="8" t="s">
        <v>68</v>
      </c>
      <c r="H47" s="19" t="s">
        <v>86</v>
      </c>
      <c r="I47" s="19" t="s">
        <v>334</v>
      </c>
      <c r="J47" s="19" t="s">
        <v>210</v>
      </c>
    </row>
    <row r="48" ht="18" customHeight="1" outlineLevel="2" spans="1:10">
      <c r="A48" s="18">
        <v>6</v>
      </c>
      <c r="B48" s="18">
        <v>43</v>
      </c>
      <c r="C48" s="19" t="s">
        <v>338</v>
      </c>
      <c r="D48" s="19" t="s">
        <v>337</v>
      </c>
      <c r="E48" s="19" t="s">
        <v>65</v>
      </c>
      <c r="F48" s="8" t="s">
        <v>67</v>
      </c>
      <c r="G48" s="8" t="s">
        <v>68</v>
      </c>
      <c r="H48" s="19" t="s">
        <v>86</v>
      </c>
      <c r="I48" s="19" t="s">
        <v>334</v>
      </c>
      <c r="J48" s="19" t="s">
        <v>214</v>
      </c>
    </row>
    <row r="49" ht="18" customHeight="1" outlineLevel="2" spans="1:10">
      <c r="A49" s="18">
        <v>7</v>
      </c>
      <c r="B49" s="18">
        <v>40</v>
      </c>
      <c r="C49" s="19" t="s">
        <v>340</v>
      </c>
      <c r="D49" s="19" t="s">
        <v>339</v>
      </c>
      <c r="E49" s="19" t="s">
        <v>65</v>
      </c>
      <c r="F49" s="8" t="s">
        <v>67</v>
      </c>
      <c r="G49" s="8" t="s">
        <v>68</v>
      </c>
      <c r="H49" s="19" t="s">
        <v>86</v>
      </c>
      <c r="I49" s="19" t="s">
        <v>334</v>
      </c>
      <c r="J49" s="19" t="s">
        <v>217</v>
      </c>
    </row>
    <row r="50" ht="18" customHeight="1" outlineLevel="2" spans="1:10">
      <c r="A50" s="18">
        <v>6</v>
      </c>
      <c r="B50" s="18">
        <v>48</v>
      </c>
      <c r="C50" s="19" t="s">
        <v>342</v>
      </c>
      <c r="D50" s="19" t="s">
        <v>341</v>
      </c>
      <c r="E50" s="19" t="s">
        <v>65</v>
      </c>
      <c r="F50" s="8" t="s">
        <v>67</v>
      </c>
      <c r="G50" s="8" t="s">
        <v>68</v>
      </c>
      <c r="H50" s="19" t="s">
        <v>86</v>
      </c>
      <c r="I50" s="19" t="s">
        <v>334</v>
      </c>
      <c r="J50" s="19" t="s">
        <v>220</v>
      </c>
    </row>
    <row r="51" ht="18" customHeight="1" outlineLevel="2" spans="1:10">
      <c r="A51" s="18">
        <v>8</v>
      </c>
      <c r="B51" s="18">
        <v>18</v>
      </c>
      <c r="C51" s="19" t="s">
        <v>344</v>
      </c>
      <c r="D51" s="19" t="s">
        <v>343</v>
      </c>
      <c r="E51" s="19" t="s">
        <v>65</v>
      </c>
      <c r="F51" s="8" t="s">
        <v>67</v>
      </c>
      <c r="G51" s="8" t="s">
        <v>68</v>
      </c>
      <c r="H51" s="19" t="s">
        <v>86</v>
      </c>
      <c r="I51" s="19" t="s">
        <v>334</v>
      </c>
      <c r="J51" s="19" t="s">
        <v>223</v>
      </c>
    </row>
    <row r="52" ht="18" customHeight="1" outlineLevel="2" spans="1:10">
      <c r="A52" s="18">
        <v>3</v>
      </c>
      <c r="B52" s="18">
        <v>38</v>
      </c>
      <c r="C52" s="19" t="s">
        <v>346</v>
      </c>
      <c r="D52" s="19" t="s">
        <v>345</v>
      </c>
      <c r="E52" s="19" t="s">
        <v>65</v>
      </c>
      <c r="F52" s="8" t="s">
        <v>67</v>
      </c>
      <c r="G52" s="8" t="s">
        <v>68</v>
      </c>
      <c r="H52" s="19" t="s">
        <v>86</v>
      </c>
      <c r="I52" s="19" t="s">
        <v>334</v>
      </c>
      <c r="J52" s="19" t="s">
        <v>226</v>
      </c>
    </row>
    <row r="53" ht="18" customHeight="1" outlineLevel="2" spans="1:10">
      <c r="A53" s="18">
        <v>9</v>
      </c>
      <c r="B53" s="18">
        <v>25</v>
      </c>
      <c r="C53" s="19" t="s">
        <v>348</v>
      </c>
      <c r="D53" s="19" t="s">
        <v>347</v>
      </c>
      <c r="E53" s="19" t="s">
        <v>65</v>
      </c>
      <c r="F53" s="8" t="s">
        <v>67</v>
      </c>
      <c r="G53" s="8" t="s">
        <v>68</v>
      </c>
      <c r="H53" s="19" t="s">
        <v>86</v>
      </c>
      <c r="I53" s="19" t="s">
        <v>334</v>
      </c>
      <c r="J53" s="19" t="s">
        <v>229</v>
      </c>
    </row>
    <row r="54" ht="18" customHeight="1" outlineLevel="2" spans="1:10">
      <c r="A54" s="18">
        <v>7</v>
      </c>
      <c r="B54" s="18">
        <v>36</v>
      </c>
      <c r="C54" s="19" t="s">
        <v>350</v>
      </c>
      <c r="D54" s="19" t="s">
        <v>349</v>
      </c>
      <c r="E54" s="19" t="s">
        <v>65</v>
      </c>
      <c r="F54" s="8" t="s">
        <v>67</v>
      </c>
      <c r="G54" s="8" t="s">
        <v>68</v>
      </c>
      <c r="H54" s="19" t="s">
        <v>86</v>
      </c>
      <c r="I54" s="19" t="s">
        <v>334</v>
      </c>
      <c r="J54" s="19" t="s">
        <v>232</v>
      </c>
    </row>
    <row r="55" ht="18" customHeight="1" outlineLevel="2" spans="1:10">
      <c r="A55" s="18">
        <v>2</v>
      </c>
      <c r="B55" s="18">
        <v>4</v>
      </c>
      <c r="C55" s="19" t="s">
        <v>352</v>
      </c>
      <c r="D55" s="19" t="s">
        <v>351</v>
      </c>
      <c r="E55" s="19" t="s">
        <v>65</v>
      </c>
      <c r="F55" s="8" t="s">
        <v>67</v>
      </c>
      <c r="G55" s="8" t="s">
        <v>68</v>
      </c>
      <c r="H55" s="19" t="s">
        <v>86</v>
      </c>
      <c r="I55" s="19" t="s">
        <v>334</v>
      </c>
      <c r="J55" s="19" t="s">
        <v>235</v>
      </c>
    </row>
    <row r="56" ht="18" customHeight="1" outlineLevel="2" spans="1:10">
      <c r="A56" s="18">
        <v>7</v>
      </c>
      <c r="B56" s="18">
        <v>42</v>
      </c>
      <c r="C56" s="19" t="s">
        <v>354</v>
      </c>
      <c r="D56" s="19" t="s">
        <v>353</v>
      </c>
      <c r="E56" s="19" t="s">
        <v>65</v>
      </c>
      <c r="F56" s="8" t="s">
        <v>67</v>
      </c>
      <c r="G56" s="8" t="s">
        <v>68</v>
      </c>
      <c r="H56" s="19" t="s">
        <v>86</v>
      </c>
      <c r="I56" s="19" t="s">
        <v>334</v>
      </c>
      <c r="J56" s="19" t="s">
        <v>238</v>
      </c>
    </row>
    <row r="57" ht="18" customHeight="1" outlineLevel="2" spans="1:10">
      <c r="A57" s="18">
        <v>7</v>
      </c>
      <c r="B57" s="18">
        <v>51</v>
      </c>
      <c r="C57" s="19" t="s">
        <v>356</v>
      </c>
      <c r="D57" s="19" t="s">
        <v>355</v>
      </c>
      <c r="E57" s="19" t="s">
        <v>65</v>
      </c>
      <c r="F57" s="8" t="s">
        <v>67</v>
      </c>
      <c r="G57" s="8" t="s">
        <v>68</v>
      </c>
      <c r="H57" s="19" t="s">
        <v>86</v>
      </c>
      <c r="I57" s="19" t="s">
        <v>334</v>
      </c>
      <c r="J57" s="19" t="s">
        <v>241</v>
      </c>
    </row>
    <row r="58" ht="18" customHeight="1" outlineLevel="2" spans="1:10">
      <c r="A58" s="18">
        <v>1</v>
      </c>
      <c r="B58" s="18">
        <v>39</v>
      </c>
      <c r="C58" s="19" t="s">
        <v>358</v>
      </c>
      <c r="D58" s="19" t="s">
        <v>357</v>
      </c>
      <c r="E58" s="19" t="s">
        <v>65</v>
      </c>
      <c r="F58" s="8" t="s">
        <v>67</v>
      </c>
      <c r="G58" s="8" t="s">
        <v>68</v>
      </c>
      <c r="H58" s="19" t="s">
        <v>86</v>
      </c>
      <c r="I58" s="19" t="s">
        <v>334</v>
      </c>
      <c r="J58" s="19" t="s">
        <v>244</v>
      </c>
    </row>
    <row r="59" ht="18" customHeight="1" outlineLevel="2" spans="1:10">
      <c r="A59" s="18">
        <v>8</v>
      </c>
      <c r="B59" s="18">
        <v>30</v>
      </c>
      <c r="C59" s="19" t="s">
        <v>360</v>
      </c>
      <c r="D59" s="19" t="s">
        <v>359</v>
      </c>
      <c r="E59" s="19" t="s">
        <v>65</v>
      </c>
      <c r="F59" s="8" t="s">
        <v>67</v>
      </c>
      <c r="G59" s="8" t="s">
        <v>68</v>
      </c>
      <c r="H59" s="19" t="s">
        <v>86</v>
      </c>
      <c r="I59" s="19" t="s">
        <v>334</v>
      </c>
      <c r="J59" s="19" t="s">
        <v>247</v>
      </c>
    </row>
    <row r="60" ht="18" customHeight="1" outlineLevel="2" spans="1:10">
      <c r="A60" s="18">
        <v>2</v>
      </c>
      <c r="B60" s="18">
        <v>37</v>
      </c>
      <c r="C60" s="19" t="s">
        <v>362</v>
      </c>
      <c r="D60" s="19" t="s">
        <v>361</v>
      </c>
      <c r="E60" s="19" t="s">
        <v>65</v>
      </c>
      <c r="F60" s="8" t="s">
        <v>67</v>
      </c>
      <c r="G60" s="8" t="s">
        <v>68</v>
      </c>
      <c r="H60" s="19" t="s">
        <v>86</v>
      </c>
      <c r="I60" s="19" t="s">
        <v>334</v>
      </c>
      <c r="J60" s="19" t="s">
        <v>250</v>
      </c>
    </row>
    <row r="61" ht="18" customHeight="1" outlineLevel="2" spans="1:10">
      <c r="A61" s="18">
        <v>4</v>
      </c>
      <c r="B61" s="18">
        <v>36</v>
      </c>
      <c r="C61" s="19" t="s">
        <v>364</v>
      </c>
      <c r="D61" s="19" t="s">
        <v>363</v>
      </c>
      <c r="E61" s="19" t="s">
        <v>65</v>
      </c>
      <c r="F61" s="8" t="s">
        <v>67</v>
      </c>
      <c r="G61" s="8" t="s">
        <v>68</v>
      </c>
      <c r="H61" s="19" t="s">
        <v>86</v>
      </c>
      <c r="I61" s="19" t="s">
        <v>334</v>
      </c>
      <c r="J61" s="19" t="s">
        <v>253</v>
      </c>
    </row>
    <row r="62" ht="18" customHeight="1" outlineLevel="2" spans="1:10">
      <c r="A62" s="18">
        <v>2</v>
      </c>
      <c r="B62" s="18">
        <v>31</v>
      </c>
      <c r="C62" s="19" t="s">
        <v>366</v>
      </c>
      <c r="D62" s="19" t="s">
        <v>365</v>
      </c>
      <c r="E62" s="19" t="s">
        <v>65</v>
      </c>
      <c r="F62" s="8" t="s">
        <v>67</v>
      </c>
      <c r="G62" s="8" t="s">
        <v>68</v>
      </c>
      <c r="H62" s="19" t="s">
        <v>86</v>
      </c>
      <c r="I62" s="19" t="s">
        <v>334</v>
      </c>
      <c r="J62" s="19" t="s">
        <v>256</v>
      </c>
    </row>
    <row r="63" ht="18" customHeight="1" outlineLevel="2" spans="1:10">
      <c r="A63" s="18">
        <v>8</v>
      </c>
      <c r="B63" s="18">
        <v>4</v>
      </c>
      <c r="C63" s="19" t="s">
        <v>368</v>
      </c>
      <c r="D63" s="19" t="s">
        <v>367</v>
      </c>
      <c r="E63" s="19" t="s">
        <v>65</v>
      </c>
      <c r="F63" s="8" t="s">
        <v>67</v>
      </c>
      <c r="G63" s="8" t="s">
        <v>68</v>
      </c>
      <c r="H63" s="19" t="s">
        <v>86</v>
      </c>
      <c r="I63" s="19" t="s">
        <v>334</v>
      </c>
      <c r="J63" s="19" t="s">
        <v>259</v>
      </c>
    </row>
    <row r="64" ht="18" customHeight="1" outlineLevel="2" spans="1:10">
      <c r="A64" s="18">
        <v>9</v>
      </c>
      <c r="B64" s="18">
        <v>5</v>
      </c>
      <c r="C64" s="19" t="s">
        <v>370</v>
      </c>
      <c r="D64" s="19" t="s">
        <v>369</v>
      </c>
      <c r="E64" s="19" t="s">
        <v>65</v>
      </c>
      <c r="F64" s="8" t="s">
        <v>67</v>
      </c>
      <c r="G64" s="8" t="s">
        <v>68</v>
      </c>
      <c r="H64" s="19" t="s">
        <v>86</v>
      </c>
      <c r="I64" s="19" t="s">
        <v>334</v>
      </c>
      <c r="J64" s="19" t="s">
        <v>262</v>
      </c>
    </row>
    <row r="65" ht="18" customHeight="1" outlineLevel="2" spans="1:10">
      <c r="A65" s="18">
        <v>2</v>
      </c>
      <c r="B65" s="18">
        <v>20</v>
      </c>
      <c r="C65" s="19" t="s">
        <v>372</v>
      </c>
      <c r="D65" s="19" t="s">
        <v>371</v>
      </c>
      <c r="E65" s="19" t="s">
        <v>65</v>
      </c>
      <c r="F65" s="8" t="s">
        <v>67</v>
      </c>
      <c r="G65" s="8" t="s">
        <v>68</v>
      </c>
      <c r="H65" s="19" t="s">
        <v>86</v>
      </c>
      <c r="I65" s="19" t="s">
        <v>334</v>
      </c>
      <c r="J65" s="19" t="s">
        <v>265</v>
      </c>
    </row>
    <row r="66" ht="18" customHeight="1" outlineLevel="2" spans="1:10">
      <c r="A66" s="18">
        <v>9</v>
      </c>
      <c r="B66" s="18">
        <v>30</v>
      </c>
      <c r="C66" s="19" t="s">
        <v>374</v>
      </c>
      <c r="D66" s="19" t="s">
        <v>373</v>
      </c>
      <c r="E66" s="19" t="s">
        <v>65</v>
      </c>
      <c r="F66" s="8" t="s">
        <v>67</v>
      </c>
      <c r="G66" s="8" t="s">
        <v>68</v>
      </c>
      <c r="H66" s="19" t="s">
        <v>86</v>
      </c>
      <c r="I66" s="19" t="s">
        <v>334</v>
      </c>
      <c r="J66" s="19" t="s">
        <v>268</v>
      </c>
    </row>
    <row r="67" ht="18" customHeight="1" outlineLevel="2" spans="1:10">
      <c r="A67" s="18">
        <v>8</v>
      </c>
      <c r="B67" s="18">
        <v>25</v>
      </c>
      <c r="C67" s="19" t="s">
        <v>376</v>
      </c>
      <c r="D67" s="19" t="s">
        <v>375</v>
      </c>
      <c r="E67" s="19" t="s">
        <v>65</v>
      </c>
      <c r="F67" s="8" t="s">
        <v>67</v>
      </c>
      <c r="G67" s="8" t="s">
        <v>68</v>
      </c>
      <c r="H67" s="19" t="s">
        <v>86</v>
      </c>
      <c r="I67" s="19" t="s">
        <v>334</v>
      </c>
      <c r="J67" s="19" t="s">
        <v>271</v>
      </c>
    </row>
    <row r="68" ht="18" customHeight="1" outlineLevel="2" spans="1:10">
      <c r="A68" s="18">
        <v>4</v>
      </c>
      <c r="B68" s="18">
        <v>33</v>
      </c>
      <c r="C68" s="19" t="s">
        <v>378</v>
      </c>
      <c r="D68" s="19" t="s">
        <v>377</v>
      </c>
      <c r="E68" s="19" t="s">
        <v>65</v>
      </c>
      <c r="F68" s="8" t="s">
        <v>67</v>
      </c>
      <c r="G68" s="8" t="s">
        <v>68</v>
      </c>
      <c r="H68" s="19" t="s">
        <v>86</v>
      </c>
      <c r="I68" s="19" t="s">
        <v>334</v>
      </c>
      <c r="J68" s="19" t="s">
        <v>274</v>
      </c>
    </row>
    <row r="69" ht="18" customHeight="1" outlineLevel="2" spans="1:10">
      <c r="A69" s="18">
        <v>6</v>
      </c>
      <c r="B69" s="18">
        <v>1</v>
      </c>
      <c r="C69" s="19" t="s">
        <v>380</v>
      </c>
      <c r="D69" s="19" t="s">
        <v>379</v>
      </c>
      <c r="E69" s="19" t="s">
        <v>65</v>
      </c>
      <c r="F69" s="8" t="s">
        <v>67</v>
      </c>
      <c r="G69" s="8" t="s">
        <v>68</v>
      </c>
      <c r="H69" s="19" t="s">
        <v>86</v>
      </c>
      <c r="I69" s="19" t="s">
        <v>334</v>
      </c>
      <c r="J69" s="19" t="s">
        <v>277</v>
      </c>
    </row>
    <row r="70" ht="18" customHeight="1" outlineLevel="2" spans="1:10">
      <c r="A70" s="18">
        <v>2</v>
      </c>
      <c r="B70" s="18">
        <v>43</v>
      </c>
      <c r="C70" s="19" t="s">
        <v>382</v>
      </c>
      <c r="D70" s="19" t="s">
        <v>381</v>
      </c>
      <c r="E70" s="19" t="s">
        <v>65</v>
      </c>
      <c r="F70" s="8" t="s">
        <v>67</v>
      </c>
      <c r="G70" s="8" t="s">
        <v>68</v>
      </c>
      <c r="H70" s="19" t="s">
        <v>86</v>
      </c>
      <c r="I70" s="19" t="s">
        <v>334</v>
      </c>
      <c r="J70" s="19" t="s">
        <v>280</v>
      </c>
    </row>
    <row r="71" ht="18" customHeight="1" outlineLevel="2" spans="1:10">
      <c r="A71" s="18">
        <v>8</v>
      </c>
      <c r="B71" s="18">
        <v>24</v>
      </c>
      <c r="C71" s="19" t="s">
        <v>384</v>
      </c>
      <c r="D71" s="19" t="s">
        <v>383</v>
      </c>
      <c r="E71" s="19" t="s">
        <v>65</v>
      </c>
      <c r="F71" s="8" t="s">
        <v>67</v>
      </c>
      <c r="G71" s="8" t="s">
        <v>68</v>
      </c>
      <c r="H71" s="19" t="s">
        <v>86</v>
      </c>
      <c r="I71" s="19" t="s">
        <v>334</v>
      </c>
      <c r="J71" s="19" t="s">
        <v>283</v>
      </c>
    </row>
    <row r="72" ht="18" customHeight="1" outlineLevel="2" spans="1:10">
      <c r="A72" s="18">
        <v>7</v>
      </c>
      <c r="B72" s="18">
        <v>41</v>
      </c>
      <c r="C72" s="19" t="s">
        <v>386</v>
      </c>
      <c r="D72" s="19" t="s">
        <v>385</v>
      </c>
      <c r="E72" s="19" t="s">
        <v>65</v>
      </c>
      <c r="F72" s="8" t="s">
        <v>67</v>
      </c>
      <c r="G72" s="8" t="s">
        <v>68</v>
      </c>
      <c r="H72" s="19" t="s">
        <v>86</v>
      </c>
      <c r="I72" s="19" t="s">
        <v>334</v>
      </c>
      <c r="J72" s="19" t="s">
        <v>286</v>
      </c>
    </row>
    <row r="73" ht="18" customHeight="1" outlineLevel="2" spans="1:10">
      <c r="A73" s="18">
        <v>4</v>
      </c>
      <c r="B73" s="18">
        <v>20</v>
      </c>
      <c r="C73" s="19" t="s">
        <v>388</v>
      </c>
      <c r="D73" s="19" t="s">
        <v>387</v>
      </c>
      <c r="E73" s="19" t="s">
        <v>65</v>
      </c>
      <c r="F73" s="8" t="s">
        <v>67</v>
      </c>
      <c r="G73" s="8" t="s">
        <v>68</v>
      </c>
      <c r="H73" s="19" t="s">
        <v>86</v>
      </c>
      <c r="I73" s="19" t="s">
        <v>334</v>
      </c>
      <c r="J73" s="19" t="s">
        <v>289</v>
      </c>
    </row>
    <row r="74" ht="18" customHeight="1" outlineLevel="2" spans="1:10">
      <c r="A74" s="18">
        <v>1</v>
      </c>
      <c r="B74" s="18">
        <v>8</v>
      </c>
      <c r="C74" s="19" t="s">
        <v>390</v>
      </c>
      <c r="D74" s="19" t="s">
        <v>389</v>
      </c>
      <c r="E74" s="19" t="s">
        <v>65</v>
      </c>
      <c r="F74" s="8" t="s">
        <v>67</v>
      </c>
      <c r="G74" s="8" t="s">
        <v>68</v>
      </c>
      <c r="H74" s="19" t="s">
        <v>86</v>
      </c>
      <c r="I74" s="19" t="s">
        <v>334</v>
      </c>
      <c r="J74" s="19" t="s">
        <v>292</v>
      </c>
    </row>
    <row r="75" ht="18" customHeight="1" outlineLevel="2" spans="1:10">
      <c r="A75" s="18">
        <v>6</v>
      </c>
      <c r="B75" s="18">
        <v>3</v>
      </c>
      <c r="C75" s="19" t="s">
        <v>392</v>
      </c>
      <c r="D75" s="19" t="s">
        <v>391</v>
      </c>
      <c r="E75" s="19" t="s">
        <v>65</v>
      </c>
      <c r="F75" s="8" t="s">
        <v>67</v>
      </c>
      <c r="G75" s="8" t="s">
        <v>68</v>
      </c>
      <c r="H75" s="19" t="s">
        <v>86</v>
      </c>
      <c r="I75" s="19" t="s">
        <v>334</v>
      </c>
      <c r="J75" s="19" t="s">
        <v>295</v>
      </c>
    </row>
    <row r="76" ht="18" customHeight="1" outlineLevel="2" spans="1:10">
      <c r="A76" s="18">
        <v>7</v>
      </c>
      <c r="B76" s="18">
        <v>5</v>
      </c>
      <c r="C76" s="19" t="s">
        <v>394</v>
      </c>
      <c r="D76" s="19" t="s">
        <v>393</v>
      </c>
      <c r="E76" s="19" t="s">
        <v>65</v>
      </c>
      <c r="F76" s="8" t="s">
        <v>67</v>
      </c>
      <c r="G76" s="8" t="s">
        <v>68</v>
      </c>
      <c r="H76" s="19" t="s">
        <v>86</v>
      </c>
      <c r="I76" s="19" t="s">
        <v>334</v>
      </c>
      <c r="J76" s="19" t="s">
        <v>298</v>
      </c>
    </row>
    <row r="77" ht="18" customHeight="1" outlineLevel="2" spans="1:10">
      <c r="A77" s="18">
        <v>6</v>
      </c>
      <c r="B77" s="18">
        <v>19</v>
      </c>
      <c r="C77" s="19" t="s">
        <v>396</v>
      </c>
      <c r="D77" s="19" t="s">
        <v>395</v>
      </c>
      <c r="E77" s="19" t="s">
        <v>65</v>
      </c>
      <c r="F77" s="8" t="s">
        <v>67</v>
      </c>
      <c r="G77" s="8" t="s">
        <v>68</v>
      </c>
      <c r="H77" s="19" t="s">
        <v>86</v>
      </c>
      <c r="I77" s="19" t="s">
        <v>334</v>
      </c>
      <c r="J77" s="19" t="s">
        <v>301</v>
      </c>
    </row>
    <row r="78" ht="18" customHeight="1" outlineLevel="2" spans="1:10">
      <c r="A78" s="18">
        <v>7</v>
      </c>
      <c r="B78" s="18">
        <v>18</v>
      </c>
      <c r="C78" s="19" t="s">
        <v>398</v>
      </c>
      <c r="D78" s="19" t="s">
        <v>397</v>
      </c>
      <c r="E78" s="19" t="s">
        <v>65</v>
      </c>
      <c r="F78" s="8" t="s">
        <v>67</v>
      </c>
      <c r="G78" s="8" t="s">
        <v>68</v>
      </c>
      <c r="H78" s="19" t="s">
        <v>86</v>
      </c>
      <c r="I78" s="19" t="s">
        <v>334</v>
      </c>
      <c r="J78" s="19" t="s">
        <v>304</v>
      </c>
    </row>
    <row r="79" ht="18" customHeight="1" outlineLevel="2" spans="1:10">
      <c r="A79" s="18">
        <v>4</v>
      </c>
      <c r="B79" s="18">
        <v>19</v>
      </c>
      <c r="C79" s="19" t="s">
        <v>400</v>
      </c>
      <c r="D79" s="19" t="s">
        <v>399</v>
      </c>
      <c r="E79" s="19" t="s">
        <v>65</v>
      </c>
      <c r="F79" s="8" t="s">
        <v>67</v>
      </c>
      <c r="G79" s="8" t="s">
        <v>68</v>
      </c>
      <c r="H79" s="19" t="s">
        <v>86</v>
      </c>
      <c r="I79" s="19" t="s">
        <v>334</v>
      </c>
      <c r="J79" s="19" t="s">
        <v>307</v>
      </c>
    </row>
    <row r="80" ht="18" customHeight="1" outlineLevel="2" spans="1:10">
      <c r="A80" s="18">
        <v>3</v>
      </c>
      <c r="B80" s="18">
        <v>49</v>
      </c>
      <c r="C80" s="19" t="s">
        <v>402</v>
      </c>
      <c r="D80" s="19" t="s">
        <v>401</v>
      </c>
      <c r="E80" s="19" t="s">
        <v>65</v>
      </c>
      <c r="F80" s="8" t="s">
        <v>67</v>
      </c>
      <c r="G80" s="8" t="s">
        <v>68</v>
      </c>
      <c r="H80" s="19" t="s">
        <v>86</v>
      </c>
      <c r="I80" s="19" t="s">
        <v>334</v>
      </c>
      <c r="J80" s="19" t="s">
        <v>310</v>
      </c>
    </row>
    <row r="81" ht="18" customHeight="1" outlineLevel="2" spans="1:10">
      <c r="A81" s="18">
        <v>1</v>
      </c>
      <c r="B81" s="18">
        <v>40</v>
      </c>
      <c r="C81" s="19" t="s">
        <v>404</v>
      </c>
      <c r="D81" s="19" t="s">
        <v>403</v>
      </c>
      <c r="E81" s="19" t="s">
        <v>65</v>
      </c>
      <c r="F81" s="8" t="s">
        <v>67</v>
      </c>
      <c r="G81" s="8" t="s">
        <v>68</v>
      </c>
      <c r="H81" s="19" t="s">
        <v>86</v>
      </c>
      <c r="I81" s="19" t="s">
        <v>334</v>
      </c>
      <c r="J81" s="19" t="s">
        <v>313</v>
      </c>
    </row>
    <row r="82" ht="18" customHeight="1" outlineLevel="2" spans="1:10">
      <c r="A82" s="18">
        <v>4</v>
      </c>
      <c r="B82" s="18">
        <v>1</v>
      </c>
      <c r="C82" s="19" t="s">
        <v>406</v>
      </c>
      <c r="D82" s="19" t="s">
        <v>405</v>
      </c>
      <c r="E82" s="19" t="s">
        <v>65</v>
      </c>
      <c r="F82" s="8" t="s">
        <v>67</v>
      </c>
      <c r="G82" s="8" t="s">
        <v>68</v>
      </c>
      <c r="H82" s="19" t="s">
        <v>86</v>
      </c>
      <c r="I82" s="19" t="s">
        <v>334</v>
      </c>
      <c r="J82" s="19" t="s">
        <v>316</v>
      </c>
    </row>
    <row r="83" ht="18" customHeight="1" outlineLevel="2" spans="1:10">
      <c r="A83" s="18">
        <v>2</v>
      </c>
      <c r="B83" s="18">
        <v>28</v>
      </c>
      <c r="C83" s="19" t="s">
        <v>408</v>
      </c>
      <c r="D83" s="19" t="s">
        <v>407</v>
      </c>
      <c r="E83" s="19" t="s">
        <v>65</v>
      </c>
      <c r="F83" s="8" t="s">
        <v>67</v>
      </c>
      <c r="G83" s="8" t="s">
        <v>68</v>
      </c>
      <c r="H83" s="19" t="s">
        <v>86</v>
      </c>
      <c r="I83" s="19" t="s">
        <v>334</v>
      </c>
      <c r="J83" s="19" t="s">
        <v>319</v>
      </c>
    </row>
    <row r="84" ht="18" customHeight="1" outlineLevel="2" spans="1:10">
      <c r="A84" s="18">
        <v>1</v>
      </c>
      <c r="B84" s="18">
        <v>48</v>
      </c>
      <c r="C84" s="19" t="s">
        <v>410</v>
      </c>
      <c r="D84" s="19" t="s">
        <v>409</v>
      </c>
      <c r="E84" s="19" t="s">
        <v>65</v>
      </c>
      <c r="F84" s="8" t="s">
        <v>67</v>
      </c>
      <c r="G84" s="8" t="s">
        <v>68</v>
      </c>
      <c r="H84" s="19" t="s">
        <v>86</v>
      </c>
      <c r="I84" s="19" t="s">
        <v>334</v>
      </c>
      <c r="J84" s="19" t="s">
        <v>322</v>
      </c>
    </row>
    <row r="85" ht="18" customHeight="1" outlineLevel="2" spans="1:10">
      <c r="A85" s="18">
        <v>3</v>
      </c>
      <c r="B85" s="18">
        <v>29</v>
      </c>
      <c r="C85" s="19" t="s">
        <v>412</v>
      </c>
      <c r="D85" s="19" t="s">
        <v>411</v>
      </c>
      <c r="E85" s="19" t="s">
        <v>65</v>
      </c>
      <c r="F85" s="8" t="s">
        <v>67</v>
      </c>
      <c r="G85" s="8" t="s">
        <v>68</v>
      </c>
      <c r="H85" s="19" t="s">
        <v>86</v>
      </c>
      <c r="I85" s="19" t="s">
        <v>334</v>
      </c>
      <c r="J85" s="19" t="s">
        <v>325</v>
      </c>
    </row>
    <row r="86" ht="18" customHeight="1" outlineLevel="2" spans="1:10">
      <c r="A86" s="18">
        <v>8</v>
      </c>
      <c r="B86" s="18">
        <v>42</v>
      </c>
      <c r="C86" s="19" t="s">
        <v>414</v>
      </c>
      <c r="D86" s="19" t="s">
        <v>413</v>
      </c>
      <c r="E86" s="19" t="s">
        <v>65</v>
      </c>
      <c r="F86" s="8" t="s">
        <v>67</v>
      </c>
      <c r="G86" s="8" t="s">
        <v>68</v>
      </c>
      <c r="H86" s="19" t="s">
        <v>86</v>
      </c>
      <c r="I86" s="19" t="s">
        <v>334</v>
      </c>
      <c r="J86" s="19" t="s">
        <v>328</v>
      </c>
    </row>
    <row r="87" ht="18" customHeight="1" outlineLevel="2" spans="1:10">
      <c r="A87" s="18">
        <v>2</v>
      </c>
      <c r="B87" s="18">
        <v>35</v>
      </c>
      <c r="C87" s="19" t="s">
        <v>416</v>
      </c>
      <c r="D87" s="19" t="s">
        <v>415</v>
      </c>
      <c r="E87" s="19" t="s">
        <v>65</v>
      </c>
      <c r="F87" s="8" t="s">
        <v>67</v>
      </c>
      <c r="G87" s="8" t="s">
        <v>68</v>
      </c>
      <c r="H87" s="19" t="s">
        <v>86</v>
      </c>
      <c r="I87" s="19" t="s">
        <v>334</v>
      </c>
      <c r="J87" s="19" t="s">
        <v>331</v>
      </c>
    </row>
    <row r="88" ht="18" customHeight="1" outlineLevel="1" spans="1:10">
      <c r="A88" s="18"/>
      <c r="B88" s="18"/>
      <c r="C88" s="19">
        <f>SUBTOTAL(3,C46:C87)</f>
        <v>42</v>
      </c>
      <c r="D88" s="19"/>
      <c r="E88" s="19"/>
      <c r="F88" s="8"/>
      <c r="G88" s="8"/>
      <c r="H88" s="20" t="s">
        <v>1930</v>
      </c>
      <c r="I88" s="19"/>
      <c r="J88" s="19"/>
    </row>
    <row r="89" ht="18" customHeight="1" outlineLevel="2" spans="1:10">
      <c r="A89" s="18">
        <v>6</v>
      </c>
      <c r="B89" s="18">
        <v>9</v>
      </c>
      <c r="C89" s="19" t="s">
        <v>418</v>
      </c>
      <c r="D89" s="19" t="s">
        <v>417</v>
      </c>
      <c r="E89" s="19" t="s">
        <v>65</v>
      </c>
      <c r="F89" s="8" t="s">
        <v>67</v>
      </c>
      <c r="G89" s="8" t="s">
        <v>68</v>
      </c>
      <c r="H89" s="19" t="s">
        <v>95</v>
      </c>
      <c r="I89" s="19" t="s">
        <v>419</v>
      </c>
      <c r="J89" s="19" t="s">
        <v>207</v>
      </c>
    </row>
    <row r="90" ht="18" customHeight="1" outlineLevel="2" spans="1:10">
      <c r="A90" s="18">
        <v>5</v>
      </c>
      <c r="B90" s="18">
        <v>16</v>
      </c>
      <c r="C90" s="19" t="s">
        <v>421</v>
      </c>
      <c r="D90" s="19" t="s">
        <v>420</v>
      </c>
      <c r="E90" s="19" t="s">
        <v>65</v>
      </c>
      <c r="F90" s="8" t="s">
        <v>67</v>
      </c>
      <c r="G90" s="8" t="s">
        <v>68</v>
      </c>
      <c r="H90" s="19" t="s">
        <v>95</v>
      </c>
      <c r="I90" s="19" t="s">
        <v>419</v>
      </c>
      <c r="J90" s="19" t="s">
        <v>210</v>
      </c>
    </row>
    <row r="91" ht="18" customHeight="1" outlineLevel="2" spans="1:10">
      <c r="A91" s="18">
        <v>5</v>
      </c>
      <c r="B91" s="18">
        <v>23</v>
      </c>
      <c r="C91" s="19" t="s">
        <v>423</v>
      </c>
      <c r="D91" s="19" t="s">
        <v>422</v>
      </c>
      <c r="E91" s="19" t="s">
        <v>65</v>
      </c>
      <c r="F91" s="8" t="s">
        <v>67</v>
      </c>
      <c r="G91" s="8" t="s">
        <v>68</v>
      </c>
      <c r="H91" s="19" t="s">
        <v>95</v>
      </c>
      <c r="I91" s="19" t="s">
        <v>419</v>
      </c>
      <c r="J91" s="19" t="s">
        <v>214</v>
      </c>
    </row>
    <row r="92" ht="18" customHeight="1" outlineLevel="2" spans="1:10">
      <c r="A92" s="18">
        <v>3</v>
      </c>
      <c r="B92" s="18">
        <v>30</v>
      </c>
      <c r="C92" s="19" t="s">
        <v>425</v>
      </c>
      <c r="D92" s="19" t="s">
        <v>424</v>
      </c>
      <c r="E92" s="19" t="s">
        <v>65</v>
      </c>
      <c r="F92" s="8" t="s">
        <v>67</v>
      </c>
      <c r="G92" s="8" t="s">
        <v>68</v>
      </c>
      <c r="H92" s="19" t="s">
        <v>95</v>
      </c>
      <c r="I92" s="19" t="s">
        <v>419</v>
      </c>
      <c r="J92" s="19" t="s">
        <v>217</v>
      </c>
    </row>
    <row r="93" ht="18" customHeight="1" outlineLevel="2" spans="1:10">
      <c r="A93" s="18">
        <v>8</v>
      </c>
      <c r="B93" s="18">
        <v>50</v>
      </c>
      <c r="C93" s="19" t="s">
        <v>427</v>
      </c>
      <c r="D93" s="19" t="s">
        <v>426</v>
      </c>
      <c r="E93" s="19" t="s">
        <v>65</v>
      </c>
      <c r="F93" s="8" t="s">
        <v>67</v>
      </c>
      <c r="G93" s="8" t="s">
        <v>68</v>
      </c>
      <c r="H93" s="19" t="s">
        <v>95</v>
      </c>
      <c r="I93" s="19" t="s">
        <v>419</v>
      </c>
      <c r="J93" s="19" t="s">
        <v>220</v>
      </c>
    </row>
    <row r="94" ht="18" customHeight="1" outlineLevel="2" spans="1:10">
      <c r="A94" s="18">
        <v>3</v>
      </c>
      <c r="B94" s="18">
        <v>3</v>
      </c>
      <c r="C94" s="19" t="s">
        <v>429</v>
      </c>
      <c r="D94" s="19" t="s">
        <v>428</v>
      </c>
      <c r="E94" s="19" t="s">
        <v>65</v>
      </c>
      <c r="F94" s="8" t="s">
        <v>67</v>
      </c>
      <c r="G94" s="8" t="s">
        <v>68</v>
      </c>
      <c r="H94" s="19" t="s">
        <v>95</v>
      </c>
      <c r="I94" s="19" t="s">
        <v>419</v>
      </c>
      <c r="J94" s="19" t="s">
        <v>223</v>
      </c>
    </row>
    <row r="95" ht="18" customHeight="1" outlineLevel="2" spans="1:10">
      <c r="A95" s="18">
        <v>8</v>
      </c>
      <c r="B95" s="18">
        <v>6</v>
      </c>
      <c r="C95" s="19" t="s">
        <v>431</v>
      </c>
      <c r="D95" s="19" t="s">
        <v>430</v>
      </c>
      <c r="E95" s="19" t="s">
        <v>65</v>
      </c>
      <c r="F95" s="8" t="s">
        <v>67</v>
      </c>
      <c r="G95" s="8" t="s">
        <v>68</v>
      </c>
      <c r="H95" s="19" t="s">
        <v>95</v>
      </c>
      <c r="I95" s="19" t="s">
        <v>419</v>
      </c>
      <c r="J95" s="19" t="s">
        <v>226</v>
      </c>
    </row>
    <row r="96" ht="18" customHeight="1" outlineLevel="2" spans="1:10">
      <c r="A96" s="18">
        <v>7</v>
      </c>
      <c r="B96" s="18">
        <v>48</v>
      </c>
      <c r="C96" s="19" t="s">
        <v>433</v>
      </c>
      <c r="D96" s="19" t="s">
        <v>432</v>
      </c>
      <c r="E96" s="19" t="s">
        <v>65</v>
      </c>
      <c r="F96" s="8" t="s">
        <v>67</v>
      </c>
      <c r="G96" s="8" t="s">
        <v>68</v>
      </c>
      <c r="H96" s="19" t="s">
        <v>95</v>
      </c>
      <c r="I96" s="19" t="s">
        <v>419</v>
      </c>
      <c r="J96" s="19" t="s">
        <v>229</v>
      </c>
    </row>
    <row r="97" ht="18" customHeight="1" outlineLevel="2" spans="1:10">
      <c r="A97" s="18">
        <v>6</v>
      </c>
      <c r="B97" s="18">
        <v>44</v>
      </c>
      <c r="C97" s="19" t="s">
        <v>435</v>
      </c>
      <c r="D97" s="19" t="s">
        <v>434</v>
      </c>
      <c r="E97" s="19" t="s">
        <v>65</v>
      </c>
      <c r="F97" s="8" t="s">
        <v>67</v>
      </c>
      <c r="G97" s="8" t="s">
        <v>68</v>
      </c>
      <c r="H97" s="19" t="s">
        <v>95</v>
      </c>
      <c r="I97" s="19" t="s">
        <v>419</v>
      </c>
      <c r="J97" s="19" t="s">
        <v>232</v>
      </c>
    </row>
    <row r="98" ht="18" customHeight="1" outlineLevel="2" spans="1:10">
      <c r="A98" s="18">
        <v>4</v>
      </c>
      <c r="B98" s="18">
        <v>22</v>
      </c>
      <c r="C98" s="19" t="s">
        <v>437</v>
      </c>
      <c r="D98" s="19" t="s">
        <v>436</v>
      </c>
      <c r="E98" s="19" t="s">
        <v>65</v>
      </c>
      <c r="F98" s="8" t="s">
        <v>67</v>
      </c>
      <c r="G98" s="8" t="s">
        <v>68</v>
      </c>
      <c r="H98" s="19" t="s">
        <v>95</v>
      </c>
      <c r="I98" s="19" t="s">
        <v>419</v>
      </c>
      <c r="J98" s="19" t="s">
        <v>235</v>
      </c>
    </row>
    <row r="99" ht="18" customHeight="1" outlineLevel="2" spans="1:10">
      <c r="A99" s="18">
        <v>6</v>
      </c>
      <c r="B99" s="18">
        <v>11</v>
      </c>
      <c r="C99" s="19" t="s">
        <v>439</v>
      </c>
      <c r="D99" s="19" t="s">
        <v>438</v>
      </c>
      <c r="E99" s="19" t="s">
        <v>65</v>
      </c>
      <c r="F99" s="8" t="s">
        <v>67</v>
      </c>
      <c r="G99" s="8" t="s">
        <v>68</v>
      </c>
      <c r="H99" s="19" t="s">
        <v>95</v>
      </c>
      <c r="I99" s="19" t="s">
        <v>419</v>
      </c>
      <c r="J99" s="19" t="s">
        <v>238</v>
      </c>
    </row>
    <row r="100" ht="18" customHeight="1" outlineLevel="2" spans="1:10">
      <c r="A100" s="18">
        <v>6</v>
      </c>
      <c r="B100" s="18">
        <v>23</v>
      </c>
      <c r="C100" s="19" t="s">
        <v>441</v>
      </c>
      <c r="D100" s="19" t="s">
        <v>440</v>
      </c>
      <c r="E100" s="19" t="s">
        <v>65</v>
      </c>
      <c r="F100" s="8" t="s">
        <v>67</v>
      </c>
      <c r="G100" s="8" t="s">
        <v>68</v>
      </c>
      <c r="H100" s="19" t="s">
        <v>95</v>
      </c>
      <c r="I100" s="19" t="s">
        <v>419</v>
      </c>
      <c r="J100" s="19" t="s">
        <v>241</v>
      </c>
    </row>
    <row r="101" ht="18" customHeight="1" outlineLevel="2" spans="1:10">
      <c r="A101" s="18">
        <v>2</v>
      </c>
      <c r="B101" s="18">
        <v>17</v>
      </c>
      <c r="C101" s="19" t="s">
        <v>443</v>
      </c>
      <c r="D101" s="19" t="s">
        <v>442</v>
      </c>
      <c r="E101" s="19" t="s">
        <v>65</v>
      </c>
      <c r="F101" s="8" t="s">
        <v>67</v>
      </c>
      <c r="G101" s="8" t="s">
        <v>68</v>
      </c>
      <c r="H101" s="19" t="s">
        <v>95</v>
      </c>
      <c r="I101" s="19" t="s">
        <v>419</v>
      </c>
      <c r="J101" s="19" t="s">
        <v>244</v>
      </c>
    </row>
    <row r="102" ht="18" customHeight="1" outlineLevel="2" spans="1:10">
      <c r="A102" s="18">
        <v>8</v>
      </c>
      <c r="B102" s="18">
        <v>44</v>
      </c>
      <c r="C102" s="19" t="s">
        <v>445</v>
      </c>
      <c r="D102" s="19" t="s">
        <v>444</v>
      </c>
      <c r="E102" s="19" t="s">
        <v>65</v>
      </c>
      <c r="F102" s="8" t="s">
        <v>67</v>
      </c>
      <c r="G102" s="8" t="s">
        <v>68</v>
      </c>
      <c r="H102" s="19" t="s">
        <v>95</v>
      </c>
      <c r="I102" s="19" t="s">
        <v>419</v>
      </c>
      <c r="J102" s="19" t="s">
        <v>247</v>
      </c>
    </row>
    <row r="103" ht="18" customHeight="1" outlineLevel="2" spans="1:10">
      <c r="A103" s="18">
        <v>4</v>
      </c>
      <c r="B103" s="18">
        <v>9</v>
      </c>
      <c r="C103" s="19" t="s">
        <v>447</v>
      </c>
      <c r="D103" s="19" t="s">
        <v>446</v>
      </c>
      <c r="E103" s="19" t="s">
        <v>65</v>
      </c>
      <c r="F103" s="8" t="s">
        <v>67</v>
      </c>
      <c r="G103" s="8" t="s">
        <v>68</v>
      </c>
      <c r="H103" s="19" t="s">
        <v>95</v>
      </c>
      <c r="I103" s="19" t="s">
        <v>419</v>
      </c>
      <c r="J103" s="19" t="s">
        <v>250</v>
      </c>
    </row>
    <row r="104" ht="18" customHeight="1" outlineLevel="2" spans="1:10">
      <c r="A104" s="18">
        <v>4</v>
      </c>
      <c r="B104" s="18">
        <v>29</v>
      </c>
      <c r="C104" s="19" t="s">
        <v>449</v>
      </c>
      <c r="D104" s="19" t="s">
        <v>448</v>
      </c>
      <c r="E104" s="19" t="s">
        <v>65</v>
      </c>
      <c r="F104" s="8" t="s">
        <v>67</v>
      </c>
      <c r="G104" s="8" t="s">
        <v>68</v>
      </c>
      <c r="H104" s="19" t="s">
        <v>95</v>
      </c>
      <c r="I104" s="19" t="s">
        <v>419</v>
      </c>
      <c r="J104" s="19" t="s">
        <v>253</v>
      </c>
    </row>
    <row r="105" ht="18" customHeight="1" outlineLevel="2" spans="1:10">
      <c r="A105" s="18">
        <v>2</v>
      </c>
      <c r="B105" s="18">
        <v>30</v>
      </c>
      <c r="C105" s="19" t="s">
        <v>451</v>
      </c>
      <c r="D105" s="19" t="s">
        <v>450</v>
      </c>
      <c r="E105" s="19" t="s">
        <v>65</v>
      </c>
      <c r="F105" s="8" t="s">
        <v>67</v>
      </c>
      <c r="G105" s="8" t="s">
        <v>68</v>
      </c>
      <c r="H105" s="19" t="s">
        <v>95</v>
      </c>
      <c r="I105" s="19" t="s">
        <v>419</v>
      </c>
      <c r="J105" s="19" t="s">
        <v>256</v>
      </c>
    </row>
    <row r="106" ht="18" customHeight="1" outlineLevel="2" spans="1:10">
      <c r="A106" s="18">
        <v>5</v>
      </c>
      <c r="B106" s="18">
        <v>24</v>
      </c>
      <c r="C106" s="19" t="s">
        <v>453</v>
      </c>
      <c r="D106" s="19" t="s">
        <v>452</v>
      </c>
      <c r="E106" s="19" t="s">
        <v>65</v>
      </c>
      <c r="F106" s="8" t="s">
        <v>67</v>
      </c>
      <c r="G106" s="8" t="s">
        <v>68</v>
      </c>
      <c r="H106" s="19" t="s">
        <v>95</v>
      </c>
      <c r="I106" s="19" t="s">
        <v>419</v>
      </c>
      <c r="J106" s="19" t="s">
        <v>259</v>
      </c>
    </row>
    <row r="107" ht="18" customHeight="1" outlineLevel="2" spans="1:10">
      <c r="A107" s="18">
        <v>4</v>
      </c>
      <c r="B107" s="18">
        <v>27</v>
      </c>
      <c r="C107" s="19" t="s">
        <v>455</v>
      </c>
      <c r="D107" s="19" t="s">
        <v>454</v>
      </c>
      <c r="E107" s="19" t="s">
        <v>65</v>
      </c>
      <c r="F107" s="8" t="s">
        <v>67</v>
      </c>
      <c r="G107" s="8" t="s">
        <v>68</v>
      </c>
      <c r="H107" s="19" t="s">
        <v>95</v>
      </c>
      <c r="I107" s="19" t="s">
        <v>419</v>
      </c>
      <c r="J107" s="19" t="s">
        <v>262</v>
      </c>
    </row>
    <row r="108" ht="18" customHeight="1" outlineLevel="2" spans="1:10">
      <c r="A108" s="18">
        <v>2</v>
      </c>
      <c r="B108" s="18">
        <v>50</v>
      </c>
      <c r="C108" s="19" t="s">
        <v>457</v>
      </c>
      <c r="D108" s="19" t="s">
        <v>456</v>
      </c>
      <c r="E108" s="19" t="s">
        <v>65</v>
      </c>
      <c r="F108" s="8" t="s">
        <v>67</v>
      </c>
      <c r="G108" s="8" t="s">
        <v>68</v>
      </c>
      <c r="H108" s="19" t="s">
        <v>95</v>
      </c>
      <c r="I108" s="19" t="s">
        <v>419</v>
      </c>
      <c r="J108" s="19" t="s">
        <v>265</v>
      </c>
    </row>
    <row r="109" ht="18" customHeight="1" outlineLevel="2" spans="1:10">
      <c r="A109" s="18">
        <v>1</v>
      </c>
      <c r="B109" s="18">
        <v>24</v>
      </c>
      <c r="C109" s="19" t="s">
        <v>459</v>
      </c>
      <c r="D109" s="19" t="s">
        <v>458</v>
      </c>
      <c r="E109" s="19" t="s">
        <v>65</v>
      </c>
      <c r="F109" s="8" t="s">
        <v>67</v>
      </c>
      <c r="G109" s="8" t="s">
        <v>68</v>
      </c>
      <c r="H109" s="19" t="s">
        <v>95</v>
      </c>
      <c r="I109" s="19" t="s">
        <v>419</v>
      </c>
      <c r="J109" s="19" t="s">
        <v>268</v>
      </c>
    </row>
    <row r="110" ht="18" customHeight="1" outlineLevel="2" spans="1:10">
      <c r="A110" s="18">
        <v>3</v>
      </c>
      <c r="B110" s="18">
        <v>32</v>
      </c>
      <c r="C110" s="19" t="s">
        <v>461</v>
      </c>
      <c r="D110" s="19" t="s">
        <v>460</v>
      </c>
      <c r="E110" s="19" t="s">
        <v>65</v>
      </c>
      <c r="F110" s="8" t="s">
        <v>67</v>
      </c>
      <c r="G110" s="8" t="s">
        <v>68</v>
      </c>
      <c r="H110" s="19" t="s">
        <v>95</v>
      </c>
      <c r="I110" s="19" t="s">
        <v>419</v>
      </c>
      <c r="J110" s="19" t="s">
        <v>271</v>
      </c>
    </row>
    <row r="111" ht="18" customHeight="1" outlineLevel="2" spans="1:10">
      <c r="A111" s="18">
        <v>2</v>
      </c>
      <c r="B111" s="18">
        <v>13</v>
      </c>
      <c r="C111" s="19" t="s">
        <v>463</v>
      </c>
      <c r="D111" s="19" t="s">
        <v>462</v>
      </c>
      <c r="E111" s="19" t="s">
        <v>65</v>
      </c>
      <c r="F111" s="8" t="s">
        <v>67</v>
      </c>
      <c r="G111" s="8" t="s">
        <v>68</v>
      </c>
      <c r="H111" s="19" t="s">
        <v>95</v>
      </c>
      <c r="I111" s="19" t="s">
        <v>419</v>
      </c>
      <c r="J111" s="19" t="s">
        <v>274</v>
      </c>
    </row>
    <row r="112" ht="18" customHeight="1" outlineLevel="2" spans="1:10">
      <c r="A112" s="18">
        <v>9</v>
      </c>
      <c r="B112" s="18">
        <v>49</v>
      </c>
      <c r="C112" s="19" t="s">
        <v>465</v>
      </c>
      <c r="D112" s="19" t="s">
        <v>464</v>
      </c>
      <c r="E112" s="19" t="s">
        <v>65</v>
      </c>
      <c r="F112" s="8" t="s">
        <v>67</v>
      </c>
      <c r="G112" s="8" t="s">
        <v>68</v>
      </c>
      <c r="H112" s="19" t="s">
        <v>95</v>
      </c>
      <c r="I112" s="19" t="s">
        <v>419</v>
      </c>
      <c r="J112" s="19" t="s">
        <v>277</v>
      </c>
    </row>
    <row r="113" ht="18" customHeight="1" outlineLevel="2" spans="1:10">
      <c r="A113" s="18">
        <v>1</v>
      </c>
      <c r="B113" s="18">
        <v>38</v>
      </c>
      <c r="C113" s="19" t="s">
        <v>467</v>
      </c>
      <c r="D113" s="19" t="s">
        <v>466</v>
      </c>
      <c r="E113" s="19" t="s">
        <v>65</v>
      </c>
      <c r="F113" s="8" t="s">
        <v>67</v>
      </c>
      <c r="G113" s="8" t="s">
        <v>68</v>
      </c>
      <c r="H113" s="19" t="s">
        <v>95</v>
      </c>
      <c r="I113" s="19" t="s">
        <v>419</v>
      </c>
      <c r="J113" s="19" t="s">
        <v>280</v>
      </c>
    </row>
    <row r="114" ht="18" customHeight="1" outlineLevel="2" spans="1:10">
      <c r="A114" s="18">
        <v>1</v>
      </c>
      <c r="B114" s="18">
        <v>45</v>
      </c>
      <c r="C114" s="19" t="s">
        <v>469</v>
      </c>
      <c r="D114" s="19" t="s">
        <v>468</v>
      </c>
      <c r="E114" s="19" t="s">
        <v>65</v>
      </c>
      <c r="F114" s="8" t="s">
        <v>67</v>
      </c>
      <c r="G114" s="8" t="s">
        <v>68</v>
      </c>
      <c r="H114" s="19" t="s">
        <v>95</v>
      </c>
      <c r="I114" s="19" t="s">
        <v>419</v>
      </c>
      <c r="J114" s="19" t="s">
        <v>283</v>
      </c>
    </row>
    <row r="115" ht="18" customHeight="1" outlineLevel="2" spans="1:10">
      <c r="A115" s="18">
        <v>9</v>
      </c>
      <c r="B115" s="18">
        <v>45</v>
      </c>
      <c r="C115" s="19" t="s">
        <v>471</v>
      </c>
      <c r="D115" s="19" t="s">
        <v>470</v>
      </c>
      <c r="E115" s="19" t="s">
        <v>65</v>
      </c>
      <c r="F115" s="8" t="s">
        <v>67</v>
      </c>
      <c r="G115" s="8" t="s">
        <v>68</v>
      </c>
      <c r="H115" s="19" t="s">
        <v>95</v>
      </c>
      <c r="I115" s="19" t="s">
        <v>419</v>
      </c>
      <c r="J115" s="19" t="s">
        <v>286</v>
      </c>
    </row>
    <row r="116" ht="18" customHeight="1" outlineLevel="2" spans="1:10">
      <c r="A116" s="18">
        <v>2</v>
      </c>
      <c r="B116" s="18">
        <v>1</v>
      </c>
      <c r="C116" s="19" t="s">
        <v>473</v>
      </c>
      <c r="D116" s="19" t="s">
        <v>472</v>
      </c>
      <c r="E116" s="19" t="s">
        <v>65</v>
      </c>
      <c r="F116" s="8" t="s">
        <v>67</v>
      </c>
      <c r="G116" s="8" t="s">
        <v>68</v>
      </c>
      <c r="H116" s="19" t="s">
        <v>95</v>
      </c>
      <c r="I116" s="19" t="s">
        <v>419</v>
      </c>
      <c r="J116" s="19" t="s">
        <v>289</v>
      </c>
    </row>
    <row r="117" ht="18" customHeight="1" outlineLevel="2" spans="1:10">
      <c r="A117" s="18">
        <v>5</v>
      </c>
      <c r="B117" s="18">
        <v>4</v>
      </c>
      <c r="C117" s="19" t="s">
        <v>475</v>
      </c>
      <c r="D117" s="19" t="s">
        <v>474</v>
      </c>
      <c r="E117" s="19" t="s">
        <v>65</v>
      </c>
      <c r="F117" s="8" t="s">
        <v>67</v>
      </c>
      <c r="G117" s="8" t="s">
        <v>68</v>
      </c>
      <c r="H117" s="19" t="s">
        <v>95</v>
      </c>
      <c r="I117" s="19" t="s">
        <v>419</v>
      </c>
      <c r="J117" s="19" t="s">
        <v>292</v>
      </c>
    </row>
    <row r="118" ht="18" customHeight="1" outlineLevel="2" spans="1:10">
      <c r="A118" s="18">
        <v>9</v>
      </c>
      <c r="B118" s="18">
        <v>32</v>
      </c>
      <c r="C118" s="19" t="s">
        <v>477</v>
      </c>
      <c r="D118" s="19" t="s">
        <v>476</v>
      </c>
      <c r="E118" s="19" t="s">
        <v>65</v>
      </c>
      <c r="F118" s="8" t="s">
        <v>67</v>
      </c>
      <c r="G118" s="8" t="s">
        <v>68</v>
      </c>
      <c r="H118" s="19" t="s">
        <v>95</v>
      </c>
      <c r="I118" s="19" t="s">
        <v>419</v>
      </c>
      <c r="J118" s="19" t="s">
        <v>295</v>
      </c>
    </row>
    <row r="119" ht="18" customHeight="1" outlineLevel="2" spans="1:10">
      <c r="A119" s="18">
        <v>6</v>
      </c>
      <c r="B119" s="18">
        <v>5</v>
      </c>
      <c r="C119" s="19" t="s">
        <v>479</v>
      </c>
      <c r="D119" s="19" t="s">
        <v>478</v>
      </c>
      <c r="E119" s="19" t="s">
        <v>65</v>
      </c>
      <c r="F119" s="8" t="s">
        <v>67</v>
      </c>
      <c r="G119" s="8" t="s">
        <v>68</v>
      </c>
      <c r="H119" s="19" t="s">
        <v>95</v>
      </c>
      <c r="I119" s="19" t="s">
        <v>419</v>
      </c>
      <c r="J119" s="19" t="s">
        <v>298</v>
      </c>
    </row>
    <row r="120" ht="18" customHeight="1" outlineLevel="2" spans="1:10">
      <c r="A120" s="18">
        <v>8</v>
      </c>
      <c r="B120" s="18">
        <v>26</v>
      </c>
      <c r="C120" s="19" t="s">
        <v>481</v>
      </c>
      <c r="D120" s="19" t="s">
        <v>480</v>
      </c>
      <c r="E120" s="19" t="s">
        <v>65</v>
      </c>
      <c r="F120" s="8" t="s">
        <v>67</v>
      </c>
      <c r="G120" s="8" t="s">
        <v>68</v>
      </c>
      <c r="H120" s="19" t="s">
        <v>95</v>
      </c>
      <c r="I120" s="19" t="s">
        <v>419</v>
      </c>
      <c r="J120" s="19" t="s">
        <v>301</v>
      </c>
    </row>
    <row r="121" ht="18" customHeight="1" outlineLevel="2" spans="1:10">
      <c r="A121" s="18">
        <v>6</v>
      </c>
      <c r="B121" s="18">
        <v>8</v>
      </c>
      <c r="C121" s="19" t="s">
        <v>483</v>
      </c>
      <c r="D121" s="19" t="s">
        <v>482</v>
      </c>
      <c r="E121" s="19" t="s">
        <v>65</v>
      </c>
      <c r="F121" s="8" t="s">
        <v>67</v>
      </c>
      <c r="G121" s="8" t="s">
        <v>68</v>
      </c>
      <c r="H121" s="19" t="s">
        <v>95</v>
      </c>
      <c r="I121" s="19" t="s">
        <v>419</v>
      </c>
      <c r="J121" s="19" t="s">
        <v>304</v>
      </c>
    </row>
    <row r="122" ht="18" customHeight="1" outlineLevel="2" spans="1:10">
      <c r="A122" s="18">
        <v>6</v>
      </c>
      <c r="B122" s="18">
        <v>12</v>
      </c>
      <c r="C122" s="19" t="s">
        <v>485</v>
      </c>
      <c r="D122" s="19" t="s">
        <v>484</v>
      </c>
      <c r="E122" s="19" t="s">
        <v>65</v>
      </c>
      <c r="F122" s="8" t="s">
        <v>67</v>
      </c>
      <c r="G122" s="8" t="s">
        <v>68</v>
      </c>
      <c r="H122" s="19" t="s">
        <v>95</v>
      </c>
      <c r="I122" s="19" t="s">
        <v>419</v>
      </c>
      <c r="J122" s="19" t="s">
        <v>307</v>
      </c>
    </row>
    <row r="123" ht="18" customHeight="1" outlineLevel="2" spans="1:10">
      <c r="A123" s="18">
        <v>2</v>
      </c>
      <c r="B123" s="18">
        <v>10</v>
      </c>
      <c r="C123" s="19" t="s">
        <v>487</v>
      </c>
      <c r="D123" s="19" t="s">
        <v>486</v>
      </c>
      <c r="E123" s="19" t="s">
        <v>65</v>
      </c>
      <c r="F123" s="8" t="s">
        <v>67</v>
      </c>
      <c r="G123" s="8" t="s">
        <v>68</v>
      </c>
      <c r="H123" s="19" t="s">
        <v>95</v>
      </c>
      <c r="I123" s="19" t="s">
        <v>419</v>
      </c>
      <c r="J123" s="19" t="s">
        <v>310</v>
      </c>
    </row>
    <row r="124" ht="18" customHeight="1" outlineLevel="2" spans="1:10">
      <c r="A124" s="18">
        <v>8</v>
      </c>
      <c r="B124" s="18">
        <v>28</v>
      </c>
      <c r="C124" s="19" t="s">
        <v>489</v>
      </c>
      <c r="D124" s="19" t="s">
        <v>488</v>
      </c>
      <c r="E124" s="19" t="s">
        <v>65</v>
      </c>
      <c r="F124" s="8" t="s">
        <v>67</v>
      </c>
      <c r="G124" s="8" t="s">
        <v>68</v>
      </c>
      <c r="H124" s="19" t="s">
        <v>95</v>
      </c>
      <c r="I124" s="19" t="s">
        <v>419</v>
      </c>
      <c r="J124" s="19" t="s">
        <v>313</v>
      </c>
    </row>
    <row r="125" ht="18" customHeight="1" outlineLevel="2" spans="1:10">
      <c r="A125" s="18">
        <v>3</v>
      </c>
      <c r="B125" s="18">
        <v>6</v>
      </c>
      <c r="C125" s="19" t="s">
        <v>491</v>
      </c>
      <c r="D125" s="19" t="s">
        <v>490</v>
      </c>
      <c r="E125" s="19" t="s">
        <v>65</v>
      </c>
      <c r="F125" s="8" t="s">
        <v>67</v>
      </c>
      <c r="G125" s="8" t="s">
        <v>68</v>
      </c>
      <c r="H125" s="19" t="s">
        <v>95</v>
      </c>
      <c r="I125" s="19" t="s">
        <v>419</v>
      </c>
      <c r="J125" s="19" t="s">
        <v>316</v>
      </c>
    </row>
    <row r="126" ht="18" customHeight="1" outlineLevel="2" spans="1:10">
      <c r="A126" s="18">
        <v>6</v>
      </c>
      <c r="B126" s="18">
        <v>29</v>
      </c>
      <c r="C126" s="19" t="s">
        <v>493</v>
      </c>
      <c r="D126" s="19" t="s">
        <v>492</v>
      </c>
      <c r="E126" s="19" t="s">
        <v>65</v>
      </c>
      <c r="F126" s="8" t="s">
        <v>67</v>
      </c>
      <c r="G126" s="8" t="s">
        <v>68</v>
      </c>
      <c r="H126" s="19" t="s">
        <v>95</v>
      </c>
      <c r="I126" s="19" t="s">
        <v>419</v>
      </c>
      <c r="J126" s="19" t="s">
        <v>319</v>
      </c>
    </row>
    <row r="127" ht="18" customHeight="1" outlineLevel="2" spans="1:10">
      <c r="A127" s="18">
        <v>5</v>
      </c>
      <c r="B127" s="18">
        <v>47</v>
      </c>
      <c r="C127" s="19" t="s">
        <v>495</v>
      </c>
      <c r="D127" s="19" t="s">
        <v>494</v>
      </c>
      <c r="E127" s="19" t="s">
        <v>65</v>
      </c>
      <c r="F127" s="8" t="s">
        <v>67</v>
      </c>
      <c r="G127" s="8" t="s">
        <v>68</v>
      </c>
      <c r="H127" s="19" t="s">
        <v>95</v>
      </c>
      <c r="I127" s="19" t="s">
        <v>419</v>
      </c>
      <c r="J127" s="19" t="s">
        <v>322</v>
      </c>
    </row>
    <row r="128" ht="18" customHeight="1" outlineLevel="2" spans="1:10">
      <c r="A128" s="18">
        <v>8</v>
      </c>
      <c r="B128" s="18">
        <v>53</v>
      </c>
      <c r="C128" s="19" t="s">
        <v>497</v>
      </c>
      <c r="D128" s="19" t="s">
        <v>496</v>
      </c>
      <c r="E128" s="19" t="s">
        <v>65</v>
      </c>
      <c r="F128" s="8" t="s">
        <v>67</v>
      </c>
      <c r="G128" s="8" t="s">
        <v>68</v>
      </c>
      <c r="H128" s="19" t="s">
        <v>95</v>
      </c>
      <c r="I128" s="19" t="s">
        <v>419</v>
      </c>
      <c r="J128" s="19" t="s">
        <v>325</v>
      </c>
    </row>
    <row r="129" ht="18" customHeight="1" outlineLevel="2" spans="1:10">
      <c r="A129" s="18">
        <v>8</v>
      </c>
      <c r="B129" s="18">
        <v>34</v>
      </c>
      <c r="C129" s="19" t="s">
        <v>499</v>
      </c>
      <c r="D129" s="19" t="s">
        <v>498</v>
      </c>
      <c r="E129" s="19" t="s">
        <v>65</v>
      </c>
      <c r="F129" s="8" t="s">
        <v>67</v>
      </c>
      <c r="G129" s="8" t="s">
        <v>68</v>
      </c>
      <c r="H129" s="19" t="s">
        <v>95</v>
      </c>
      <c r="I129" s="19" t="s">
        <v>419</v>
      </c>
      <c r="J129" s="19" t="s">
        <v>328</v>
      </c>
    </row>
    <row r="130" ht="18" customHeight="1" outlineLevel="2" spans="1:10">
      <c r="A130" s="18">
        <v>9</v>
      </c>
      <c r="B130" s="18">
        <v>50</v>
      </c>
      <c r="C130" s="19" t="s">
        <v>501</v>
      </c>
      <c r="D130" s="19" t="s">
        <v>500</v>
      </c>
      <c r="E130" s="19" t="s">
        <v>65</v>
      </c>
      <c r="F130" s="8" t="s">
        <v>67</v>
      </c>
      <c r="G130" s="8" t="s">
        <v>68</v>
      </c>
      <c r="H130" s="19" t="s">
        <v>95</v>
      </c>
      <c r="I130" s="19" t="s">
        <v>419</v>
      </c>
      <c r="J130" s="19" t="s">
        <v>331</v>
      </c>
    </row>
    <row r="131" ht="18" customHeight="1" outlineLevel="1" spans="1:10">
      <c r="A131" s="18"/>
      <c r="B131" s="18"/>
      <c r="C131" s="19">
        <f>SUBTOTAL(3,C89:C130)</f>
        <v>42</v>
      </c>
      <c r="D131" s="19"/>
      <c r="E131" s="19"/>
      <c r="F131" s="8"/>
      <c r="G131" s="8"/>
      <c r="H131" s="20" t="s">
        <v>1931</v>
      </c>
      <c r="I131" s="19"/>
      <c r="J131" s="19"/>
    </row>
    <row r="132" ht="18" customHeight="1" outlineLevel="2" spans="1:10">
      <c r="A132" s="18">
        <v>2</v>
      </c>
      <c r="B132" s="18">
        <v>7</v>
      </c>
      <c r="C132" s="19" t="s">
        <v>503</v>
      </c>
      <c r="D132" s="19" t="s">
        <v>502</v>
      </c>
      <c r="E132" s="19" t="s">
        <v>65</v>
      </c>
      <c r="F132" s="8" t="s">
        <v>67</v>
      </c>
      <c r="G132" s="8" t="s">
        <v>68</v>
      </c>
      <c r="H132" s="19" t="s">
        <v>104</v>
      </c>
      <c r="I132" s="19" t="s">
        <v>504</v>
      </c>
      <c r="J132" s="19" t="s">
        <v>207</v>
      </c>
    </row>
    <row r="133" ht="18" customHeight="1" outlineLevel="2" spans="1:10">
      <c r="A133" s="18">
        <v>6</v>
      </c>
      <c r="B133" s="18">
        <v>16</v>
      </c>
      <c r="C133" s="19" t="s">
        <v>506</v>
      </c>
      <c r="D133" s="19" t="s">
        <v>505</v>
      </c>
      <c r="E133" s="19" t="s">
        <v>65</v>
      </c>
      <c r="F133" s="8" t="s">
        <v>67</v>
      </c>
      <c r="G133" s="8" t="s">
        <v>68</v>
      </c>
      <c r="H133" s="19" t="s">
        <v>104</v>
      </c>
      <c r="I133" s="19" t="s">
        <v>504</v>
      </c>
      <c r="J133" s="19" t="s">
        <v>210</v>
      </c>
    </row>
    <row r="134" ht="18" customHeight="1" outlineLevel="2" spans="1:10">
      <c r="A134" s="18">
        <v>9</v>
      </c>
      <c r="B134" s="18">
        <v>40</v>
      </c>
      <c r="C134" s="19" t="s">
        <v>508</v>
      </c>
      <c r="D134" s="19" t="s">
        <v>507</v>
      </c>
      <c r="E134" s="19" t="s">
        <v>65</v>
      </c>
      <c r="F134" s="8" t="s">
        <v>67</v>
      </c>
      <c r="G134" s="8" t="s">
        <v>68</v>
      </c>
      <c r="H134" s="19" t="s">
        <v>104</v>
      </c>
      <c r="I134" s="19" t="s">
        <v>504</v>
      </c>
      <c r="J134" s="19" t="s">
        <v>214</v>
      </c>
    </row>
    <row r="135" ht="18" customHeight="1" outlineLevel="2" spans="1:10">
      <c r="A135" s="18">
        <v>9</v>
      </c>
      <c r="B135" s="18">
        <v>33</v>
      </c>
      <c r="C135" s="19" t="s">
        <v>510</v>
      </c>
      <c r="D135" s="19" t="s">
        <v>509</v>
      </c>
      <c r="E135" s="19" t="s">
        <v>65</v>
      </c>
      <c r="F135" s="8" t="s">
        <v>67</v>
      </c>
      <c r="G135" s="8" t="s">
        <v>68</v>
      </c>
      <c r="H135" s="19" t="s">
        <v>104</v>
      </c>
      <c r="I135" s="19" t="s">
        <v>504</v>
      </c>
      <c r="J135" s="19" t="s">
        <v>217</v>
      </c>
    </row>
    <row r="136" ht="18" customHeight="1" outlineLevel="2" spans="1:10">
      <c r="A136" s="18">
        <v>1</v>
      </c>
      <c r="B136" s="18">
        <v>51</v>
      </c>
      <c r="C136" s="19" t="s">
        <v>512</v>
      </c>
      <c r="D136" s="19" t="s">
        <v>511</v>
      </c>
      <c r="E136" s="19" t="s">
        <v>65</v>
      </c>
      <c r="F136" s="8" t="s">
        <v>67</v>
      </c>
      <c r="G136" s="8" t="s">
        <v>68</v>
      </c>
      <c r="H136" s="19" t="s">
        <v>104</v>
      </c>
      <c r="I136" s="19" t="s">
        <v>504</v>
      </c>
      <c r="J136" s="19" t="s">
        <v>220</v>
      </c>
    </row>
    <row r="137" ht="18" customHeight="1" outlineLevel="2" spans="1:10">
      <c r="A137" s="18">
        <v>6</v>
      </c>
      <c r="B137" s="18">
        <v>24</v>
      </c>
      <c r="C137" s="19" t="s">
        <v>514</v>
      </c>
      <c r="D137" s="19" t="s">
        <v>513</v>
      </c>
      <c r="E137" s="19" t="s">
        <v>65</v>
      </c>
      <c r="F137" s="8" t="s">
        <v>67</v>
      </c>
      <c r="G137" s="8" t="s">
        <v>68</v>
      </c>
      <c r="H137" s="19" t="s">
        <v>104</v>
      </c>
      <c r="I137" s="19" t="s">
        <v>504</v>
      </c>
      <c r="J137" s="19" t="s">
        <v>223</v>
      </c>
    </row>
    <row r="138" ht="18" customHeight="1" outlineLevel="2" spans="1:10">
      <c r="A138" s="18">
        <v>7</v>
      </c>
      <c r="B138" s="18">
        <v>44</v>
      </c>
      <c r="C138" s="19" t="s">
        <v>516</v>
      </c>
      <c r="D138" s="19" t="s">
        <v>515</v>
      </c>
      <c r="E138" s="19" t="s">
        <v>65</v>
      </c>
      <c r="F138" s="8" t="s">
        <v>67</v>
      </c>
      <c r="G138" s="8" t="s">
        <v>68</v>
      </c>
      <c r="H138" s="19" t="s">
        <v>104</v>
      </c>
      <c r="I138" s="19" t="s">
        <v>504</v>
      </c>
      <c r="J138" s="19" t="s">
        <v>226</v>
      </c>
    </row>
    <row r="139" ht="18" customHeight="1" outlineLevel="2" spans="1:10">
      <c r="A139" s="18">
        <v>1</v>
      </c>
      <c r="B139" s="18">
        <v>14</v>
      </c>
      <c r="C139" s="19" t="s">
        <v>518</v>
      </c>
      <c r="D139" s="19" t="s">
        <v>517</v>
      </c>
      <c r="E139" s="19" t="s">
        <v>65</v>
      </c>
      <c r="F139" s="8" t="s">
        <v>67</v>
      </c>
      <c r="G139" s="8" t="s">
        <v>68</v>
      </c>
      <c r="H139" s="19" t="s">
        <v>104</v>
      </c>
      <c r="I139" s="19" t="s">
        <v>504</v>
      </c>
      <c r="J139" s="19" t="s">
        <v>229</v>
      </c>
    </row>
    <row r="140" ht="18" customHeight="1" outlineLevel="2" spans="1:10">
      <c r="A140" s="18">
        <v>7</v>
      </c>
      <c r="B140" s="18">
        <v>35</v>
      </c>
      <c r="C140" s="19" t="s">
        <v>520</v>
      </c>
      <c r="D140" s="19" t="s">
        <v>519</v>
      </c>
      <c r="E140" s="19" t="s">
        <v>65</v>
      </c>
      <c r="F140" s="8" t="s">
        <v>67</v>
      </c>
      <c r="G140" s="8" t="s">
        <v>68</v>
      </c>
      <c r="H140" s="19" t="s">
        <v>104</v>
      </c>
      <c r="I140" s="19" t="s">
        <v>504</v>
      </c>
      <c r="J140" s="19" t="s">
        <v>232</v>
      </c>
    </row>
    <row r="141" ht="18" customHeight="1" outlineLevel="2" spans="1:10">
      <c r="A141" s="18">
        <v>6</v>
      </c>
      <c r="B141" s="18">
        <v>33</v>
      </c>
      <c r="C141" s="19" t="s">
        <v>522</v>
      </c>
      <c r="D141" s="19" t="s">
        <v>521</v>
      </c>
      <c r="E141" s="19" t="s">
        <v>65</v>
      </c>
      <c r="F141" s="8" t="s">
        <v>67</v>
      </c>
      <c r="G141" s="8" t="s">
        <v>68</v>
      </c>
      <c r="H141" s="19" t="s">
        <v>104</v>
      </c>
      <c r="I141" s="19" t="s">
        <v>504</v>
      </c>
      <c r="J141" s="19" t="s">
        <v>235</v>
      </c>
    </row>
    <row r="142" ht="18" customHeight="1" outlineLevel="2" spans="1:10">
      <c r="A142" s="18">
        <v>7</v>
      </c>
      <c r="B142" s="18">
        <v>24</v>
      </c>
      <c r="C142" s="19" t="s">
        <v>524</v>
      </c>
      <c r="D142" s="19" t="s">
        <v>523</v>
      </c>
      <c r="E142" s="19" t="s">
        <v>65</v>
      </c>
      <c r="F142" s="8" t="s">
        <v>67</v>
      </c>
      <c r="G142" s="8" t="s">
        <v>68</v>
      </c>
      <c r="H142" s="19" t="s">
        <v>104</v>
      </c>
      <c r="I142" s="19" t="s">
        <v>504</v>
      </c>
      <c r="J142" s="19" t="s">
        <v>238</v>
      </c>
    </row>
    <row r="143" ht="18" customHeight="1" outlineLevel="2" spans="1:10">
      <c r="A143" s="18">
        <v>5</v>
      </c>
      <c r="B143" s="18">
        <v>6</v>
      </c>
      <c r="C143" s="19" t="s">
        <v>526</v>
      </c>
      <c r="D143" s="19" t="s">
        <v>525</v>
      </c>
      <c r="E143" s="19" t="s">
        <v>65</v>
      </c>
      <c r="F143" s="8" t="s">
        <v>67</v>
      </c>
      <c r="G143" s="8" t="s">
        <v>68</v>
      </c>
      <c r="H143" s="19" t="s">
        <v>104</v>
      </c>
      <c r="I143" s="19" t="s">
        <v>504</v>
      </c>
      <c r="J143" s="19" t="s">
        <v>241</v>
      </c>
    </row>
    <row r="144" ht="18" customHeight="1" outlineLevel="2" spans="1:10">
      <c r="A144" s="18">
        <v>5</v>
      </c>
      <c r="B144" s="18">
        <v>5</v>
      </c>
      <c r="C144" s="19" t="s">
        <v>528</v>
      </c>
      <c r="D144" s="19" t="s">
        <v>527</v>
      </c>
      <c r="E144" s="19" t="s">
        <v>65</v>
      </c>
      <c r="F144" s="8" t="s">
        <v>67</v>
      </c>
      <c r="G144" s="8" t="s">
        <v>68</v>
      </c>
      <c r="H144" s="19" t="s">
        <v>104</v>
      </c>
      <c r="I144" s="19" t="s">
        <v>504</v>
      </c>
      <c r="J144" s="19" t="s">
        <v>244</v>
      </c>
    </row>
    <row r="145" ht="18" customHeight="1" outlineLevel="2" spans="1:10">
      <c r="A145" s="18">
        <v>5</v>
      </c>
      <c r="B145" s="18">
        <v>7</v>
      </c>
      <c r="C145" s="19" t="s">
        <v>530</v>
      </c>
      <c r="D145" s="19" t="s">
        <v>529</v>
      </c>
      <c r="E145" s="19" t="s">
        <v>65</v>
      </c>
      <c r="F145" s="8" t="s">
        <v>67</v>
      </c>
      <c r="G145" s="8" t="s">
        <v>68</v>
      </c>
      <c r="H145" s="19" t="s">
        <v>104</v>
      </c>
      <c r="I145" s="19" t="s">
        <v>504</v>
      </c>
      <c r="J145" s="19" t="s">
        <v>247</v>
      </c>
    </row>
    <row r="146" ht="18" customHeight="1" outlineLevel="2" spans="1:10">
      <c r="A146" s="18">
        <v>2</v>
      </c>
      <c r="B146" s="18">
        <v>18</v>
      </c>
      <c r="C146" s="19" t="s">
        <v>532</v>
      </c>
      <c r="D146" s="19" t="s">
        <v>531</v>
      </c>
      <c r="E146" s="19" t="s">
        <v>65</v>
      </c>
      <c r="F146" s="8" t="s">
        <v>67</v>
      </c>
      <c r="G146" s="8" t="s">
        <v>68</v>
      </c>
      <c r="H146" s="19" t="s">
        <v>104</v>
      </c>
      <c r="I146" s="19" t="s">
        <v>504</v>
      </c>
      <c r="J146" s="19" t="s">
        <v>250</v>
      </c>
    </row>
    <row r="147" ht="18" customHeight="1" outlineLevel="2" spans="1:10">
      <c r="A147" s="18">
        <v>4</v>
      </c>
      <c r="B147" s="18">
        <v>48</v>
      </c>
      <c r="C147" s="19" t="s">
        <v>534</v>
      </c>
      <c r="D147" s="19" t="s">
        <v>533</v>
      </c>
      <c r="E147" s="19" t="s">
        <v>65</v>
      </c>
      <c r="F147" s="8" t="s">
        <v>67</v>
      </c>
      <c r="G147" s="8" t="s">
        <v>68</v>
      </c>
      <c r="H147" s="19" t="s">
        <v>104</v>
      </c>
      <c r="I147" s="19" t="s">
        <v>504</v>
      </c>
      <c r="J147" s="19" t="s">
        <v>253</v>
      </c>
    </row>
    <row r="148" ht="18" customHeight="1" outlineLevel="2" spans="1:10">
      <c r="A148" s="18">
        <v>3</v>
      </c>
      <c r="B148" s="18">
        <v>39</v>
      </c>
      <c r="C148" s="19" t="s">
        <v>536</v>
      </c>
      <c r="D148" s="19" t="s">
        <v>535</v>
      </c>
      <c r="E148" s="19" t="s">
        <v>65</v>
      </c>
      <c r="F148" s="8" t="s">
        <v>67</v>
      </c>
      <c r="G148" s="8" t="s">
        <v>68</v>
      </c>
      <c r="H148" s="19" t="s">
        <v>104</v>
      </c>
      <c r="I148" s="19" t="s">
        <v>504</v>
      </c>
      <c r="J148" s="19" t="s">
        <v>256</v>
      </c>
    </row>
    <row r="149" ht="18" customHeight="1" outlineLevel="2" spans="1:10">
      <c r="A149" s="18">
        <v>7</v>
      </c>
      <c r="B149" s="18">
        <v>45</v>
      </c>
      <c r="C149" s="19" t="s">
        <v>538</v>
      </c>
      <c r="D149" s="19" t="s">
        <v>537</v>
      </c>
      <c r="E149" s="19" t="s">
        <v>65</v>
      </c>
      <c r="F149" s="8" t="s">
        <v>67</v>
      </c>
      <c r="G149" s="8" t="s">
        <v>68</v>
      </c>
      <c r="H149" s="19" t="s">
        <v>104</v>
      </c>
      <c r="I149" s="19" t="s">
        <v>504</v>
      </c>
      <c r="J149" s="19" t="s">
        <v>259</v>
      </c>
    </row>
    <row r="150" ht="18" customHeight="1" outlineLevel="2" spans="1:10">
      <c r="A150" s="18">
        <v>9</v>
      </c>
      <c r="B150" s="18">
        <v>27</v>
      </c>
      <c r="C150" s="19" t="s">
        <v>540</v>
      </c>
      <c r="D150" s="19" t="s">
        <v>539</v>
      </c>
      <c r="E150" s="19" t="s">
        <v>65</v>
      </c>
      <c r="F150" s="8" t="s">
        <v>67</v>
      </c>
      <c r="G150" s="8" t="s">
        <v>68</v>
      </c>
      <c r="H150" s="19" t="s">
        <v>104</v>
      </c>
      <c r="I150" s="19" t="s">
        <v>504</v>
      </c>
      <c r="J150" s="19" t="s">
        <v>262</v>
      </c>
    </row>
    <row r="151" ht="18" customHeight="1" outlineLevel="2" spans="1:10">
      <c r="A151" s="18">
        <v>9</v>
      </c>
      <c r="B151" s="18">
        <v>54</v>
      </c>
      <c r="C151" s="19" t="s">
        <v>542</v>
      </c>
      <c r="D151" s="19" t="s">
        <v>541</v>
      </c>
      <c r="E151" s="19" t="s">
        <v>65</v>
      </c>
      <c r="F151" s="8" t="s">
        <v>67</v>
      </c>
      <c r="G151" s="8" t="s">
        <v>68</v>
      </c>
      <c r="H151" s="19" t="s">
        <v>104</v>
      </c>
      <c r="I151" s="19" t="s">
        <v>504</v>
      </c>
      <c r="J151" s="19" t="s">
        <v>265</v>
      </c>
    </row>
    <row r="152" ht="18" customHeight="1" outlineLevel="2" spans="1:10">
      <c r="A152" s="18">
        <v>1</v>
      </c>
      <c r="B152" s="18">
        <v>23</v>
      </c>
      <c r="C152" s="19" t="s">
        <v>544</v>
      </c>
      <c r="D152" s="19" t="s">
        <v>543</v>
      </c>
      <c r="E152" s="19" t="s">
        <v>65</v>
      </c>
      <c r="F152" s="8" t="s">
        <v>67</v>
      </c>
      <c r="G152" s="8" t="s">
        <v>68</v>
      </c>
      <c r="H152" s="19" t="s">
        <v>104</v>
      </c>
      <c r="I152" s="19" t="s">
        <v>504</v>
      </c>
      <c r="J152" s="19" t="s">
        <v>268</v>
      </c>
    </row>
    <row r="153" ht="18" customHeight="1" outlineLevel="2" spans="1:10">
      <c r="A153" s="18">
        <v>7</v>
      </c>
      <c r="B153" s="18">
        <v>29</v>
      </c>
      <c r="C153" s="19" t="s">
        <v>546</v>
      </c>
      <c r="D153" s="19" t="s">
        <v>545</v>
      </c>
      <c r="E153" s="19" t="s">
        <v>65</v>
      </c>
      <c r="F153" s="8" t="s">
        <v>67</v>
      </c>
      <c r="G153" s="8" t="s">
        <v>68</v>
      </c>
      <c r="H153" s="19" t="s">
        <v>104</v>
      </c>
      <c r="I153" s="19" t="s">
        <v>504</v>
      </c>
      <c r="J153" s="19" t="s">
        <v>271</v>
      </c>
    </row>
    <row r="154" ht="18" customHeight="1" outlineLevel="2" spans="1:10">
      <c r="A154" s="18">
        <v>5</v>
      </c>
      <c r="B154" s="18">
        <v>43</v>
      </c>
      <c r="C154" s="19" t="s">
        <v>548</v>
      </c>
      <c r="D154" s="19" t="s">
        <v>547</v>
      </c>
      <c r="E154" s="19" t="s">
        <v>65</v>
      </c>
      <c r="F154" s="8" t="s">
        <v>67</v>
      </c>
      <c r="G154" s="8" t="s">
        <v>68</v>
      </c>
      <c r="H154" s="19" t="s">
        <v>104</v>
      </c>
      <c r="I154" s="19" t="s">
        <v>504</v>
      </c>
      <c r="J154" s="19" t="s">
        <v>274</v>
      </c>
    </row>
    <row r="155" ht="18" customHeight="1" outlineLevel="2" spans="1:10">
      <c r="A155" s="18">
        <v>8</v>
      </c>
      <c r="B155" s="18">
        <v>35</v>
      </c>
      <c r="C155" s="19" t="s">
        <v>550</v>
      </c>
      <c r="D155" s="19" t="s">
        <v>549</v>
      </c>
      <c r="E155" s="19" t="s">
        <v>65</v>
      </c>
      <c r="F155" s="8" t="s">
        <v>67</v>
      </c>
      <c r="G155" s="8" t="s">
        <v>68</v>
      </c>
      <c r="H155" s="19" t="s">
        <v>104</v>
      </c>
      <c r="I155" s="19" t="s">
        <v>504</v>
      </c>
      <c r="J155" s="19" t="s">
        <v>277</v>
      </c>
    </row>
    <row r="156" ht="18" customHeight="1" outlineLevel="2" spans="1:10">
      <c r="A156" s="18">
        <v>5</v>
      </c>
      <c r="B156" s="18">
        <v>53</v>
      </c>
      <c r="C156" s="19" t="s">
        <v>552</v>
      </c>
      <c r="D156" s="19" t="s">
        <v>551</v>
      </c>
      <c r="E156" s="19" t="s">
        <v>65</v>
      </c>
      <c r="F156" s="8" t="s">
        <v>67</v>
      </c>
      <c r="G156" s="8" t="s">
        <v>68</v>
      </c>
      <c r="H156" s="19" t="s">
        <v>104</v>
      </c>
      <c r="I156" s="19" t="s">
        <v>504</v>
      </c>
      <c r="J156" s="19" t="s">
        <v>280</v>
      </c>
    </row>
    <row r="157" ht="18" customHeight="1" outlineLevel="2" spans="1:10">
      <c r="A157" s="18">
        <v>5</v>
      </c>
      <c r="B157" s="18">
        <v>14</v>
      </c>
      <c r="C157" s="19" t="s">
        <v>554</v>
      </c>
      <c r="D157" s="19" t="s">
        <v>553</v>
      </c>
      <c r="E157" s="19" t="s">
        <v>65</v>
      </c>
      <c r="F157" s="8" t="s">
        <v>67</v>
      </c>
      <c r="G157" s="8" t="s">
        <v>68</v>
      </c>
      <c r="H157" s="19" t="s">
        <v>104</v>
      </c>
      <c r="I157" s="19" t="s">
        <v>504</v>
      </c>
      <c r="J157" s="19" t="s">
        <v>283</v>
      </c>
    </row>
    <row r="158" ht="18" customHeight="1" outlineLevel="2" spans="1:10">
      <c r="A158" s="18">
        <v>8</v>
      </c>
      <c r="B158" s="18">
        <v>52</v>
      </c>
      <c r="C158" s="19" t="s">
        <v>556</v>
      </c>
      <c r="D158" s="19" t="s">
        <v>555</v>
      </c>
      <c r="E158" s="19" t="s">
        <v>65</v>
      </c>
      <c r="F158" s="8" t="s">
        <v>67</v>
      </c>
      <c r="G158" s="8" t="s">
        <v>68</v>
      </c>
      <c r="H158" s="19" t="s">
        <v>104</v>
      </c>
      <c r="I158" s="19" t="s">
        <v>504</v>
      </c>
      <c r="J158" s="19" t="s">
        <v>286</v>
      </c>
    </row>
    <row r="159" ht="18" customHeight="1" outlineLevel="2" spans="1:10">
      <c r="A159" s="18">
        <v>5</v>
      </c>
      <c r="B159" s="18">
        <v>28</v>
      </c>
      <c r="C159" s="19" t="s">
        <v>558</v>
      </c>
      <c r="D159" s="19" t="s">
        <v>557</v>
      </c>
      <c r="E159" s="19" t="s">
        <v>65</v>
      </c>
      <c r="F159" s="8" t="s">
        <v>67</v>
      </c>
      <c r="G159" s="8" t="s">
        <v>68</v>
      </c>
      <c r="H159" s="19" t="s">
        <v>104</v>
      </c>
      <c r="I159" s="19" t="s">
        <v>504</v>
      </c>
      <c r="J159" s="19" t="s">
        <v>289</v>
      </c>
    </row>
    <row r="160" ht="18" customHeight="1" outlineLevel="2" spans="1:10">
      <c r="A160" s="18">
        <v>7</v>
      </c>
      <c r="B160" s="18">
        <v>20</v>
      </c>
      <c r="C160" s="19" t="s">
        <v>560</v>
      </c>
      <c r="D160" s="19" t="s">
        <v>559</v>
      </c>
      <c r="E160" s="19" t="s">
        <v>65</v>
      </c>
      <c r="F160" s="8" t="s">
        <v>67</v>
      </c>
      <c r="G160" s="8" t="s">
        <v>68</v>
      </c>
      <c r="H160" s="19" t="s">
        <v>104</v>
      </c>
      <c r="I160" s="19" t="s">
        <v>504</v>
      </c>
      <c r="J160" s="19" t="s">
        <v>292</v>
      </c>
    </row>
    <row r="161" ht="18" customHeight="1" outlineLevel="2" spans="1:10">
      <c r="A161" s="18">
        <v>3</v>
      </c>
      <c r="B161" s="18">
        <v>11</v>
      </c>
      <c r="C161" s="19" t="s">
        <v>562</v>
      </c>
      <c r="D161" s="19" t="s">
        <v>561</v>
      </c>
      <c r="E161" s="19" t="s">
        <v>65</v>
      </c>
      <c r="F161" s="8" t="s">
        <v>67</v>
      </c>
      <c r="G161" s="8" t="s">
        <v>68</v>
      </c>
      <c r="H161" s="19" t="s">
        <v>104</v>
      </c>
      <c r="I161" s="19" t="s">
        <v>504</v>
      </c>
      <c r="J161" s="19" t="s">
        <v>295</v>
      </c>
    </row>
    <row r="162" ht="18" customHeight="1" outlineLevel="2" spans="1:10">
      <c r="A162" s="18">
        <v>8</v>
      </c>
      <c r="B162" s="18">
        <v>43</v>
      </c>
      <c r="C162" s="19" t="s">
        <v>564</v>
      </c>
      <c r="D162" s="19" t="s">
        <v>563</v>
      </c>
      <c r="E162" s="19" t="s">
        <v>65</v>
      </c>
      <c r="F162" s="8" t="s">
        <v>67</v>
      </c>
      <c r="G162" s="8" t="s">
        <v>68</v>
      </c>
      <c r="H162" s="19" t="s">
        <v>104</v>
      </c>
      <c r="I162" s="19" t="s">
        <v>504</v>
      </c>
      <c r="J162" s="19" t="s">
        <v>298</v>
      </c>
    </row>
    <row r="163" ht="18" customHeight="1" outlineLevel="2" spans="1:10">
      <c r="A163" s="18">
        <v>8</v>
      </c>
      <c r="B163" s="18">
        <v>14</v>
      </c>
      <c r="C163" s="19" t="s">
        <v>566</v>
      </c>
      <c r="D163" s="19" t="s">
        <v>565</v>
      </c>
      <c r="E163" s="19" t="s">
        <v>65</v>
      </c>
      <c r="F163" s="8" t="s">
        <v>67</v>
      </c>
      <c r="G163" s="8" t="s">
        <v>68</v>
      </c>
      <c r="H163" s="19" t="s">
        <v>104</v>
      </c>
      <c r="I163" s="19" t="s">
        <v>504</v>
      </c>
      <c r="J163" s="19" t="s">
        <v>301</v>
      </c>
    </row>
    <row r="164" ht="18" customHeight="1" outlineLevel="2" spans="1:10">
      <c r="A164" s="18">
        <v>4</v>
      </c>
      <c r="B164" s="18">
        <v>30</v>
      </c>
      <c r="C164" s="19" t="s">
        <v>568</v>
      </c>
      <c r="D164" s="19" t="s">
        <v>567</v>
      </c>
      <c r="E164" s="19" t="s">
        <v>65</v>
      </c>
      <c r="F164" s="8" t="s">
        <v>67</v>
      </c>
      <c r="G164" s="8" t="s">
        <v>68</v>
      </c>
      <c r="H164" s="19" t="s">
        <v>104</v>
      </c>
      <c r="I164" s="19" t="s">
        <v>504</v>
      </c>
      <c r="J164" s="19" t="s">
        <v>304</v>
      </c>
    </row>
    <row r="165" ht="18" customHeight="1" outlineLevel="2" spans="1:10">
      <c r="A165" s="18">
        <v>7</v>
      </c>
      <c r="B165" s="18">
        <v>34</v>
      </c>
      <c r="C165" s="19" t="s">
        <v>570</v>
      </c>
      <c r="D165" s="19" t="s">
        <v>569</v>
      </c>
      <c r="E165" s="19" t="s">
        <v>65</v>
      </c>
      <c r="F165" s="8" t="s">
        <v>67</v>
      </c>
      <c r="G165" s="8" t="s">
        <v>68</v>
      </c>
      <c r="H165" s="19" t="s">
        <v>104</v>
      </c>
      <c r="I165" s="19" t="s">
        <v>504</v>
      </c>
      <c r="J165" s="19" t="s">
        <v>307</v>
      </c>
    </row>
    <row r="166" ht="18" customHeight="1" outlineLevel="2" spans="1:10">
      <c r="A166" s="18">
        <v>8</v>
      </c>
      <c r="B166" s="18">
        <v>36</v>
      </c>
      <c r="C166" s="19" t="s">
        <v>572</v>
      </c>
      <c r="D166" s="19" t="s">
        <v>571</v>
      </c>
      <c r="E166" s="19" t="s">
        <v>65</v>
      </c>
      <c r="F166" s="8" t="s">
        <v>67</v>
      </c>
      <c r="G166" s="8" t="s">
        <v>68</v>
      </c>
      <c r="H166" s="19" t="s">
        <v>104</v>
      </c>
      <c r="I166" s="19" t="s">
        <v>504</v>
      </c>
      <c r="J166" s="19" t="s">
        <v>310</v>
      </c>
    </row>
    <row r="167" ht="18" customHeight="1" outlineLevel="2" spans="1:10">
      <c r="A167" s="18">
        <v>8</v>
      </c>
      <c r="B167" s="18">
        <v>19</v>
      </c>
      <c r="C167" s="19" t="s">
        <v>574</v>
      </c>
      <c r="D167" s="19" t="s">
        <v>573</v>
      </c>
      <c r="E167" s="19" t="s">
        <v>65</v>
      </c>
      <c r="F167" s="8" t="s">
        <v>67</v>
      </c>
      <c r="G167" s="8" t="s">
        <v>68</v>
      </c>
      <c r="H167" s="19" t="s">
        <v>104</v>
      </c>
      <c r="I167" s="19" t="s">
        <v>504</v>
      </c>
      <c r="J167" s="19" t="s">
        <v>313</v>
      </c>
    </row>
    <row r="168" ht="18" customHeight="1" outlineLevel="2" spans="1:10">
      <c r="A168" s="18">
        <v>4</v>
      </c>
      <c r="B168" s="18">
        <v>40</v>
      </c>
      <c r="C168" s="19" t="s">
        <v>576</v>
      </c>
      <c r="D168" s="19" t="s">
        <v>575</v>
      </c>
      <c r="E168" s="19" t="s">
        <v>65</v>
      </c>
      <c r="F168" s="8" t="s">
        <v>67</v>
      </c>
      <c r="G168" s="8" t="s">
        <v>68</v>
      </c>
      <c r="H168" s="19" t="s">
        <v>104</v>
      </c>
      <c r="I168" s="19" t="s">
        <v>504</v>
      </c>
      <c r="J168" s="19" t="s">
        <v>316</v>
      </c>
    </row>
    <row r="169" ht="18" customHeight="1" outlineLevel="2" spans="1:10">
      <c r="A169" s="18">
        <v>1</v>
      </c>
      <c r="B169" s="18">
        <v>30</v>
      </c>
      <c r="C169" s="19" t="s">
        <v>578</v>
      </c>
      <c r="D169" s="19" t="s">
        <v>577</v>
      </c>
      <c r="E169" s="19" t="s">
        <v>65</v>
      </c>
      <c r="F169" s="8" t="s">
        <v>67</v>
      </c>
      <c r="G169" s="8" t="s">
        <v>68</v>
      </c>
      <c r="H169" s="19" t="s">
        <v>104</v>
      </c>
      <c r="I169" s="19" t="s">
        <v>504</v>
      </c>
      <c r="J169" s="19" t="s">
        <v>319</v>
      </c>
    </row>
    <row r="170" ht="18" customHeight="1" outlineLevel="2" spans="1:10">
      <c r="A170" s="18">
        <v>8</v>
      </c>
      <c r="B170" s="18">
        <v>41</v>
      </c>
      <c r="C170" s="19" t="s">
        <v>580</v>
      </c>
      <c r="D170" s="19" t="s">
        <v>579</v>
      </c>
      <c r="E170" s="19" t="s">
        <v>65</v>
      </c>
      <c r="F170" s="8" t="s">
        <v>67</v>
      </c>
      <c r="G170" s="8" t="s">
        <v>68</v>
      </c>
      <c r="H170" s="19" t="s">
        <v>104</v>
      </c>
      <c r="I170" s="19" t="s">
        <v>504</v>
      </c>
      <c r="J170" s="19" t="s">
        <v>322</v>
      </c>
    </row>
    <row r="171" ht="18" customHeight="1" outlineLevel="2" spans="1:10">
      <c r="A171" s="18">
        <v>3</v>
      </c>
      <c r="B171" s="18">
        <v>9</v>
      </c>
      <c r="C171" s="19" t="s">
        <v>582</v>
      </c>
      <c r="D171" s="19" t="s">
        <v>581</v>
      </c>
      <c r="E171" s="19" t="s">
        <v>65</v>
      </c>
      <c r="F171" s="8" t="s">
        <v>67</v>
      </c>
      <c r="G171" s="8" t="s">
        <v>68</v>
      </c>
      <c r="H171" s="19" t="s">
        <v>104</v>
      </c>
      <c r="I171" s="19" t="s">
        <v>504</v>
      </c>
      <c r="J171" s="19" t="s">
        <v>325</v>
      </c>
    </row>
    <row r="172" ht="18" customHeight="1" outlineLevel="2" spans="1:10">
      <c r="A172" s="18">
        <v>9</v>
      </c>
      <c r="B172" s="18">
        <v>19</v>
      </c>
      <c r="C172" s="19" t="s">
        <v>584</v>
      </c>
      <c r="D172" s="19" t="s">
        <v>583</v>
      </c>
      <c r="E172" s="19" t="s">
        <v>65</v>
      </c>
      <c r="F172" s="8" t="s">
        <v>67</v>
      </c>
      <c r="G172" s="8" t="s">
        <v>68</v>
      </c>
      <c r="H172" s="19" t="s">
        <v>104</v>
      </c>
      <c r="I172" s="19" t="s">
        <v>504</v>
      </c>
      <c r="J172" s="19" t="s">
        <v>328</v>
      </c>
    </row>
    <row r="173" ht="18" customHeight="1" outlineLevel="2" spans="1:10">
      <c r="A173" s="18">
        <v>3</v>
      </c>
      <c r="B173" s="18">
        <v>34</v>
      </c>
      <c r="C173" s="19" t="s">
        <v>586</v>
      </c>
      <c r="D173" s="19" t="s">
        <v>585</v>
      </c>
      <c r="E173" s="19" t="s">
        <v>65</v>
      </c>
      <c r="F173" s="8" t="s">
        <v>67</v>
      </c>
      <c r="G173" s="8" t="s">
        <v>68</v>
      </c>
      <c r="H173" s="19" t="s">
        <v>104</v>
      </c>
      <c r="I173" s="19" t="s">
        <v>504</v>
      </c>
      <c r="J173" s="19" t="s">
        <v>331</v>
      </c>
    </row>
    <row r="174" ht="18" customHeight="1" outlineLevel="1" spans="1:10">
      <c r="A174" s="18"/>
      <c r="B174" s="18"/>
      <c r="C174" s="19">
        <f>SUBTOTAL(3,C132:C173)</f>
        <v>42</v>
      </c>
      <c r="D174" s="19"/>
      <c r="E174" s="19"/>
      <c r="F174" s="8"/>
      <c r="G174" s="8"/>
      <c r="H174" s="20" t="s">
        <v>1932</v>
      </c>
      <c r="I174" s="19"/>
      <c r="J174" s="19"/>
    </row>
    <row r="175" ht="18" customHeight="1" outlineLevel="2" spans="1:10">
      <c r="A175" s="18">
        <v>3</v>
      </c>
      <c r="B175" s="18">
        <v>10</v>
      </c>
      <c r="C175" s="19" t="s">
        <v>588</v>
      </c>
      <c r="D175" s="19" t="s">
        <v>587</v>
      </c>
      <c r="E175" s="19" t="s">
        <v>65</v>
      </c>
      <c r="F175" s="8" t="s">
        <v>67</v>
      </c>
      <c r="G175" s="8" t="s">
        <v>68</v>
      </c>
      <c r="H175" s="19" t="s">
        <v>110</v>
      </c>
      <c r="I175" s="19" t="s">
        <v>589</v>
      </c>
      <c r="J175" s="19" t="s">
        <v>207</v>
      </c>
    </row>
    <row r="176" ht="18" customHeight="1" outlineLevel="2" spans="1:10">
      <c r="A176" s="18">
        <v>7</v>
      </c>
      <c r="B176" s="18">
        <v>23</v>
      </c>
      <c r="C176" s="19" t="s">
        <v>591</v>
      </c>
      <c r="D176" s="19" t="s">
        <v>590</v>
      </c>
      <c r="E176" s="19" t="s">
        <v>65</v>
      </c>
      <c r="F176" s="8" t="s">
        <v>67</v>
      </c>
      <c r="G176" s="8" t="s">
        <v>68</v>
      </c>
      <c r="H176" s="19" t="s">
        <v>110</v>
      </c>
      <c r="I176" s="19" t="s">
        <v>589</v>
      </c>
      <c r="J176" s="19" t="s">
        <v>210</v>
      </c>
    </row>
    <row r="177" ht="18" customHeight="1" outlineLevel="2" spans="1:10">
      <c r="A177" s="18">
        <v>1</v>
      </c>
      <c r="B177" s="18">
        <v>20</v>
      </c>
      <c r="C177" s="19" t="s">
        <v>593</v>
      </c>
      <c r="D177" s="19" t="s">
        <v>592</v>
      </c>
      <c r="E177" s="19" t="s">
        <v>65</v>
      </c>
      <c r="F177" s="8" t="s">
        <v>67</v>
      </c>
      <c r="G177" s="8" t="s">
        <v>68</v>
      </c>
      <c r="H177" s="19" t="s">
        <v>110</v>
      </c>
      <c r="I177" s="19" t="s">
        <v>589</v>
      </c>
      <c r="J177" s="19" t="s">
        <v>214</v>
      </c>
    </row>
    <row r="178" ht="18" customHeight="1" outlineLevel="2" spans="1:10">
      <c r="A178" s="18">
        <v>3</v>
      </c>
      <c r="B178" s="18">
        <v>45</v>
      </c>
      <c r="C178" s="19" t="s">
        <v>595</v>
      </c>
      <c r="D178" s="19" t="s">
        <v>594</v>
      </c>
      <c r="E178" s="19" t="s">
        <v>65</v>
      </c>
      <c r="F178" s="8" t="s">
        <v>67</v>
      </c>
      <c r="G178" s="8" t="s">
        <v>68</v>
      </c>
      <c r="H178" s="19" t="s">
        <v>110</v>
      </c>
      <c r="I178" s="19" t="s">
        <v>589</v>
      </c>
      <c r="J178" s="19" t="s">
        <v>217</v>
      </c>
    </row>
    <row r="179" ht="18" customHeight="1" outlineLevel="2" spans="1:10">
      <c r="A179" s="18">
        <v>4</v>
      </c>
      <c r="B179" s="18">
        <v>42</v>
      </c>
      <c r="C179" s="19" t="s">
        <v>597</v>
      </c>
      <c r="D179" s="19" t="s">
        <v>596</v>
      </c>
      <c r="E179" s="19" t="s">
        <v>65</v>
      </c>
      <c r="F179" s="8" t="s">
        <v>67</v>
      </c>
      <c r="G179" s="8" t="s">
        <v>68</v>
      </c>
      <c r="H179" s="19" t="s">
        <v>110</v>
      </c>
      <c r="I179" s="19" t="s">
        <v>589</v>
      </c>
      <c r="J179" s="19" t="s">
        <v>220</v>
      </c>
    </row>
    <row r="180" ht="18" customHeight="1" outlineLevel="2" spans="1:10">
      <c r="A180" s="18">
        <v>7</v>
      </c>
      <c r="B180" s="18">
        <v>46</v>
      </c>
      <c r="C180" s="19" t="s">
        <v>599</v>
      </c>
      <c r="D180" s="19" t="s">
        <v>598</v>
      </c>
      <c r="E180" s="19" t="s">
        <v>65</v>
      </c>
      <c r="F180" s="8" t="s">
        <v>67</v>
      </c>
      <c r="G180" s="8" t="s">
        <v>68</v>
      </c>
      <c r="H180" s="19" t="s">
        <v>110</v>
      </c>
      <c r="I180" s="19" t="s">
        <v>589</v>
      </c>
      <c r="J180" s="19" t="s">
        <v>223</v>
      </c>
    </row>
    <row r="181" ht="18" customHeight="1" outlineLevel="2" spans="1:10">
      <c r="A181" s="18">
        <v>8</v>
      </c>
      <c r="B181" s="18">
        <v>10</v>
      </c>
      <c r="C181" s="19" t="s">
        <v>601</v>
      </c>
      <c r="D181" s="19" t="s">
        <v>600</v>
      </c>
      <c r="E181" s="19" t="s">
        <v>65</v>
      </c>
      <c r="F181" s="8" t="s">
        <v>67</v>
      </c>
      <c r="G181" s="8" t="s">
        <v>68</v>
      </c>
      <c r="H181" s="19" t="s">
        <v>110</v>
      </c>
      <c r="I181" s="19" t="s">
        <v>589</v>
      </c>
      <c r="J181" s="19" t="s">
        <v>226</v>
      </c>
    </row>
    <row r="182" ht="18" customHeight="1" outlineLevel="2" spans="1:10">
      <c r="A182" s="18">
        <v>4</v>
      </c>
      <c r="B182" s="18">
        <v>47</v>
      </c>
      <c r="C182" s="19" t="s">
        <v>603</v>
      </c>
      <c r="D182" s="19" t="s">
        <v>602</v>
      </c>
      <c r="E182" s="19" t="s">
        <v>65</v>
      </c>
      <c r="F182" s="8" t="s">
        <v>67</v>
      </c>
      <c r="G182" s="8" t="s">
        <v>68</v>
      </c>
      <c r="H182" s="19" t="s">
        <v>110</v>
      </c>
      <c r="I182" s="19" t="s">
        <v>589</v>
      </c>
      <c r="J182" s="19" t="s">
        <v>229</v>
      </c>
    </row>
    <row r="183" ht="18" customHeight="1" outlineLevel="2" spans="1:10">
      <c r="A183" s="18">
        <v>5</v>
      </c>
      <c r="B183" s="18">
        <v>52</v>
      </c>
      <c r="C183" s="19" t="s">
        <v>605</v>
      </c>
      <c r="D183" s="19" t="s">
        <v>604</v>
      </c>
      <c r="E183" s="19" t="s">
        <v>65</v>
      </c>
      <c r="F183" s="8" t="s">
        <v>67</v>
      </c>
      <c r="G183" s="8" t="s">
        <v>68</v>
      </c>
      <c r="H183" s="19" t="s">
        <v>110</v>
      </c>
      <c r="I183" s="19" t="s">
        <v>589</v>
      </c>
      <c r="J183" s="19" t="s">
        <v>232</v>
      </c>
    </row>
    <row r="184" ht="18" customHeight="1" outlineLevel="2" spans="1:10">
      <c r="A184" s="18">
        <v>1</v>
      </c>
      <c r="B184" s="18">
        <v>49</v>
      </c>
      <c r="C184" s="19" t="s">
        <v>607</v>
      </c>
      <c r="D184" s="19" t="s">
        <v>606</v>
      </c>
      <c r="E184" s="19" t="s">
        <v>65</v>
      </c>
      <c r="F184" s="8" t="s">
        <v>67</v>
      </c>
      <c r="G184" s="8" t="s">
        <v>68</v>
      </c>
      <c r="H184" s="19" t="s">
        <v>110</v>
      </c>
      <c r="I184" s="19" t="s">
        <v>589</v>
      </c>
      <c r="J184" s="19" t="s">
        <v>235</v>
      </c>
    </row>
    <row r="185" ht="18" customHeight="1" outlineLevel="2" spans="1:10">
      <c r="A185" s="18">
        <v>4</v>
      </c>
      <c r="B185" s="18">
        <v>37</v>
      </c>
      <c r="C185" s="19" t="s">
        <v>609</v>
      </c>
      <c r="D185" s="19" t="s">
        <v>608</v>
      </c>
      <c r="E185" s="19" t="s">
        <v>65</v>
      </c>
      <c r="F185" s="8" t="s">
        <v>67</v>
      </c>
      <c r="G185" s="8" t="s">
        <v>68</v>
      </c>
      <c r="H185" s="19" t="s">
        <v>110</v>
      </c>
      <c r="I185" s="19" t="s">
        <v>589</v>
      </c>
      <c r="J185" s="19" t="s">
        <v>238</v>
      </c>
    </row>
    <row r="186" ht="18" customHeight="1" outlineLevel="2" spans="1:10">
      <c r="A186" s="18">
        <v>5</v>
      </c>
      <c r="B186" s="18">
        <v>33</v>
      </c>
      <c r="C186" s="19" t="s">
        <v>611</v>
      </c>
      <c r="D186" s="19" t="s">
        <v>610</v>
      </c>
      <c r="E186" s="19" t="s">
        <v>65</v>
      </c>
      <c r="F186" s="8" t="s">
        <v>67</v>
      </c>
      <c r="G186" s="8" t="s">
        <v>68</v>
      </c>
      <c r="H186" s="19" t="s">
        <v>110</v>
      </c>
      <c r="I186" s="19" t="s">
        <v>589</v>
      </c>
      <c r="J186" s="19" t="s">
        <v>241</v>
      </c>
    </row>
    <row r="187" ht="18" customHeight="1" outlineLevel="2" spans="1:10">
      <c r="A187" s="18">
        <v>8</v>
      </c>
      <c r="B187" s="18">
        <v>21</v>
      </c>
      <c r="C187" s="19" t="s">
        <v>613</v>
      </c>
      <c r="D187" s="19" t="s">
        <v>612</v>
      </c>
      <c r="E187" s="19" t="s">
        <v>65</v>
      </c>
      <c r="F187" s="8" t="s">
        <v>67</v>
      </c>
      <c r="G187" s="8" t="s">
        <v>68</v>
      </c>
      <c r="H187" s="19" t="s">
        <v>110</v>
      </c>
      <c r="I187" s="19" t="s">
        <v>589</v>
      </c>
      <c r="J187" s="19" t="s">
        <v>244</v>
      </c>
    </row>
    <row r="188" ht="18" customHeight="1" outlineLevel="2" spans="1:10">
      <c r="A188" s="18">
        <v>5</v>
      </c>
      <c r="B188" s="18">
        <v>13</v>
      </c>
      <c r="C188" s="19" t="s">
        <v>615</v>
      </c>
      <c r="D188" s="19" t="s">
        <v>614</v>
      </c>
      <c r="E188" s="19" t="s">
        <v>65</v>
      </c>
      <c r="F188" s="8" t="s">
        <v>67</v>
      </c>
      <c r="G188" s="8" t="s">
        <v>68</v>
      </c>
      <c r="H188" s="19" t="s">
        <v>110</v>
      </c>
      <c r="I188" s="19" t="s">
        <v>589</v>
      </c>
      <c r="J188" s="19" t="s">
        <v>247</v>
      </c>
    </row>
    <row r="189" ht="18" customHeight="1" outlineLevel="2" spans="1:10">
      <c r="A189" s="18">
        <v>9</v>
      </c>
      <c r="B189" s="18">
        <v>1</v>
      </c>
      <c r="C189" s="19" t="s">
        <v>617</v>
      </c>
      <c r="D189" s="19" t="s">
        <v>616</v>
      </c>
      <c r="E189" s="19" t="s">
        <v>65</v>
      </c>
      <c r="F189" s="8" t="s">
        <v>67</v>
      </c>
      <c r="G189" s="8" t="s">
        <v>68</v>
      </c>
      <c r="H189" s="19" t="s">
        <v>110</v>
      </c>
      <c r="I189" s="19" t="s">
        <v>589</v>
      </c>
      <c r="J189" s="19" t="s">
        <v>250</v>
      </c>
    </row>
    <row r="190" ht="18" customHeight="1" outlineLevel="2" spans="1:10">
      <c r="A190" s="18">
        <v>5</v>
      </c>
      <c r="B190" s="18">
        <v>22</v>
      </c>
      <c r="C190" s="19" t="s">
        <v>619</v>
      </c>
      <c r="D190" s="19" t="s">
        <v>618</v>
      </c>
      <c r="E190" s="19" t="s">
        <v>65</v>
      </c>
      <c r="F190" s="8" t="s">
        <v>67</v>
      </c>
      <c r="G190" s="8" t="s">
        <v>68</v>
      </c>
      <c r="H190" s="19" t="s">
        <v>110</v>
      </c>
      <c r="I190" s="19" t="s">
        <v>589</v>
      </c>
      <c r="J190" s="19" t="s">
        <v>253</v>
      </c>
    </row>
    <row r="191" ht="18" customHeight="1" outlineLevel="2" spans="1:10">
      <c r="A191" s="18">
        <v>9</v>
      </c>
      <c r="B191" s="18">
        <v>3</v>
      </c>
      <c r="C191" s="19" t="s">
        <v>621</v>
      </c>
      <c r="D191" s="19" t="s">
        <v>620</v>
      </c>
      <c r="E191" s="19" t="s">
        <v>65</v>
      </c>
      <c r="F191" s="8" t="s">
        <v>67</v>
      </c>
      <c r="G191" s="8" t="s">
        <v>68</v>
      </c>
      <c r="H191" s="19" t="s">
        <v>110</v>
      </c>
      <c r="I191" s="19" t="s">
        <v>589</v>
      </c>
      <c r="J191" s="19" t="s">
        <v>256</v>
      </c>
    </row>
    <row r="192" ht="18" customHeight="1" outlineLevel="2" spans="1:10">
      <c r="A192" s="18">
        <v>2</v>
      </c>
      <c r="B192" s="18">
        <v>34</v>
      </c>
      <c r="C192" s="19" t="s">
        <v>623</v>
      </c>
      <c r="D192" s="19" t="s">
        <v>622</v>
      </c>
      <c r="E192" s="19" t="s">
        <v>65</v>
      </c>
      <c r="F192" s="8" t="s">
        <v>67</v>
      </c>
      <c r="G192" s="8" t="s">
        <v>68</v>
      </c>
      <c r="H192" s="19" t="s">
        <v>110</v>
      </c>
      <c r="I192" s="19" t="s">
        <v>589</v>
      </c>
      <c r="J192" s="19" t="s">
        <v>259</v>
      </c>
    </row>
    <row r="193" ht="18" customHeight="1" outlineLevel="2" spans="1:10">
      <c r="A193" s="18">
        <v>3</v>
      </c>
      <c r="B193" s="18">
        <v>47</v>
      </c>
      <c r="C193" s="19" t="s">
        <v>625</v>
      </c>
      <c r="D193" s="19" t="s">
        <v>624</v>
      </c>
      <c r="E193" s="19" t="s">
        <v>65</v>
      </c>
      <c r="F193" s="8" t="s">
        <v>67</v>
      </c>
      <c r="G193" s="8" t="s">
        <v>68</v>
      </c>
      <c r="H193" s="19" t="s">
        <v>110</v>
      </c>
      <c r="I193" s="19" t="s">
        <v>589</v>
      </c>
      <c r="J193" s="19" t="s">
        <v>262</v>
      </c>
    </row>
    <row r="194" ht="18" customHeight="1" outlineLevel="2" spans="1:10">
      <c r="A194" s="18">
        <v>5</v>
      </c>
      <c r="B194" s="18">
        <v>39</v>
      </c>
      <c r="C194" s="19" t="s">
        <v>627</v>
      </c>
      <c r="D194" s="19" t="s">
        <v>626</v>
      </c>
      <c r="E194" s="19" t="s">
        <v>65</v>
      </c>
      <c r="F194" s="8" t="s">
        <v>67</v>
      </c>
      <c r="G194" s="8" t="s">
        <v>68</v>
      </c>
      <c r="H194" s="19" t="s">
        <v>110</v>
      </c>
      <c r="I194" s="19" t="s">
        <v>589</v>
      </c>
      <c r="J194" s="19" t="s">
        <v>265</v>
      </c>
    </row>
    <row r="195" ht="18" customHeight="1" outlineLevel="2" spans="1:10">
      <c r="A195" s="18">
        <v>6</v>
      </c>
      <c r="B195" s="18">
        <v>6</v>
      </c>
      <c r="C195" s="19" t="s">
        <v>629</v>
      </c>
      <c r="D195" s="19" t="s">
        <v>628</v>
      </c>
      <c r="E195" s="19" t="s">
        <v>65</v>
      </c>
      <c r="F195" s="8" t="s">
        <v>67</v>
      </c>
      <c r="G195" s="8" t="s">
        <v>68</v>
      </c>
      <c r="H195" s="19" t="s">
        <v>110</v>
      </c>
      <c r="I195" s="19" t="s">
        <v>589</v>
      </c>
      <c r="J195" s="19" t="s">
        <v>268</v>
      </c>
    </row>
    <row r="196" ht="18" customHeight="1" outlineLevel="2" spans="1:10">
      <c r="A196" s="18">
        <v>8</v>
      </c>
      <c r="B196" s="18">
        <v>11</v>
      </c>
      <c r="C196" s="19" t="s">
        <v>631</v>
      </c>
      <c r="D196" s="19" t="s">
        <v>630</v>
      </c>
      <c r="E196" s="19" t="s">
        <v>65</v>
      </c>
      <c r="F196" s="8" t="s">
        <v>67</v>
      </c>
      <c r="G196" s="8" t="s">
        <v>68</v>
      </c>
      <c r="H196" s="19" t="s">
        <v>110</v>
      </c>
      <c r="I196" s="19" t="s">
        <v>589</v>
      </c>
      <c r="J196" s="19" t="s">
        <v>271</v>
      </c>
    </row>
    <row r="197" ht="18" customHeight="1" outlineLevel="2" spans="1:10">
      <c r="A197" s="18">
        <v>5</v>
      </c>
      <c r="B197" s="18">
        <v>1</v>
      </c>
      <c r="C197" s="19" t="s">
        <v>633</v>
      </c>
      <c r="D197" s="19" t="s">
        <v>632</v>
      </c>
      <c r="E197" s="19" t="s">
        <v>65</v>
      </c>
      <c r="F197" s="8" t="s">
        <v>67</v>
      </c>
      <c r="G197" s="8" t="s">
        <v>68</v>
      </c>
      <c r="H197" s="19" t="s">
        <v>110</v>
      </c>
      <c r="I197" s="19" t="s">
        <v>589</v>
      </c>
      <c r="J197" s="19" t="s">
        <v>274</v>
      </c>
    </row>
    <row r="198" ht="18" customHeight="1" outlineLevel="2" spans="1:10">
      <c r="A198" s="18">
        <v>7</v>
      </c>
      <c r="B198" s="18">
        <v>32</v>
      </c>
      <c r="C198" s="19" t="s">
        <v>635</v>
      </c>
      <c r="D198" s="19" t="s">
        <v>634</v>
      </c>
      <c r="E198" s="19" t="s">
        <v>65</v>
      </c>
      <c r="F198" s="8" t="s">
        <v>67</v>
      </c>
      <c r="G198" s="8" t="s">
        <v>68</v>
      </c>
      <c r="H198" s="19" t="s">
        <v>110</v>
      </c>
      <c r="I198" s="19" t="s">
        <v>589</v>
      </c>
      <c r="J198" s="19" t="s">
        <v>277</v>
      </c>
    </row>
    <row r="199" ht="18" customHeight="1" outlineLevel="2" spans="1:10">
      <c r="A199" s="18">
        <v>9</v>
      </c>
      <c r="B199" s="18">
        <v>46</v>
      </c>
      <c r="C199" s="19" t="s">
        <v>637</v>
      </c>
      <c r="D199" s="19" t="s">
        <v>636</v>
      </c>
      <c r="E199" s="19" t="s">
        <v>65</v>
      </c>
      <c r="F199" s="8" t="s">
        <v>67</v>
      </c>
      <c r="G199" s="8" t="s">
        <v>68</v>
      </c>
      <c r="H199" s="19" t="s">
        <v>110</v>
      </c>
      <c r="I199" s="19" t="s">
        <v>589</v>
      </c>
      <c r="J199" s="19" t="s">
        <v>280</v>
      </c>
    </row>
    <row r="200" ht="18" customHeight="1" outlineLevel="2" spans="1:10">
      <c r="A200" s="18">
        <v>1</v>
      </c>
      <c r="B200" s="18">
        <v>6</v>
      </c>
      <c r="C200" s="19" t="s">
        <v>639</v>
      </c>
      <c r="D200" s="19" t="s">
        <v>638</v>
      </c>
      <c r="E200" s="19" t="s">
        <v>65</v>
      </c>
      <c r="F200" s="8" t="s">
        <v>67</v>
      </c>
      <c r="G200" s="8" t="s">
        <v>68</v>
      </c>
      <c r="H200" s="19" t="s">
        <v>110</v>
      </c>
      <c r="I200" s="19" t="s">
        <v>589</v>
      </c>
      <c r="J200" s="19" t="s">
        <v>283</v>
      </c>
    </row>
    <row r="201" ht="18" customHeight="1" outlineLevel="2" spans="1:10">
      <c r="A201" s="18">
        <v>2</v>
      </c>
      <c r="B201" s="18">
        <v>52</v>
      </c>
      <c r="C201" s="19" t="s">
        <v>641</v>
      </c>
      <c r="D201" s="19" t="s">
        <v>640</v>
      </c>
      <c r="E201" s="19" t="s">
        <v>65</v>
      </c>
      <c r="F201" s="8" t="s">
        <v>67</v>
      </c>
      <c r="G201" s="8" t="s">
        <v>68</v>
      </c>
      <c r="H201" s="19" t="s">
        <v>110</v>
      </c>
      <c r="I201" s="19" t="s">
        <v>589</v>
      </c>
      <c r="J201" s="19" t="s">
        <v>286</v>
      </c>
    </row>
    <row r="202" ht="18" customHeight="1" outlineLevel="2" spans="1:10">
      <c r="A202" s="18">
        <v>9</v>
      </c>
      <c r="B202" s="18">
        <v>6</v>
      </c>
      <c r="C202" s="19" t="s">
        <v>643</v>
      </c>
      <c r="D202" s="19" t="s">
        <v>642</v>
      </c>
      <c r="E202" s="19" t="s">
        <v>65</v>
      </c>
      <c r="F202" s="8" t="s">
        <v>67</v>
      </c>
      <c r="G202" s="8" t="s">
        <v>68</v>
      </c>
      <c r="H202" s="19" t="s">
        <v>110</v>
      </c>
      <c r="I202" s="19" t="s">
        <v>589</v>
      </c>
      <c r="J202" s="19" t="s">
        <v>289</v>
      </c>
    </row>
    <row r="203" ht="18" customHeight="1" outlineLevel="2" spans="1:10">
      <c r="A203" s="18">
        <v>9</v>
      </c>
      <c r="B203" s="18">
        <v>29</v>
      </c>
      <c r="C203" s="19" t="s">
        <v>645</v>
      </c>
      <c r="D203" s="19" t="s">
        <v>644</v>
      </c>
      <c r="E203" s="19" t="s">
        <v>65</v>
      </c>
      <c r="F203" s="8" t="s">
        <v>67</v>
      </c>
      <c r="G203" s="8" t="s">
        <v>68</v>
      </c>
      <c r="H203" s="19" t="s">
        <v>110</v>
      </c>
      <c r="I203" s="19" t="s">
        <v>589</v>
      </c>
      <c r="J203" s="19" t="s">
        <v>292</v>
      </c>
    </row>
    <row r="204" ht="18" customHeight="1" outlineLevel="2" spans="1:10">
      <c r="A204" s="18">
        <v>4</v>
      </c>
      <c r="B204" s="18">
        <v>12</v>
      </c>
      <c r="C204" s="19" t="s">
        <v>647</v>
      </c>
      <c r="D204" s="19" t="s">
        <v>646</v>
      </c>
      <c r="E204" s="19" t="s">
        <v>65</v>
      </c>
      <c r="F204" s="8" t="s">
        <v>67</v>
      </c>
      <c r="G204" s="8" t="s">
        <v>68</v>
      </c>
      <c r="H204" s="19" t="s">
        <v>110</v>
      </c>
      <c r="I204" s="19" t="s">
        <v>589</v>
      </c>
      <c r="J204" s="19" t="s">
        <v>295</v>
      </c>
    </row>
    <row r="205" ht="18" customHeight="1" outlineLevel="2" spans="1:10">
      <c r="A205" s="18">
        <v>7</v>
      </c>
      <c r="B205" s="18">
        <v>9</v>
      </c>
      <c r="C205" s="19" t="s">
        <v>649</v>
      </c>
      <c r="D205" s="19" t="s">
        <v>648</v>
      </c>
      <c r="E205" s="19" t="s">
        <v>65</v>
      </c>
      <c r="F205" s="8" t="s">
        <v>67</v>
      </c>
      <c r="G205" s="8" t="s">
        <v>68</v>
      </c>
      <c r="H205" s="19" t="s">
        <v>110</v>
      </c>
      <c r="I205" s="19" t="s">
        <v>589</v>
      </c>
      <c r="J205" s="19" t="s">
        <v>298</v>
      </c>
    </row>
    <row r="206" ht="18" customHeight="1" outlineLevel="2" spans="1:10">
      <c r="A206" s="18">
        <v>4</v>
      </c>
      <c r="B206" s="18">
        <v>51</v>
      </c>
      <c r="C206" s="19" t="s">
        <v>651</v>
      </c>
      <c r="D206" s="19" t="s">
        <v>650</v>
      </c>
      <c r="E206" s="19" t="s">
        <v>65</v>
      </c>
      <c r="F206" s="8" t="s">
        <v>67</v>
      </c>
      <c r="G206" s="8" t="s">
        <v>68</v>
      </c>
      <c r="H206" s="19" t="s">
        <v>110</v>
      </c>
      <c r="I206" s="19" t="s">
        <v>589</v>
      </c>
      <c r="J206" s="19" t="s">
        <v>301</v>
      </c>
    </row>
    <row r="207" ht="18" customHeight="1" outlineLevel="2" spans="1:10">
      <c r="A207" s="18">
        <v>6</v>
      </c>
      <c r="B207" s="18">
        <v>49</v>
      </c>
      <c r="C207" s="19" t="s">
        <v>653</v>
      </c>
      <c r="D207" s="19" t="s">
        <v>652</v>
      </c>
      <c r="E207" s="19" t="s">
        <v>65</v>
      </c>
      <c r="F207" s="8" t="s">
        <v>67</v>
      </c>
      <c r="G207" s="8" t="s">
        <v>68</v>
      </c>
      <c r="H207" s="19" t="s">
        <v>110</v>
      </c>
      <c r="I207" s="19" t="s">
        <v>589</v>
      </c>
      <c r="J207" s="19" t="s">
        <v>304</v>
      </c>
    </row>
    <row r="208" ht="18" customHeight="1" outlineLevel="2" spans="1:10">
      <c r="A208" s="18">
        <v>3</v>
      </c>
      <c r="B208" s="18">
        <v>7</v>
      </c>
      <c r="C208" s="19" t="s">
        <v>655</v>
      </c>
      <c r="D208" s="19" t="s">
        <v>654</v>
      </c>
      <c r="E208" s="19" t="s">
        <v>65</v>
      </c>
      <c r="F208" s="8" t="s">
        <v>67</v>
      </c>
      <c r="G208" s="8" t="s">
        <v>68</v>
      </c>
      <c r="H208" s="19" t="s">
        <v>110</v>
      </c>
      <c r="I208" s="19" t="s">
        <v>589</v>
      </c>
      <c r="J208" s="19" t="s">
        <v>307</v>
      </c>
    </row>
    <row r="209" ht="18" customHeight="1" outlineLevel="2" spans="1:10">
      <c r="A209" s="18">
        <v>2</v>
      </c>
      <c r="B209" s="18">
        <v>19</v>
      </c>
      <c r="C209" s="19" t="s">
        <v>657</v>
      </c>
      <c r="D209" s="19" t="s">
        <v>656</v>
      </c>
      <c r="E209" s="19" t="s">
        <v>65</v>
      </c>
      <c r="F209" s="8" t="s">
        <v>67</v>
      </c>
      <c r="G209" s="8" t="s">
        <v>68</v>
      </c>
      <c r="H209" s="19" t="s">
        <v>110</v>
      </c>
      <c r="I209" s="19" t="s">
        <v>589</v>
      </c>
      <c r="J209" s="19" t="s">
        <v>310</v>
      </c>
    </row>
    <row r="210" ht="18" customHeight="1" outlineLevel="2" spans="1:10">
      <c r="A210" s="18">
        <v>7</v>
      </c>
      <c r="B210" s="18">
        <v>43</v>
      </c>
      <c r="C210" s="19" t="s">
        <v>659</v>
      </c>
      <c r="D210" s="19" t="s">
        <v>658</v>
      </c>
      <c r="E210" s="19" t="s">
        <v>65</v>
      </c>
      <c r="F210" s="8" t="s">
        <v>67</v>
      </c>
      <c r="G210" s="8" t="s">
        <v>68</v>
      </c>
      <c r="H210" s="19" t="s">
        <v>110</v>
      </c>
      <c r="I210" s="19" t="s">
        <v>589</v>
      </c>
      <c r="J210" s="19" t="s">
        <v>313</v>
      </c>
    </row>
    <row r="211" ht="18" customHeight="1" outlineLevel="2" spans="1:10">
      <c r="A211" s="18">
        <v>4</v>
      </c>
      <c r="B211" s="18">
        <v>21</v>
      </c>
      <c r="C211" s="19" t="s">
        <v>661</v>
      </c>
      <c r="D211" s="19" t="s">
        <v>660</v>
      </c>
      <c r="E211" s="19" t="s">
        <v>65</v>
      </c>
      <c r="F211" s="8" t="s">
        <v>67</v>
      </c>
      <c r="G211" s="8" t="s">
        <v>68</v>
      </c>
      <c r="H211" s="19" t="s">
        <v>110</v>
      </c>
      <c r="I211" s="19" t="s">
        <v>589</v>
      </c>
      <c r="J211" s="19" t="s">
        <v>316</v>
      </c>
    </row>
    <row r="212" ht="18" customHeight="1" outlineLevel="2" spans="1:10">
      <c r="A212" s="18">
        <v>2</v>
      </c>
      <c r="B212" s="18">
        <v>49</v>
      </c>
      <c r="C212" s="19" t="s">
        <v>663</v>
      </c>
      <c r="D212" s="19" t="s">
        <v>662</v>
      </c>
      <c r="E212" s="19" t="s">
        <v>65</v>
      </c>
      <c r="F212" s="8" t="s">
        <v>67</v>
      </c>
      <c r="G212" s="8" t="s">
        <v>68</v>
      </c>
      <c r="H212" s="19" t="s">
        <v>110</v>
      </c>
      <c r="I212" s="19" t="s">
        <v>589</v>
      </c>
      <c r="J212" s="19" t="s">
        <v>319</v>
      </c>
    </row>
    <row r="213" ht="18" customHeight="1" outlineLevel="2" spans="1:10">
      <c r="A213" s="18">
        <v>9</v>
      </c>
      <c r="B213" s="18">
        <v>15</v>
      </c>
      <c r="C213" s="19" t="s">
        <v>665</v>
      </c>
      <c r="D213" s="19" t="s">
        <v>664</v>
      </c>
      <c r="E213" s="19" t="s">
        <v>65</v>
      </c>
      <c r="F213" s="8" t="s">
        <v>67</v>
      </c>
      <c r="G213" s="8" t="s">
        <v>68</v>
      </c>
      <c r="H213" s="19" t="s">
        <v>110</v>
      </c>
      <c r="I213" s="19" t="s">
        <v>589</v>
      </c>
      <c r="J213" s="19" t="s">
        <v>322</v>
      </c>
    </row>
    <row r="214" ht="18" customHeight="1" outlineLevel="2" spans="1:10">
      <c r="A214" s="18">
        <v>5</v>
      </c>
      <c r="B214" s="18">
        <v>36</v>
      </c>
      <c r="C214" s="19" t="s">
        <v>667</v>
      </c>
      <c r="D214" s="19" t="s">
        <v>666</v>
      </c>
      <c r="E214" s="19" t="s">
        <v>65</v>
      </c>
      <c r="F214" s="8" t="s">
        <v>67</v>
      </c>
      <c r="G214" s="8" t="s">
        <v>68</v>
      </c>
      <c r="H214" s="19" t="s">
        <v>110</v>
      </c>
      <c r="I214" s="19" t="s">
        <v>589</v>
      </c>
      <c r="J214" s="19" t="s">
        <v>325</v>
      </c>
    </row>
    <row r="215" ht="18" customHeight="1" outlineLevel="2" spans="1:10">
      <c r="A215" s="18">
        <v>4</v>
      </c>
      <c r="B215" s="18">
        <v>35</v>
      </c>
      <c r="C215" s="19" t="s">
        <v>669</v>
      </c>
      <c r="D215" s="19" t="s">
        <v>668</v>
      </c>
      <c r="E215" s="19" t="s">
        <v>65</v>
      </c>
      <c r="F215" s="8" t="s">
        <v>67</v>
      </c>
      <c r="G215" s="8" t="s">
        <v>68</v>
      </c>
      <c r="H215" s="19" t="s">
        <v>110</v>
      </c>
      <c r="I215" s="19" t="s">
        <v>589</v>
      </c>
      <c r="J215" s="19" t="s">
        <v>328</v>
      </c>
    </row>
    <row r="216" ht="18" customHeight="1" outlineLevel="2" spans="1:10">
      <c r="A216" s="18">
        <v>6</v>
      </c>
      <c r="B216" s="18">
        <v>34</v>
      </c>
      <c r="C216" s="19" t="s">
        <v>671</v>
      </c>
      <c r="D216" s="19" t="s">
        <v>670</v>
      </c>
      <c r="E216" s="19" t="s">
        <v>65</v>
      </c>
      <c r="F216" s="8" t="s">
        <v>67</v>
      </c>
      <c r="G216" s="8" t="s">
        <v>68</v>
      </c>
      <c r="H216" s="19" t="s">
        <v>110</v>
      </c>
      <c r="I216" s="19" t="s">
        <v>589</v>
      </c>
      <c r="J216" s="19" t="s">
        <v>331</v>
      </c>
    </row>
    <row r="217" ht="18" customHeight="1" outlineLevel="1" spans="1:10">
      <c r="A217" s="18"/>
      <c r="B217" s="18"/>
      <c r="C217" s="19">
        <f>SUBTOTAL(3,C175:C216)</f>
        <v>42</v>
      </c>
      <c r="D217" s="19"/>
      <c r="E217" s="19"/>
      <c r="F217" s="8"/>
      <c r="G217" s="8"/>
      <c r="H217" s="20" t="s">
        <v>1933</v>
      </c>
      <c r="I217" s="19"/>
      <c r="J217" s="19"/>
    </row>
    <row r="218" ht="18" customHeight="1" outlineLevel="2" spans="1:10">
      <c r="A218" s="18">
        <v>2</v>
      </c>
      <c r="B218" s="18">
        <v>32</v>
      </c>
      <c r="C218" s="19" t="s">
        <v>673</v>
      </c>
      <c r="D218" s="19" t="s">
        <v>672</v>
      </c>
      <c r="E218" s="19" t="s">
        <v>65</v>
      </c>
      <c r="F218" s="8" t="s">
        <v>67</v>
      </c>
      <c r="G218" s="8" t="s">
        <v>68</v>
      </c>
      <c r="H218" s="19" t="s">
        <v>118</v>
      </c>
      <c r="I218" s="19" t="s">
        <v>674</v>
      </c>
      <c r="J218" s="19" t="s">
        <v>207</v>
      </c>
    </row>
    <row r="219" ht="18" customHeight="1" outlineLevel="2" spans="1:10">
      <c r="A219" s="18">
        <v>4</v>
      </c>
      <c r="B219" s="18">
        <v>18</v>
      </c>
      <c r="C219" s="19" t="s">
        <v>676</v>
      </c>
      <c r="D219" s="19" t="s">
        <v>675</v>
      </c>
      <c r="E219" s="19" t="s">
        <v>65</v>
      </c>
      <c r="F219" s="8" t="s">
        <v>67</v>
      </c>
      <c r="G219" s="8" t="s">
        <v>68</v>
      </c>
      <c r="H219" s="19" t="s">
        <v>118</v>
      </c>
      <c r="I219" s="19" t="s">
        <v>674</v>
      </c>
      <c r="J219" s="19" t="s">
        <v>210</v>
      </c>
    </row>
    <row r="220" ht="18" customHeight="1" outlineLevel="2" spans="1:10">
      <c r="A220" s="18">
        <v>7</v>
      </c>
      <c r="B220" s="18">
        <v>2</v>
      </c>
      <c r="C220" s="19" t="s">
        <v>678</v>
      </c>
      <c r="D220" s="19" t="s">
        <v>677</v>
      </c>
      <c r="E220" s="19" t="s">
        <v>65</v>
      </c>
      <c r="F220" s="8" t="s">
        <v>67</v>
      </c>
      <c r="G220" s="8" t="s">
        <v>68</v>
      </c>
      <c r="H220" s="19" t="s">
        <v>118</v>
      </c>
      <c r="I220" s="19" t="s">
        <v>674</v>
      </c>
      <c r="J220" s="19" t="s">
        <v>214</v>
      </c>
    </row>
    <row r="221" ht="18" customHeight="1" outlineLevel="2" spans="1:10">
      <c r="A221" s="18">
        <v>6</v>
      </c>
      <c r="B221" s="18">
        <v>22</v>
      </c>
      <c r="C221" s="19" t="s">
        <v>680</v>
      </c>
      <c r="D221" s="19" t="s">
        <v>679</v>
      </c>
      <c r="E221" s="19" t="s">
        <v>65</v>
      </c>
      <c r="F221" s="8" t="s">
        <v>67</v>
      </c>
      <c r="G221" s="8" t="s">
        <v>68</v>
      </c>
      <c r="H221" s="19" t="s">
        <v>118</v>
      </c>
      <c r="I221" s="19" t="s">
        <v>674</v>
      </c>
      <c r="J221" s="19" t="s">
        <v>217</v>
      </c>
    </row>
    <row r="222" ht="18" customHeight="1" outlineLevel="2" spans="1:10">
      <c r="A222" s="18">
        <v>9</v>
      </c>
      <c r="B222" s="18">
        <v>20</v>
      </c>
      <c r="C222" s="19" t="s">
        <v>682</v>
      </c>
      <c r="D222" s="19" t="s">
        <v>681</v>
      </c>
      <c r="E222" s="19" t="s">
        <v>65</v>
      </c>
      <c r="F222" s="8" t="s">
        <v>67</v>
      </c>
      <c r="G222" s="8" t="s">
        <v>68</v>
      </c>
      <c r="H222" s="19" t="s">
        <v>118</v>
      </c>
      <c r="I222" s="19" t="s">
        <v>674</v>
      </c>
      <c r="J222" s="19" t="s">
        <v>220</v>
      </c>
    </row>
    <row r="223" ht="18" customHeight="1" outlineLevel="2" spans="1:10">
      <c r="A223" s="18">
        <v>6</v>
      </c>
      <c r="B223" s="18">
        <v>13</v>
      </c>
      <c r="C223" s="19" t="s">
        <v>684</v>
      </c>
      <c r="D223" s="19" t="s">
        <v>683</v>
      </c>
      <c r="E223" s="19" t="s">
        <v>65</v>
      </c>
      <c r="F223" s="8" t="s">
        <v>67</v>
      </c>
      <c r="G223" s="8" t="s">
        <v>68</v>
      </c>
      <c r="H223" s="19" t="s">
        <v>118</v>
      </c>
      <c r="I223" s="19" t="s">
        <v>674</v>
      </c>
      <c r="J223" s="19" t="s">
        <v>223</v>
      </c>
    </row>
    <row r="224" ht="18" customHeight="1" outlineLevel="2" spans="1:10">
      <c r="A224" s="18">
        <v>6</v>
      </c>
      <c r="B224" s="18">
        <v>41</v>
      </c>
      <c r="C224" s="19" t="s">
        <v>686</v>
      </c>
      <c r="D224" s="19" t="s">
        <v>685</v>
      </c>
      <c r="E224" s="19" t="s">
        <v>65</v>
      </c>
      <c r="F224" s="8" t="s">
        <v>67</v>
      </c>
      <c r="G224" s="8" t="s">
        <v>68</v>
      </c>
      <c r="H224" s="19" t="s">
        <v>118</v>
      </c>
      <c r="I224" s="19" t="s">
        <v>674</v>
      </c>
      <c r="J224" s="19" t="s">
        <v>226</v>
      </c>
    </row>
    <row r="225" ht="18" customHeight="1" outlineLevel="2" spans="1:10">
      <c r="A225" s="18">
        <v>5</v>
      </c>
      <c r="B225" s="18">
        <v>41</v>
      </c>
      <c r="C225" s="19" t="s">
        <v>688</v>
      </c>
      <c r="D225" s="19" t="s">
        <v>687</v>
      </c>
      <c r="E225" s="19" t="s">
        <v>65</v>
      </c>
      <c r="F225" s="8" t="s">
        <v>67</v>
      </c>
      <c r="G225" s="8" t="s">
        <v>68</v>
      </c>
      <c r="H225" s="19" t="s">
        <v>118</v>
      </c>
      <c r="I225" s="19" t="s">
        <v>674</v>
      </c>
      <c r="J225" s="19" t="s">
        <v>229</v>
      </c>
    </row>
    <row r="226" ht="18" customHeight="1" outlineLevel="2" spans="1:10">
      <c r="A226" s="18">
        <v>3</v>
      </c>
      <c r="B226" s="18">
        <v>42</v>
      </c>
      <c r="C226" s="19" t="s">
        <v>690</v>
      </c>
      <c r="D226" s="19" t="s">
        <v>689</v>
      </c>
      <c r="E226" s="19" t="s">
        <v>65</v>
      </c>
      <c r="F226" s="8" t="s">
        <v>67</v>
      </c>
      <c r="G226" s="8" t="s">
        <v>68</v>
      </c>
      <c r="H226" s="19" t="s">
        <v>118</v>
      </c>
      <c r="I226" s="19" t="s">
        <v>674</v>
      </c>
      <c r="J226" s="19" t="s">
        <v>232</v>
      </c>
    </row>
    <row r="227" ht="18" customHeight="1" outlineLevel="2" spans="1:10">
      <c r="A227" s="18">
        <v>1</v>
      </c>
      <c r="B227" s="18">
        <v>22</v>
      </c>
      <c r="C227" s="19" t="s">
        <v>692</v>
      </c>
      <c r="D227" s="19" t="s">
        <v>691</v>
      </c>
      <c r="E227" s="19" t="s">
        <v>65</v>
      </c>
      <c r="F227" s="8" t="s">
        <v>67</v>
      </c>
      <c r="G227" s="8" t="s">
        <v>68</v>
      </c>
      <c r="H227" s="19" t="s">
        <v>118</v>
      </c>
      <c r="I227" s="19" t="s">
        <v>674</v>
      </c>
      <c r="J227" s="19" t="s">
        <v>235</v>
      </c>
    </row>
    <row r="228" ht="18" customHeight="1" outlineLevel="2" spans="1:10">
      <c r="A228" s="18">
        <v>3</v>
      </c>
      <c r="B228" s="18">
        <v>12</v>
      </c>
      <c r="C228" s="19" t="s">
        <v>694</v>
      </c>
      <c r="D228" s="19" t="s">
        <v>693</v>
      </c>
      <c r="E228" s="19" t="s">
        <v>65</v>
      </c>
      <c r="F228" s="8" t="s">
        <v>67</v>
      </c>
      <c r="G228" s="8" t="s">
        <v>68</v>
      </c>
      <c r="H228" s="19" t="s">
        <v>118</v>
      </c>
      <c r="I228" s="19" t="s">
        <v>674</v>
      </c>
      <c r="J228" s="19" t="s">
        <v>238</v>
      </c>
    </row>
    <row r="229" ht="18" customHeight="1" outlineLevel="2" spans="1:10">
      <c r="A229" s="18">
        <v>3</v>
      </c>
      <c r="B229" s="18">
        <v>40</v>
      </c>
      <c r="C229" s="19" t="s">
        <v>696</v>
      </c>
      <c r="D229" s="19" t="s">
        <v>695</v>
      </c>
      <c r="E229" s="19" t="s">
        <v>65</v>
      </c>
      <c r="F229" s="8" t="s">
        <v>67</v>
      </c>
      <c r="G229" s="8" t="s">
        <v>68</v>
      </c>
      <c r="H229" s="19" t="s">
        <v>118</v>
      </c>
      <c r="I229" s="19" t="s">
        <v>674</v>
      </c>
      <c r="J229" s="19" t="s">
        <v>241</v>
      </c>
    </row>
    <row r="230" ht="18" customHeight="1" outlineLevel="2" spans="1:10">
      <c r="A230" s="18">
        <v>6</v>
      </c>
      <c r="B230" s="18">
        <v>15</v>
      </c>
      <c r="C230" s="19" t="s">
        <v>698</v>
      </c>
      <c r="D230" s="19" t="s">
        <v>697</v>
      </c>
      <c r="E230" s="19" t="s">
        <v>65</v>
      </c>
      <c r="F230" s="8" t="s">
        <v>67</v>
      </c>
      <c r="G230" s="8" t="s">
        <v>68</v>
      </c>
      <c r="H230" s="19" t="s">
        <v>118</v>
      </c>
      <c r="I230" s="19" t="s">
        <v>674</v>
      </c>
      <c r="J230" s="19" t="s">
        <v>244</v>
      </c>
    </row>
    <row r="231" ht="18" customHeight="1" outlineLevel="2" spans="1:10">
      <c r="A231" s="18">
        <v>5</v>
      </c>
      <c r="B231" s="18">
        <v>49</v>
      </c>
      <c r="C231" s="19" t="s">
        <v>700</v>
      </c>
      <c r="D231" s="19" t="s">
        <v>699</v>
      </c>
      <c r="E231" s="19" t="s">
        <v>65</v>
      </c>
      <c r="F231" s="8" t="s">
        <v>67</v>
      </c>
      <c r="G231" s="8" t="s">
        <v>68</v>
      </c>
      <c r="H231" s="19" t="s">
        <v>118</v>
      </c>
      <c r="I231" s="19" t="s">
        <v>674</v>
      </c>
      <c r="J231" s="19" t="s">
        <v>247</v>
      </c>
    </row>
    <row r="232" ht="18" customHeight="1" outlineLevel="2" spans="1:10">
      <c r="A232" s="18">
        <v>9</v>
      </c>
      <c r="B232" s="18">
        <v>22</v>
      </c>
      <c r="C232" s="19" t="s">
        <v>702</v>
      </c>
      <c r="D232" s="19" t="s">
        <v>701</v>
      </c>
      <c r="E232" s="19" t="s">
        <v>65</v>
      </c>
      <c r="F232" s="8" t="s">
        <v>67</v>
      </c>
      <c r="G232" s="8" t="s">
        <v>68</v>
      </c>
      <c r="H232" s="19" t="s">
        <v>118</v>
      </c>
      <c r="I232" s="19" t="s">
        <v>674</v>
      </c>
      <c r="J232" s="19" t="s">
        <v>250</v>
      </c>
    </row>
    <row r="233" ht="18" customHeight="1" outlineLevel="2" spans="1:10">
      <c r="A233" s="18">
        <v>8</v>
      </c>
      <c r="B233" s="18">
        <v>5</v>
      </c>
      <c r="C233" s="19" t="s">
        <v>704</v>
      </c>
      <c r="D233" s="19" t="s">
        <v>703</v>
      </c>
      <c r="E233" s="19" t="s">
        <v>65</v>
      </c>
      <c r="F233" s="8" t="s">
        <v>67</v>
      </c>
      <c r="G233" s="8" t="s">
        <v>68</v>
      </c>
      <c r="H233" s="19" t="s">
        <v>118</v>
      </c>
      <c r="I233" s="19" t="s">
        <v>674</v>
      </c>
      <c r="J233" s="19" t="s">
        <v>253</v>
      </c>
    </row>
    <row r="234" ht="18" customHeight="1" outlineLevel="2" spans="1:10">
      <c r="A234" s="18">
        <v>8</v>
      </c>
      <c r="B234" s="18">
        <v>23</v>
      </c>
      <c r="C234" s="19" t="s">
        <v>706</v>
      </c>
      <c r="D234" s="19" t="s">
        <v>705</v>
      </c>
      <c r="E234" s="19" t="s">
        <v>65</v>
      </c>
      <c r="F234" s="8" t="s">
        <v>67</v>
      </c>
      <c r="G234" s="8" t="s">
        <v>68</v>
      </c>
      <c r="H234" s="19" t="s">
        <v>118</v>
      </c>
      <c r="I234" s="19" t="s">
        <v>674</v>
      </c>
      <c r="J234" s="19" t="s">
        <v>256</v>
      </c>
    </row>
    <row r="235" ht="18" customHeight="1" outlineLevel="2" spans="1:10">
      <c r="A235" s="18">
        <v>2</v>
      </c>
      <c r="B235" s="18">
        <v>39</v>
      </c>
      <c r="C235" s="19" t="s">
        <v>708</v>
      </c>
      <c r="D235" s="19" t="s">
        <v>707</v>
      </c>
      <c r="E235" s="19" t="s">
        <v>65</v>
      </c>
      <c r="F235" s="8" t="s">
        <v>67</v>
      </c>
      <c r="G235" s="8" t="s">
        <v>68</v>
      </c>
      <c r="H235" s="19" t="s">
        <v>118</v>
      </c>
      <c r="I235" s="19" t="s">
        <v>674</v>
      </c>
      <c r="J235" s="19" t="s">
        <v>259</v>
      </c>
    </row>
    <row r="236" ht="18" customHeight="1" outlineLevel="2" spans="1:10">
      <c r="A236" s="18">
        <v>7</v>
      </c>
      <c r="B236" s="18">
        <v>15</v>
      </c>
      <c r="C236" s="19" t="s">
        <v>710</v>
      </c>
      <c r="D236" s="19" t="s">
        <v>709</v>
      </c>
      <c r="E236" s="19" t="s">
        <v>65</v>
      </c>
      <c r="F236" s="8" t="s">
        <v>67</v>
      </c>
      <c r="G236" s="8" t="s">
        <v>68</v>
      </c>
      <c r="H236" s="19" t="s">
        <v>118</v>
      </c>
      <c r="I236" s="19" t="s">
        <v>674</v>
      </c>
      <c r="J236" s="19" t="s">
        <v>262</v>
      </c>
    </row>
    <row r="237" ht="18" customHeight="1" outlineLevel="2" spans="1:10">
      <c r="A237" s="18">
        <v>9</v>
      </c>
      <c r="B237" s="18">
        <v>12</v>
      </c>
      <c r="C237" s="19" t="s">
        <v>712</v>
      </c>
      <c r="D237" s="19" t="s">
        <v>711</v>
      </c>
      <c r="E237" s="19" t="s">
        <v>65</v>
      </c>
      <c r="F237" s="8" t="s">
        <v>67</v>
      </c>
      <c r="G237" s="8" t="s">
        <v>68</v>
      </c>
      <c r="H237" s="19" t="s">
        <v>118</v>
      </c>
      <c r="I237" s="19" t="s">
        <v>674</v>
      </c>
      <c r="J237" s="19" t="s">
        <v>265</v>
      </c>
    </row>
    <row r="238" ht="18" customHeight="1" outlineLevel="2" spans="1:10">
      <c r="A238" s="18">
        <v>8</v>
      </c>
      <c r="B238" s="18">
        <v>2</v>
      </c>
      <c r="C238" s="19" t="s">
        <v>714</v>
      </c>
      <c r="D238" s="19" t="s">
        <v>713</v>
      </c>
      <c r="E238" s="19" t="s">
        <v>65</v>
      </c>
      <c r="F238" s="8" t="s">
        <v>67</v>
      </c>
      <c r="G238" s="8" t="s">
        <v>68</v>
      </c>
      <c r="H238" s="19" t="s">
        <v>118</v>
      </c>
      <c r="I238" s="19" t="s">
        <v>674</v>
      </c>
      <c r="J238" s="19" t="s">
        <v>268</v>
      </c>
    </row>
    <row r="239" ht="18" customHeight="1" outlineLevel="2" spans="1:10">
      <c r="A239" s="18">
        <v>8</v>
      </c>
      <c r="B239" s="18">
        <v>3</v>
      </c>
      <c r="C239" s="19" t="s">
        <v>716</v>
      </c>
      <c r="D239" s="19" t="s">
        <v>715</v>
      </c>
      <c r="E239" s="19" t="s">
        <v>65</v>
      </c>
      <c r="F239" s="8" t="s">
        <v>67</v>
      </c>
      <c r="G239" s="8" t="s">
        <v>68</v>
      </c>
      <c r="H239" s="19" t="s">
        <v>118</v>
      </c>
      <c r="I239" s="19" t="s">
        <v>674</v>
      </c>
      <c r="J239" s="19" t="s">
        <v>271</v>
      </c>
    </row>
    <row r="240" ht="18" customHeight="1" outlineLevel="2" spans="1:10">
      <c r="A240" s="18">
        <v>1</v>
      </c>
      <c r="B240" s="18">
        <v>19</v>
      </c>
      <c r="C240" s="19" t="s">
        <v>718</v>
      </c>
      <c r="D240" s="19" t="s">
        <v>717</v>
      </c>
      <c r="E240" s="19" t="s">
        <v>65</v>
      </c>
      <c r="F240" s="8" t="s">
        <v>67</v>
      </c>
      <c r="G240" s="8" t="s">
        <v>68</v>
      </c>
      <c r="H240" s="19" t="s">
        <v>118</v>
      </c>
      <c r="I240" s="19" t="s">
        <v>674</v>
      </c>
      <c r="J240" s="19" t="s">
        <v>274</v>
      </c>
    </row>
    <row r="241" ht="18" customHeight="1" outlineLevel="2" spans="1:10">
      <c r="A241" s="18">
        <v>8</v>
      </c>
      <c r="B241" s="18">
        <v>9</v>
      </c>
      <c r="C241" s="19" t="s">
        <v>720</v>
      </c>
      <c r="D241" s="19" t="s">
        <v>719</v>
      </c>
      <c r="E241" s="19" t="s">
        <v>65</v>
      </c>
      <c r="F241" s="8" t="s">
        <v>67</v>
      </c>
      <c r="G241" s="8" t="s">
        <v>68</v>
      </c>
      <c r="H241" s="19" t="s">
        <v>118</v>
      </c>
      <c r="I241" s="19" t="s">
        <v>674</v>
      </c>
      <c r="J241" s="19" t="s">
        <v>277</v>
      </c>
    </row>
    <row r="242" ht="18" customHeight="1" outlineLevel="2" spans="1:10">
      <c r="A242" s="18">
        <v>7</v>
      </c>
      <c r="B242" s="18">
        <v>7</v>
      </c>
      <c r="C242" s="19" t="s">
        <v>722</v>
      </c>
      <c r="D242" s="19" t="s">
        <v>721</v>
      </c>
      <c r="E242" s="19" t="s">
        <v>65</v>
      </c>
      <c r="F242" s="8" t="s">
        <v>67</v>
      </c>
      <c r="G242" s="8" t="s">
        <v>68</v>
      </c>
      <c r="H242" s="19" t="s">
        <v>118</v>
      </c>
      <c r="I242" s="19" t="s">
        <v>674</v>
      </c>
      <c r="J242" s="19" t="s">
        <v>280</v>
      </c>
    </row>
    <row r="243" ht="18" customHeight="1" outlineLevel="2" spans="1:10">
      <c r="A243" s="18">
        <v>4</v>
      </c>
      <c r="B243" s="18">
        <v>44</v>
      </c>
      <c r="C243" s="19" t="s">
        <v>724</v>
      </c>
      <c r="D243" s="19" t="s">
        <v>723</v>
      </c>
      <c r="E243" s="19" t="s">
        <v>65</v>
      </c>
      <c r="F243" s="8" t="s">
        <v>67</v>
      </c>
      <c r="G243" s="8" t="s">
        <v>68</v>
      </c>
      <c r="H243" s="19" t="s">
        <v>118</v>
      </c>
      <c r="I243" s="19" t="s">
        <v>674</v>
      </c>
      <c r="J243" s="19" t="s">
        <v>283</v>
      </c>
    </row>
    <row r="244" ht="18" customHeight="1" outlineLevel="2" spans="1:10">
      <c r="A244" s="18">
        <v>6</v>
      </c>
      <c r="B244" s="18">
        <v>31</v>
      </c>
      <c r="C244" s="19" t="s">
        <v>726</v>
      </c>
      <c r="D244" s="19" t="s">
        <v>725</v>
      </c>
      <c r="E244" s="19" t="s">
        <v>65</v>
      </c>
      <c r="F244" s="8" t="s">
        <v>67</v>
      </c>
      <c r="G244" s="8" t="s">
        <v>68</v>
      </c>
      <c r="H244" s="19" t="s">
        <v>118</v>
      </c>
      <c r="I244" s="19" t="s">
        <v>674</v>
      </c>
      <c r="J244" s="19" t="s">
        <v>286</v>
      </c>
    </row>
    <row r="245" ht="18" customHeight="1" outlineLevel="2" spans="1:10">
      <c r="A245" s="18">
        <v>1</v>
      </c>
      <c r="B245" s="18">
        <v>4</v>
      </c>
      <c r="C245" s="19" t="s">
        <v>728</v>
      </c>
      <c r="D245" s="19" t="s">
        <v>727</v>
      </c>
      <c r="E245" s="19" t="s">
        <v>65</v>
      </c>
      <c r="F245" s="8" t="s">
        <v>67</v>
      </c>
      <c r="G245" s="8" t="s">
        <v>68</v>
      </c>
      <c r="H245" s="19" t="s">
        <v>118</v>
      </c>
      <c r="I245" s="19" t="s">
        <v>674</v>
      </c>
      <c r="J245" s="19" t="s">
        <v>289</v>
      </c>
    </row>
    <row r="246" ht="18" customHeight="1" outlineLevel="2" spans="1:10">
      <c r="A246" s="18">
        <v>1</v>
      </c>
      <c r="B246" s="18">
        <v>29</v>
      </c>
      <c r="C246" s="19" t="s">
        <v>730</v>
      </c>
      <c r="D246" s="19" t="s">
        <v>729</v>
      </c>
      <c r="E246" s="19" t="s">
        <v>65</v>
      </c>
      <c r="F246" s="8" t="s">
        <v>67</v>
      </c>
      <c r="G246" s="8" t="s">
        <v>68</v>
      </c>
      <c r="H246" s="19" t="s">
        <v>118</v>
      </c>
      <c r="I246" s="19" t="s">
        <v>674</v>
      </c>
      <c r="J246" s="19" t="s">
        <v>292</v>
      </c>
    </row>
    <row r="247" ht="18" customHeight="1" outlineLevel="2" spans="1:10">
      <c r="A247" s="18">
        <v>2</v>
      </c>
      <c r="B247" s="18">
        <v>40</v>
      </c>
      <c r="C247" s="19" t="s">
        <v>732</v>
      </c>
      <c r="D247" s="19" t="s">
        <v>731</v>
      </c>
      <c r="E247" s="19" t="s">
        <v>65</v>
      </c>
      <c r="F247" s="8" t="s">
        <v>67</v>
      </c>
      <c r="G247" s="8" t="s">
        <v>68</v>
      </c>
      <c r="H247" s="19" t="s">
        <v>118</v>
      </c>
      <c r="I247" s="19" t="s">
        <v>674</v>
      </c>
      <c r="J247" s="19" t="s">
        <v>295</v>
      </c>
    </row>
    <row r="248" ht="18" customHeight="1" outlineLevel="2" spans="1:10">
      <c r="A248" s="18">
        <v>6</v>
      </c>
      <c r="B248" s="18">
        <v>25</v>
      </c>
      <c r="C248" s="19" t="s">
        <v>734</v>
      </c>
      <c r="D248" s="19" t="s">
        <v>733</v>
      </c>
      <c r="E248" s="19" t="s">
        <v>65</v>
      </c>
      <c r="F248" s="8" t="s">
        <v>67</v>
      </c>
      <c r="G248" s="8" t="s">
        <v>68</v>
      </c>
      <c r="H248" s="19" t="s">
        <v>118</v>
      </c>
      <c r="I248" s="19" t="s">
        <v>674</v>
      </c>
      <c r="J248" s="19" t="s">
        <v>298</v>
      </c>
    </row>
    <row r="249" ht="18" customHeight="1" outlineLevel="2" spans="1:10">
      <c r="A249" s="18">
        <v>8</v>
      </c>
      <c r="B249" s="18">
        <v>40</v>
      </c>
      <c r="C249" s="19" t="s">
        <v>736</v>
      </c>
      <c r="D249" s="19" t="s">
        <v>735</v>
      </c>
      <c r="E249" s="19" t="s">
        <v>65</v>
      </c>
      <c r="F249" s="8" t="s">
        <v>67</v>
      </c>
      <c r="G249" s="8" t="s">
        <v>68</v>
      </c>
      <c r="H249" s="19" t="s">
        <v>118</v>
      </c>
      <c r="I249" s="19" t="s">
        <v>674</v>
      </c>
      <c r="J249" s="19" t="s">
        <v>301</v>
      </c>
    </row>
    <row r="250" ht="18" customHeight="1" outlineLevel="2" spans="1:10">
      <c r="A250" s="18">
        <v>9</v>
      </c>
      <c r="B250" s="18">
        <v>31</v>
      </c>
      <c r="C250" s="19" t="s">
        <v>738</v>
      </c>
      <c r="D250" s="19" t="s">
        <v>737</v>
      </c>
      <c r="E250" s="19" t="s">
        <v>65</v>
      </c>
      <c r="F250" s="8" t="s">
        <v>67</v>
      </c>
      <c r="G250" s="8" t="s">
        <v>68</v>
      </c>
      <c r="H250" s="19" t="s">
        <v>118</v>
      </c>
      <c r="I250" s="19" t="s">
        <v>674</v>
      </c>
      <c r="J250" s="19" t="s">
        <v>304</v>
      </c>
    </row>
    <row r="251" ht="18" customHeight="1" outlineLevel="2" spans="1:10">
      <c r="A251" s="18">
        <v>5</v>
      </c>
      <c r="B251" s="18">
        <v>8</v>
      </c>
      <c r="C251" s="19" t="s">
        <v>740</v>
      </c>
      <c r="D251" s="19" t="s">
        <v>739</v>
      </c>
      <c r="E251" s="19" t="s">
        <v>65</v>
      </c>
      <c r="F251" s="8" t="s">
        <v>67</v>
      </c>
      <c r="G251" s="8" t="s">
        <v>68</v>
      </c>
      <c r="H251" s="19" t="s">
        <v>118</v>
      </c>
      <c r="I251" s="19" t="s">
        <v>674</v>
      </c>
      <c r="J251" s="19" t="s">
        <v>307</v>
      </c>
    </row>
    <row r="252" ht="18" customHeight="1" outlineLevel="2" spans="1:10">
      <c r="A252" s="18">
        <v>6</v>
      </c>
      <c r="B252" s="18">
        <v>30</v>
      </c>
      <c r="C252" s="19" t="s">
        <v>742</v>
      </c>
      <c r="D252" s="19" t="s">
        <v>741</v>
      </c>
      <c r="E252" s="19" t="s">
        <v>65</v>
      </c>
      <c r="F252" s="8" t="s">
        <v>67</v>
      </c>
      <c r="G252" s="8" t="s">
        <v>68</v>
      </c>
      <c r="H252" s="19" t="s">
        <v>118</v>
      </c>
      <c r="I252" s="19" t="s">
        <v>674</v>
      </c>
      <c r="J252" s="19" t="s">
        <v>310</v>
      </c>
    </row>
    <row r="253" ht="18" customHeight="1" outlineLevel="2" spans="1:10">
      <c r="A253" s="18">
        <v>8</v>
      </c>
      <c r="B253" s="18">
        <v>15</v>
      </c>
      <c r="C253" s="19" t="s">
        <v>744</v>
      </c>
      <c r="D253" s="19" t="s">
        <v>743</v>
      </c>
      <c r="E253" s="19" t="s">
        <v>65</v>
      </c>
      <c r="F253" s="8" t="s">
        <v>67</v>
      </c>
      <c r="G253" s="8" t="s">
        <v>68</v>
      </c>
      <c r="H253" s="19" t="s">
        <v>118</v>
      </c>
      <c r="I253" s="19" t="s">
        <v>674</v>
      </c>
      <c r="J253" s="19" t="s">
        <v>313</v>
      </c>
    </row>
    <row r="254" ht="18" customHeight="1" outlineLevel="2" spans="1:10">
      <c r="A254" s="18">
        <v>3</v>
      </c>
      <c r="B254" s="18">
        <v>23</v>
      </c>
      <c r="C254" s="19" t="s">
        <v>228</v>
      </c>
      <c r="D254" s="19" t="s">
        <v>745</v>
      </c>
      <c r="E254" s="19" t="s">
        <v>65</v>
      </c>
      <c r="F254" s="8" t="s">
        <v>67</v>
      </c>
      <c r="G254" s="8" t="s">
        <v>68</v>
      </c>
      <c r="H254" s="19" t="s">
        <v>118</v>
      </c>
      <c r="I254" s="19" t="s">
        <v>674</v>
      </c>
      <c r="J254" s="19" t="s">
        <v>316</v>
      </c>
    </row>
    <row r="255" ht="18" customHeight="1" outlineLevel="2" spans="1:10">
      <c r="A255" s="18">
        <v>2</v>
      </c>
      <c r="B255" s="18">
        <v>2</v>
      </c>
      <c r="C255" s="19" t="s">
        <v>747</v>
      </c>
      <c r="D255" s="19" t="s">
        <v>746</v>
      </c>
      <c r="E255" s="19" t="s">
        <v>65</v>
      </c>
      <c r="F255" s="8" t="s">
        <v>67</v>
      </c>
      <c r="G255" s="8" t="s">
        <v>68</v>
      </c>
      <c r="H255" s="19" t="s">
        <v>118</v>
      </c>
      <c r="I255" s="19" t="s">
        <v>674</v>
      </c>
      <c r="J255" s="19" t="s">
        <v>319</v>
      </c>
    </row>
    <row r="256" ht="18" customHeight="1" outlineLevel="2" spans="1:10">
      <c r="A256" s="18">
        <v>1</v>
      </c>
      <c r="B256" s="18">
        <v>50</v>
      </c>
      <c r="C256" s="19" t="s">
        <v>749</v>
      </c>
      <c r="D256" s="19" t="s">
        <v>748</v>
      </c>
      <c r="E256" s="19" t="s">
        <v>65</v>
      </c>
      <c r="F256" s="8" t="s">
        <v>67</v>
      </c>
      <c r="G256" s="8" t="s">
        <v>68</v>
      </c>
      <c r="H256" s="19" t="s">
        <v>118</v>
      </c>
      <c r="I256" s="19" t="s">
        <v>674</v>
      </c>
      <c r="J256" s="19" t="s">
        <v>322</v>
      </c>
    </row>
    <row r="257" ht="18" customHeight="1" outlineLevel="2" spans="1:10">
      <c r="A257" s="18">
        <v>1</v>
      </c>
      <c r="B257" s="18">
        <v>16</v>
      </c>
      <c r="C257" s="19" t="s">
        <v>751</v>
      </c>
      <c r="D257" s="19" t="s">
        <v>750</v>
      </c>
      <c r="E257" s="19" t="s">
        <v>65</v>
      </c>
      <c r="F257" s="8" t="s">
        <v>67</v>
      </c>
      <c r="G257" s="8" t="s">
        <v>68</v>
      </c>
      <c r="H257" s="19" t="s">
        <v>118</v>
      </c>
      <c r="I257" s="19" t="s">
        <v>674</v>
      </c>
      <c r="J257" s="19" t="s">
        <v>325</v>
      </c>
    </row>
    <row r="258" ht="18" customHeight="1" outlineLevel="2" spans="1:10">
      <c r="A258" s="18">
        <v>4</v>
      </c>
      <c r="B258" s="18">
        <v>24</v>
      </c>
      <c r="C258" s="19" t="s">
        <v>753</v>
      </c>
      <c r="D258" s="19" t="s">
        <v>752</v>
      </c>
      <c r="E258" s="19" t="s">
        <v>65</v>
      </c>
      <c r="F258" s="8" t="s">
        <v>67</v>
      </c>
      <c r="G258" s="8" t="s">
        <v>68</v>
      </c>
      <c r="H258" s="19" t="s">
        <v>118</v>
      </c>
      <c r="I258" s="19" t="s">
        <v>674</v>
      </c>
      <c r="J258" s="19" t="s">
        <v>328</v>
      </c>
    </row>
    <row r="259" ht="18" customHeight="1" outlineLevel="2" spans="1:10">
      <c r="A259" s="18">
        <v>8</v>
      </c>
      <c r="B259" s="18">
        <v>33</v>
      </c>
      <c r="C259" s="19" t="s">
        <v>755</v>
      </c>
      <c r="D259" s="19" t="s">
        <v>754</v>
      </c>
      <c r="E259" s="19" t="s">
        <v>65</v>
      </c>
      <c r="F259" s="8" t="s">
        <v>67</v>
      </c>
      <c r="G259" s="8" t="s">
        <v>68</v>
      </c>
      <c r="H259" s="19" t="s">
        <v>118</v>
      </c>
      <c r="I259" s="19" t="s">
        <v>674</v>
      </c>
      <c r="J259" s="19" t="s">
        <v>331</v>
      </c>
    </row>
    <row r="260" ht="18" customHeight="1" outlineLevel="1" spans="1:10">
      <c r="A260" s="18"/>
      <c r="B260" s="18"/>
      <c r="C260" s="19">
        <f>SUBTOTAL(3,C218:C259)</f>
        <v>42</v>
      </c>
      <c r="D260" s="19"/>
      <c r="E260" s="19"/>
      <c r="F260" s="8"/>
      <c r="G260" s="8"/>
      <c r="H260" s="20" t="s">
        <v>1934</v>
      </c>
      <c r="I260" s="19"/>
      <c r="J260" s="19"/>
    </row>
    <row r="261" ht="18" customHeight="1" outlineLevel="2" spans="1:10">
      <c r="A261" s="18">
        <v>7</v>
      </c>
      <c r="B261" s="18">
        <v>4</v>
      </c>
      <c r="C261" s="19" t="s">
        <v>757</v>
      </c>
      <c r="D261" s="19" t="s">
        <v>756</v>
      </c>
      <c r="E261" s="19" t="s">
        <v>65</v>
      </c>
      <c r="F261" s="8" t="s">
        <v>67</v>
      </c>
      <c r="G261" s="8" t="s">
        <v>68</v>
      </c>
      <c r="H261" s="19" t="s">
        <v>123</v>
      </c>
      <c r="I261" s="19" t="s">
        <v>758</v>
      </c>
      <c r="J261" s="19" t="s">
        <v>207</v>
      </c>
    </row>
    <row r="262" ht="18" customHeight="1" outlineLevel="2" spans="1:10">
      <c r="A262" s="18">
        <v>3</v>
      </c>
      <c r="B262" s="18">
        <v>53</v>
      </c>
      <c r="C262" s="19" t="s">
        <v>760</v>
      </c>
      <c r="D262" s="19" t="s">
        <v>759</v>
      </c>
      <c r="E262" s="19" t="s">
        <v>65</v>
      </c>
      <c r="F262" s="8" t="s">
        <v>67</v>
      </c>
      <c r="G262" s="8" t="s">
        <v>68</v>
      </c>
      <c r="H262" s="19" t="s">
        <v>123</v>
      </c>
      <c r="I262" s="19" t="s">
        <v>758</v>
      </c>
      <c r="J262" s="19" t="s">
        <v>210</v>
      </c>
    </row>
    <row r="263" ht="18" customHeight="1" outlineLevel="2" spans="1:10">
      <c r="A263" s="18">
        <v>3</v>
      </c>
      <c r="B263" s="18">
        <v>1</v>
      </c>
      <c r="C263" s="19" t="s">
        <v>762</v>
      </c>
      <c r="D263" s="19" t="s">
        <v>761</v>
      </c>
      <c r="E263" s="19" t="s">
        <v>65</v>
      </c>
      <c r="F263" s="8" t="s">
        <v>67</v>
      </c>
      <c r="G263" s="8" t="s">
        <v>68</v>
      </c>
      <c r="H263" s="19" t="s">
        <v>123</v>
      </c>
      <c r="I263" s="19" t="s">
        <v>758</v>
      </c>
      <c r="J263" s="19" t="s">
        <v>214</v>
      </c>
    </row>
    <row r="264" ht="18" customHeight="1" outlineLevel="2" spans="1:10">
      <c r="A264" s="18">
        <v>2</v>
      </c>
      <c r="B264" s="18">
        <v>15</v>
      </c>
      <c r="C264" s="19" t="s">
        <v>764</v>
      </c>
      <c r="D264" s="19" t="s">
        <v>763</v>
      </c>
      <c r="E264" s="19" t="s">
        <v>65</v>
      </c>
      <c r="F264" s="8" t="s">
        <v>67</v>
      </c>
      <c r="G264" s="8" t="s">
        <v>68</v>
      </c>
      <c r="H264" s="19" t="s">
        <v>123</v>
      </c>
      <c r="I264" s="19" t="s">
        <v>758</v>
      </c>
      <c r="J264" s="19" t="s">
        <v>217</v>
      </c>
    </row>
    <row r="265" ht="18" customHeight="1" outlineLevel="2" spans="1:10">
      <c r="A265" s="18">
        <v>1</v>
      </c>
      <c r="B265" s="18">
        <v>26</v>
      </c>
      <c r="C265" s="19" t="s">
        <v>766</v>
      </c>
      <c r="D265" s="19" t="s">
        <v>765</v>
      </c>
      <c r="E265" s="19" t="s">
        <v>65</v>
      </c>
      <c r="F265" s="8" t="s">
        <v>67</v>
      </c>
      <c r="G265" s="8" t="s">
        <v>68</v>
      </c>
      <c r="H265" s="19" t="s">
        <v>123</v>
      </c>
      <c r="I265" s="19" t="s">
        <v>758</v>
      </c>
      <c r="J265" s="19" t="s">
        <v>220</v>
      </c>
    </row>
    <row r="266" ht="18" customHeight="1" outlineLevel="2" spans="1:10">
      <c r="A266" s="18">
        <v>2</v>
      </c>
      <c r="B266" s="18">
        <v>36</v>
      </c>
      <c r="C266" s="19" t="s">
        <v>768</v>
      </c>
      <c r="D266" s="19" t="s">
        <v>767</v>
      </c>
      <c r="E266" s="19" t="s">
        <v>65</v>
      </c>
      <c r="F266" s="8" t="s">
        <v>67</v>
      </c>
      <c r="G266" s="8" t="s">
        <v>68</v>
      </c>
      <c r="H266" s="19" t="s">
        <v>123</v>
      </c>
      <c r="I266" s="19" t="s">
        <v>758</v>
      </c>
      <c r="J266" s="19" t="s">
        <v>223</v>
      </c>
    </row>
    <row r="267" ht="18" customHeight="1" outlineLevel="2" spans="1:10">
      <c r="A267" s="18">
        <v>9</v>
      </c>
      <c r="B267" s="18">
        <v>52</v>
      </c>
      <c r="C267" s="19" t="s">
        <v>770</v>
      </c>
      <c r="D267" s="19" t="s">
        <v>769</v>
      </c>
      <c r="E267" s="19" t="s">
        <v>65</v>
      </c>
      <c r="F267" s="8" t="s">
        <v>67</v>
      </c>
      <c r="G267" s="8" t="s">
        <v>68</v>
      </c>
      <c r="H267" s="19" t="s">
        <v>123</v>
      </c>
      <c r="I267" s="19" t="s">
        <v>758</v>
      </c>
      <c r="J267" s="19" t="s">
        <v>226</v>
      </c>
    </row>
    <row r="268" ht="18" customHeight="1" outlineLevel="2" spans="1:10">
      <c r="A268" s="18">
        <v>5</v>
      </c>
      <c r="B268" s="18">
        <v>9</v>
      </c>
      <c r="C268" s="19" t="s">
        <v>772</v>
      </c>
      <c r="D268" s="19" t="s">
        <v>771</v>
      </c>
      <c r="E268" s="19" t="s">
        <v>65</v>
      </c>
      <c r="F268" s="8" t="s">
        <v>67</v>
      </c>
      <c r="G268" s="8" t="s">
        <v>68</v>
      </c>
      <c r="H268" s="19" t="s">
        <v>123</v>
      </c>
      <c r="I268" s="19" t="s">
        <v>758</v>
      </c>
      <c r="J268" s="19" t="s">
        <v>229</v>
      </c>
    </row>
    <row r="269" ht="18" customHeight="1" outlineLevel="2" spans="1:10">
      <c r="A269" s="18">
        <v>2</v>
      </c>
      <c r="B269" s="18">
        <v>26</v>
      </c>
      <c r="C269" s="19" t="s">
        <v>774</v>
      </c>
      <c r="D269" s="19" t="s">
        <v>773</v>
      </c>
      <c r="E269" s="19" t="s">
        <v>65</v>
      </c>
      <c r="F269" s="8" t="s">
        <v>67</v>
      </c>
      <c r="G269" s="8" t="s">
        <v>68</v>
      </c>
      <c r="H269" s="19" t="s">
        <v>123</v>
      </c>
      <c r="I269" s="19" t="s">
        <v>758</v>
      </c>
      <c r="J269" s="19" t="s">
        <v>232</v>
      </c>
    </row>
    <row r="270" ht="18" customHeight="1" outlineLevel="2" spans="1:10">
      <c r="A270" s="18">
        <v>3</v>
      </c>
      <c r="B270" s="18">
        <v>4</v>
      </c>
      <c r="C270" s="19" t="s">
        <v>776</v>
      </c>
      <c r="D270" s="19" t="s">
        <v>775</v>
      </c>
      <c r="E270" s="19" t="s">
        <v>65</v>
      </c>
      <c r="F270" s="8" t="s">
        <v>67</v>
      </c>
      <c r="G270" s="8" t="s">
        <v>68</v>
      </c>
      <c r="H270" s="19" t="s">
        <v>123</v>
      </c>
      <c r="I270" s="19" t="s">
        <v>758</v>
      </c>
      <c r="J270" s="19" t="s">
        <v>235</v>
      </c>
    </row>
    <row r="271" ht="18" customHeight="1" outlineLevel="2" spans="1:10">
      <c r="A271" s="18">
        <v>8</v>
      </c>
      <c r="B271" s="18">
        <v>47</v>
      </c>
      <c r="C271" s="19" t="s">
        <v>778</v>
      </c>
      <c r="D271" s="19" t="s">
        <v>777</v>
      </c>
      <c r="E271" s="19" t="s">
        <v>65</v>
      </c>
      <c r="F271" s="8" t="s">
        <v>67</v>
      </c>
      <c r="G271" s="8" t="s">
        <v>68</v>
      </c>
      <c r="H271" s="19" t="s">
        <v>123</v>
      </c>
      <c r="I271" s="19" t="s">
        <v>758</v>
      </c>
      <c r="J271" s="19" t="s">
        <v>238</v>
      </c>
    </row>
    <row r="272" ht="18" customHeight="1" outlineLevel="2" spans="1:10">
      <c r="A272" s="18">
        <v>8</v>
      </c>
      <c r="B272" s="18">
        <v>8</v>
      </c>
      <c r="C272" s="19" t="s">
        <v>780</v>
      </c>
      <c r="D272" s="19" t="s">
        <v>779</v>
      </c>
      <c r="E272" s="19" t="s">
        <v>65</v>
      </c>
      <c r="F272" s="8" t="s">
        <v>67</v>
      </c>
      <c r="G272" s="8" t="s">
        <v>68</v>
      </c>
      <c r="H272" s="19" t="s">
        <v>123</v>
      </c>
      <c r="I272" s="19" t="s">
        <v>758</v>
      </c>
      <c r="J272" s="19" t="s">
        <v>241</v>
      </c>
    </row>
    <row r="273" ht="18" customHeight="1" outlineLevel="2" spans="1:10">
      <c r="A273" s="18">
        <v>7</v>
      </c>
      <c r="B273" s="18">
        <v>52</v>
      </c>
      <c r="C273" s="19" t="s">
        <v>782</v>
      </c>
      <c r="D273" s="19" t="s">
        <v>781</v>
      </c>
      <c r="E273" s="19" t="s">
        <v>65</v>
      </c>
      <c r="F273" s="8" t="s">
        <v>67</v>
      </c>
      <c r="G273" s="8" t="s">
        <v>68</v>
      </c>
      <c r="H273" s="19" t="s">
        <v>123</v>
      </c>
      <c r="I273" s="19" t="s">
        <v>758</v>
      </c>
      <c r="J273" s="19" t="s">
        <v>244</v>
      </c>
    </row>
    <row r="274" ht="18" customHeight="1" outlineLevel="2" spans="1:10">
      <c r="A274" s="18">
        <v>4</v>
      </c>
      <c r="B274" s="18">
        <v>16</v>
      </c>
      <c r="C274" s="19" t="s">
        <v>784</v>
      </c>
      <c r="D274" s="19" t="s">
        <v>783</v>
      </c>
      <c r="E274" s="19" t="s">
        <v>65</v>
      </c>
      <c r="F274" s="8" t="s">
        <v>67</v>
      </c>
      <c r="G274" s="8" t="s">
        <v>68</v>
      </c>
      <c r="H274" s="19" t="s">
        <v>123</v>
      </c>
      <c r="I274" s="19" t="s">
        <v>758</v>
      </c>
      <c r="J274" s="19" t="s">
        <v>247</v>
      </c>
    </row>
    <row r="275" ht="18" customHeight="1" outlineLevel="2" spans="1:10">
      <c r="A275" s="18">
        <v>7</v>
      </c>
      <c r="B275" s="18">
        <v>16</v>
      </c>
      <c r="C275" s="19" t="s">
        <v>786</v>
      </c>
      <c r="D275" s="19" t="s">
        <v>785</v>
      </c>
      <c r="E275" s="19" t="s">
        <v>65</v>
      </c>
      <c r="F275" s="8" t="s">
        <v>67</v>
      </c>
      <c r="G275" s="8" t="s">
        <v>68</v>
      </c>
      <c r="H275" s="19" t="s">
        <v>123</v>
      </c>
      <c r="I275" s="19" t="s">
        <v>758</v>
      </c>
      <c r="J275" s="19" t="s">
        <v>250</v>
      </c>
    </row>
    <row r="276" ht="18" customHeight="1" outlineLevel="2" spans="1:10">
      <c r="A276" s="18">
        <v>5</v>
      </c>
      <c r="B276" s="18">
        <v>38</v>
      </c>
      <c r="C276" s="19" t="s">
        <v>788</v>
      </c>
      <c r="D276" s="19" t="s">
        <v>787</v>
      </c>
      <c r="E276" s="19" t="s">
        <v>65</v>
      </c>
      <c r="F276" s="8" t="s">
        <v>67</v>
      </c>
      <c r="G276" s="8" t="s">
        <v>68</v>
      </c>
      <c r="H276" s="19" t="s">
        <v>123</v>
      </c>
      <c r="I276" s="19" t="s">
        <v>758</v>
      </c>
      <c r="J276" s="19" t="s">
        <v>253</v>
      </c>
    </row>
    <row r="277" ht="18" customHeight="1" outlineLevel="2" spans="1:10">
      <c r="A277" s="18">
        <v>8</v>
      </c>
      <c r="B277" s="18">
        <v>13</v>
      </c>
      <c r="C277" s="19" t="s">
        <v>790</v>
      </c>
      <c r="D277" s="19" t="s">
        <v>789</v>
      </c>
      <c r="E277" s="19" t="s">
        <v>65</v>
      </c>
      <c r="F277" s="8" t="s">
        <v>67</v>
      </c>
      <c r="G277" s="8" t="s">
        <v>68</v>
      </c>
      <c r="H277" s="19" t="s">
        <v>123</v>
      </c>
      <c r="I277" s="19" t="s">
        <v>758</v>
      </c>
      <c r="J277" s="19" t="s">
        <v>256</v>
      </c>
    </row>
    <row r="278" ht="18" customHeight="1" outlineLevel="2" spans="1:10">
      <c r="A278" s="18">
        <v>7</v>
      </c>
      <c r="B278" s="18">
        <v>13</v>
      </c>
      <c r="C278" s="19" t="s">
        <v>792</v>
      </c>
      <c r="D278" s="19" t="s">
        <v>791</v>
      </c>
      <c r="E278" s="19" t="s">
        <v>65</v>
      </c>
      <c r="F278" s="8" t="s">
        <v>67</v>
      </c>
      <c r="G278" s="8" t="s">
        <v>68</v>
      </c>
      <c r="H278" s="19" t="s">
        <v>123</v>
      </c>
      <c r="I278" s="19" t="s">
        <v>758</v>
      </c>
      <c r="J278" s="19" t="s">
        <v>259</v>
      </c>
    </row>
    <row r="279" ht="18" customHeight="1" outlineLevel="2" spans="1:10">
      <c r="A279" s="18">
        <v>6</v>
      </c>
      <c r="B279" s="18">
        <v>36</v>
      </c>
      <c r="C279" s="19" t="s">
        <v>794</v>
      </c>
      <c r="D279" s="19" t="s">
        <v>793</v>
      </c>
      <c r="E279" s="19" t="s">
        <v>65</v>
      </c>
      <c r="F279" s="8" t="s">
        <v>67</v>
      </c>
      <c r="G279" s="8" t="s">
        <v>68</v>
      </c>
      <c r="H279" s="19" t="s">
        <v>123</v>
      </c>
      <c r="I279" s="19" t="s">
        <v>758</v>
      </c>
      <c r="J279" s="19" t="s">
        <v>262</v>
      </c>
    </row>
    <row r="280" ht="18" customHeight="1" outlineLevel="2" spans="1:10">
      <c r="A280" s="18">
        <v>2</v>
      </c>
      <c r="B280" s="18">
        <v>5</v>
      </c>
      <c r="C280" s="19" t="s">
        <v>796</v>
      </c>
      <c r="D280" s="19" t="s">
        <v>795</v>
      </c>
      <c r="E280" s="19" t="s">
        <v>65</v>
      </c>
      <c r="F280" s="8" t="s">
        <v>67</v>
      </c>
      <c r="G280" s="8" t="s">
        <v>68</v>
      </c>
      <c r="H280" s="19" t="s">
        <v>123</v>
      </c>
      <c r="I280" s="19" t="s">
        <v>758</v>
      </c>
      <c r="J280" s="19" t="s">
        <v>265</v>
      </c>
    </row>
    <row r="281" ht="18" customHeight="1" outlineLevel="2" spans="1:10">
      <c r="A281" s="18">
        <v>4</v>
      </c>
      <c r="B281" s="18">
        <v>31</v>
      </c>
      <c r="C281" s="19" t="s">
        <v>798</v>
      </c>
      <c r="D281" s="19" t="s">
        <v>797</v>
      </c>
      <c r="E281" s="19" t="s">
        <v>65</v>
      </c>
      <c r="F281" s="8" t="s">
        <v>67</v>
      </c>
      <c r="G281" s="8" t="s">
        <v>68</v>
      </c>
      <c r="H281" s="19" t="s">
        <v>123</v>
      </c>
      <c r="I281" s="19" t="s">
        <v>758</v>
      </c>
      <c r="J281" s="19" t="s">
        <v>268</v>
      </c>
    </row>
    <row r="282" ht="18" customHeight="1" outlineLevel="2" spans="1:10">
      <c r="A282" s="18">
        <v>7</v>
      </c>
      <c r="B282" s="18">
        <v>26</v>
      </c>
      <c r="C282" s="19" t="s">
        <v>800</v>
      </c>
      <c r="D282" s="19" t="s">
        <v>799</v>
      </c>
      <c r="E282" s="19" t="s">
        <v>65</v>
      </c>
      <c r="F282" s="8" t="s">
        <v>67</v>
      </c>
      <c r="G282" s="8" t="s">
        <v>68</v>
      </c>
      <c r="H282" s="19" t="s">
        <v>123</v>
      </c>
      <c r="I282" s="19" t="s">
        <v>758</v>
      </c>
      <c r="J282" s="19" t="s">
        <v>271</v>
      </c>
    </row>
    <row r="283" ht="18" customHeight="1" outlineLevel="2" spans="1:10">
      <c r="A283" s="18">
        <v>6</v>
      </c>
      <c r="B283" s="18">
        <v>38</v>
      </c>
      <c r="C283" s="19" t="s">
        <v>802</v>
      </c>
      <c r="D283" s="19" t="s">
        <v>801</v>
      </c>
      <c r="E283" s="19" t="s">
        <v>65</v>
      </c>
      <c r="F283" s="8" t="s">
        <v>67</v>
      </c>
      <c r="G283" s="8" t="s">
        <v>68</v>
      </c>
      <c r="H283" s="19" t="s">
        <v>123</v>
      </c>
      <c r="I283" s="19" t="s">
        <v>758</v>
      </c>
      <c r="J283" s="19" t="s">
        <v>274</v>
      </c>
    </row>
    <row r="284" ht="18" customHeight="1" outlineLevel="2" spans="1:10">
      <c r="A284" s="18">
        <v>6</v>
      </c>
      <c r="B284" s="18">
        <v>14</v>
      </c>
      <c r="C284" s="19" t="s">
        <v>804</v>
      </c>
      <c r="D284" s="19" t="s">
        <v>803</v>
      </c>
      <c r="E284" s="19" t="s">
        <v>65</v>
      </c>
      <c r="F284" s="8" t="s">
        <v>67</v>
      </c>
      <c r="G284" s="8" t="s">
        <v>68</v>
      </c>
      <c r="H284" s="19" t="s">
        <v>123</v>
      </c>
      <c r="I284" s="19" t="s">
        <v>758</v>
      </c>
      <c r="J284" s="19" t="s">
        <v>277</v>
      </c>
    </row>
    <row r="285" ht="18" customHeight="1" outlineLevel="2" spans="1:10">
      <c r="A285" s="18">
        <v>2</v>
      </c>
      <c r="B285" s="18">
        <v>8</v>
      </c>
      <c r="C285" s="19" t="s">
        <v>806</v>
      </c>
      <c r="D285" s="19" t="s">
        <v>805</v>
      </c>
      <c r="E285" s="19" t="s">
        <v>65</v>
      </c>
      <c r="F285" s="8" t="s">
        <v>67</v>
      </c>
      <c r="G285" s="8" t="s">
        <v>68</v>
      </c>
      <c r="H285" s="19" t="s">
        <v>123</v>
      </c>
      <c r="I285" s="19" t="s">
        <v>758</v>
      </c>
      <c r="J285" s="19" t="s">
        <v>280</v>
      </c>
    </row>
    <row r="286" ht="18" customHeight="1" outlineLevel="2" spans="1:10">
      <c r="A286" s="18">
        <v>3</v>
      </c>
      <c r="B286" s="18">
        <v>14</v>
      </c>
      <c r="C286" s="19" t="s">
        <v>808</v>
      </c>
      <c r="D286" s="19" t="s">
        <v>807</v>
      </c>
      <c r="E286" s="19" t="s">
        <v>65</v>
      </c>
      <c r="F286" s="8" t="s">
        <v>67</v>
      </c>
      <c r="G286" s="8" t="s">
        <v>68</v>
      </c>
      <c r="H286" s="19" t="s">
        <v>123</v>
      </c>
      <c r="I286" s="19" t="s">
        <v>758</v>
      </c>
      <c r="J286" s="19" t="s">
        <v>283</v>
      </c>
    </row>
    <row r="287" ht="18" customHeight="1" outlineLevel="2" spans="1:10">
      <c r="A287" s="18">
        <v>9</v>
      </c>
      <c r="B287" s="18">
        <v>37</v>
      </c>
      <c r="C287" s="19" t="s">
        <v>810</v>
      </c>
      <c r="D287" s="19" t="s">
        <v>809</v>
      </c>
      <c r="E287" s="19" t="s">
        <v>65</v>
      </c>
      <c r="F287" s="8" t="s">
        <v>67</v>
      </c>
      <c r="G287" s="8" t="s">
        <v>68</v>
      </c>
      <c r="H287" s="19" t="s">
        <v>123</v>
      </c>
      <c r="I287" s="19" t="s">
        <v>758</v>
      </c>
      <c r="J287" s="19" t="s">
        <v>286</v>
      </c>
    </row>
    <row r="288" ht="18" customHeight="1" outlineLevel="2" spans="1:10">
      <c r="A288" s="18">
        <v>9</v>
      </c>
      <c r="B288" s="18">
        <v>21</v>
      </c>
      <c r="C288" s="19" t="s">
        <v>812</v>
      </c>
      <c r="D288" s="19" t="s">
        <v>811</v>
      </c>
      <c r="E288" s="19" t="s">
        <v>65</v>
      </c>
      <c r="F288" s="8" t="s">
        <v>67</v>
      </c>
      <c r="G288" s="8" t="s">
        <v>68</v>
      </c>
      <c r="H288" s="19" t="s">
        <v>123</v>
      </c>
      <c r="I288" s="19" t="s">
        <v>758</v>
      </c>
      <c r="J288" s="19" t="s">
        <v>289</v>
      </c>
    </row>
    <row r="289" ht="18" customHeight="1" outlineLevel="2" spans="1:10">
      <c r="A289" s="18">
        <v>3</v>
      </c>
      <c r="B289" s="18">
        <v>15</v>
      </c>
      <c r="C289" s="19" t="s">
        <v>814</v>
      </c>
      <c r="D289" s="19" t="s">
        <v>813</v>
      </c>
      <c r="E289" s="19" t="s">
        <v>65</v>
      </c>
      <c r="F289" s="8" t="s">
        <v>67</v>
      </c>
      <c r="G289" s="8" t="s">
        <v>68</v>
      </c>
      <c r="H289" s="19" t="s">
        <v>123</v>
      </c>
      <c r="I289" s="19" t="s">
        <v>758</v>
      </c>
      <c r="J289" s="19" t="s">
        <v>292</v>
      </c>
    </row>
    <row r="290" ht="18" customHeight="1" outlineLevel="2" spans="1:10">
      <c r="A290" s="18">
        <v>4</v>
      </c>
      <c r="B290" s="18">
        <v>32</v>
      </c>
      <c r="C290" s="19" t="s">
        <v>816</v>
      </c>
      <c r="D290" s="19" t="s">
        <v>815</v>
      </c>
      <c r="E290" s="19" t="s">
        <v>65</v>
      </c>
      <c r="F290" s="8" t="s">
        <v>67</v>
      </c>
      <c r="G290" s="8" t="s">
        <v>68</v>
      </c>
      <c r="H290" s="19" t="s">
        <v>123</v>
      </c>
      <c r="I290" s="19" t="s">
        <v>758</v>
      </c>
      <c r="J290" s="19" t="s">
        <v>295</v>
      </c>
    </row>
    <row r="291" ht="18" customHeight="1" outlineLevel="2" spans="1:10">
      <c r="A291" s="18">
        <v>9</v>
      </c>
      <c r="B291" s="18">
        <v>11</v>
      </c>
      <c r="C291" s="19" t="s">
        <v>818</v>
      </c>
      <c r="D291" s="19" t="s">
        <v>817</v>
      </c>
      <c r="E291" s="19" t="s">
        <v>65</v>
      </c>
      <c r="F291" s="8" t="s">
        <v>67</v>
      </c>
      <c r="G291" s="8" t="s">
        <v>68</v>
      </c>
      <c r="H291" s="19" t="s">
        <v>123</v>
      </c>
      <c r="I291" s="19" t="s">
        <v>758</v>
      </c>
      <c r="J291" s="19" t="s">
        <v>298</v>
      </c>
    </row>
    <row r="292" ht="18" customHeight="1" outlineLevel="2" spans="1:10">
      <c r="A292" s="18">
        <v>3</v>
      </c>
      <c r="B292" s="18">
        <v>48</v>
      </c>
      <c r="C292" s="19" t="s">
        <v>820</v>
      </c>
      <c r="D292" s="19" t="s">
        <v>819</v>
      </c>
      <c r="E292" s="19" t="s">
        <v>65</v>
      </c>
      <c r="F292" s="8" t="s">
        <v>67</v>
      </c>
      <c r="G292" s="8" t="s">
        <v>68</v>
      </c>
      <c r="H292" s="19" t="s">
        <v>123</v>
      </c>
      <c r="I292" s="19" t="s">
        <v>758</v>
      </c>
      <c r="J292" s="19" t="s">
        <v>301</v>
      </c>
    </row>
    <row r="293" ht="18" customHeight="1" outlineLevel="2" spans="1:10">
      <c r="A293" s="18">
        <v>1</v>
      </c>
      <c r="B293" s="18">
        <v>13</v>
      </c>
      <c r="C293" s="19" t="s">
        <v>822</v>
      </c>
      <c r="D293" s="19" t="s">
        <v>821</v>
      </c>
      <c r="E293" s="19" t="s">
        <v>65</v>
      </c>
      <c r="F293" s="8" t="s">
        <v>67</v>
      </c>
      <c r="G293" s="8" t="s">
        <v>68</v>
      </c>
      <c r="H293" s="19" t="s">
        <v>123</v>
      </c>
      <c r="I293" s="19" t="s">
        <v>758</v>
      </c>
      <c r="J293" s="19" t="s">
        <v>304</v>
      </c>
    </row>
    <row r="294" ht="18" customHeight="1" outlineLevel="2" spans="1:10">
      <c r="A294" s="18">
        <v>7</v>
      </c>
      <c r="B294" s="18">
        <v>39</v>
      </c>
      <c r="C294" s="19" t="s">
        <v>824</v>
      </c>
      <c r="D294" s="19" t="s">
        <v>823</v>
      </c>
      <c r="E294" s="19" t="s">
        <v>65</v>
      </c>
      <c r="F294" s="8" t="s">
        <v>67</v>
      </c>
      <c r="G294" s="8" t="s">
        <v>68</v>
      </c>
      <c r="H294" s="19" t="s">
        <v>123</v>
      </c>
      <c r="I294" s="19" t="s">
        <v>758</v>
      </c>
      <c r="J294" s="19" t="s">
        <v>307</v>
      </c>
    </row>
    <row r="295" ht="18" customHeight="1" outlineLevel="2" spans="1:10">
      <c r="A295" s="18">
        <v>7</v>
      </c>
      <c r="B295" s="18">
        <v>21</v>
      </c>
      <c r="C295" s="19" t="s">
        <v>826</v>
      </c>
      <c r="D295" s="19" t="s">
        <v>825</v>
      </c>
      <c r="E295" s="19" t="s">
        <v>65</v>
      </c>
      <c r="F295" s="8" t="s">
        <v>67</v>
      </c>
      <c r="G295" s="8" t="s">
        <v>68</v>
      </c>
      <c r="H295" s="19" t="s">
        <v>123</v>
      </c>
      <c r="I295" s="19" t="s">
        <v>758</v>
      </c>
      <c r="J295" s="19" t="s">
        <v>310</v>
      </c>
    </row>
    <row r="296" ht="18" customHeight="1" outlineLevel="2" spans="1:10">
      <c r="A296" s="18">
        <v>9</v>
      </c>
      <c r="B296" s="18">
        <v>51</v>
      </c>
      <c r="C296" s="19" t="s">
        <v>828</v>
      </c>
      <c r="D296" s="19" t="s">
        <v>827</v>
      </c>
      <c r="E296" s="19" t="s">
        <v>65</v>
      </c>
      <c r="F296" s="8" t="s">
        <v>67</v>
      </c>
      <c r="G296" s="8" t="s">
        <v>68</v>
      </c>
      <c r="H296" s="19" t="s">
        <v>123</v>
      </c>
      <c r="I296" s="19" t="s">
        <v>758</v>
      </c>
      <c r="J296" s="19" t="s">
        <v>313</v>
      </c>
    </row>
    <row r="297" ht="18" customHeight="1" outlineLevel="2" spans="1:10">
      <c r="A297" s="18">
        <v>9</v>
      </c>
      <c r="B297" s="18">
        <v>13</v>
      </c>
      <c r="C297" s="19" t="s">
        <v>830</v>
      </c>
      <c r="D297" s="19" t="s">
        <v>829</v>
      </c>
      <c r="E297" s="19" t="s">
        <v>65</v>
      </c>
      <c r="F297" s="8" t="s">
        <v>67</v>
      </c>
      <c r="G297" s="8" t="s">
        <v>68</v>
      </c>
      <c r="H297" s="19" t="s">
        <v>123</v>
      </c>
      <c r="I297" s="19" t="s">
        <v>758</v>
      </c>
      <c r="J297" s="19" t="s">
        <v>316</v>
      </c>
    </row>
    <row r="298" ht="18" customHeight="1" outlineLevel="2" spans="1:10">
      <c r="A298" s="18">
        <v>1</v>
      </c>
      <c r="B298" s="18">
        <v>17</v>
      </c>
      <c r="C298" s="19" t="s">
        <v>832</v>
      </c>
      <c r="D298" s="19" t="s">
        <v>831</v>
      </c>
      <c r="E298" s="19" t="s">
        <v>65</v>
      </c>
      <c r="F298" s="8" t="s">
        <v>67</v>
      </c>
      <c r="G298" s="8" t="s">
        <v>68</v>
      </c>
      <c r="H298" s="19" t="s">
        <v>123</v>
      </c>
      <c r="I298" s="19" t="s">
        <v>758</v>
      </c>
      <c r="J298" s="19" t="s">
        <v>319</v>
      </c>
    </row>
    <row r="299" ht="18" customHeight="1" outlineLevel="2" spans="1:10">
      <c r="A299" s="18">
        <v>8</v>
      </c>
      <c r="B299" s="18">
        <v>32</v>
      </c>
      <c r="C299" s="19" t="s">
        <v>834</v>
      </c>
      <c r="D299" s="19" t="s">
        <v>833</v>
      </c>
      <c r="E299" s="19" t="s">
        <v>65</v>
      </c>
      <c r="F299" s="8" t="s">
        <v>67</v>
      </c>
      <c r="G299" s="8" t="s">
        <v>68</v>
      </c>
      <c r="H299" s="19" t="s">
        <v>123</v>
      </c>
      <c r="I299" s="19" t="s">
        <v>758</v>
      </c>
      <c r="J299" s="19" t="s">
        <v>322</v>
      </c>
    </row>
    <row r="300" ht="18" customHeight="1" outlineLevel="2" spans="1:10">
      <c r="A300" s="18">
        <v>2</v>
      </c>
      <c r="B300" s="18">
        <v>21</v>
      </c>
      <c r="C300" s="19" t="s">
        <v>836</v>
      </c>
      <c r="D300" s="19" t="s">
        <v>835</v>
      </c>
      <c r="E300" s="19" t="s">
        <v>65</v>
      </c>
      <c r="F300" s="8" t="s">
        <v>67</v>
      </c>
      <c r="G300" s="8" t="s">
        <v>68</v>
      </c>
      <c r="H300" s="19" t="s">
        <v>123</v>
      </c>
      <c r="I300" s="19" t="s">
        <v>758</v>
      </c>
      <c r="J300" s="19" t="s">
        <v>325</v>
      </c>
    </row>
    <row r="301" ht="18" customHeight="1" outlineLevel="2" spans="1:10">
      <c r="A301" s="18">
        <v>1</v>
      </c>
      <c r="B301" s="18">
        <v>21</v>
      </c>
      <c r="C301" s="19" t="s">
        <v>838</v>
      </c>
      <c r="D301" s="19" t="s">
        <v>837</v>
      </c>
      <c r="E301" s="19" t="s">
        <v>65</v>
      </c>
      <c r="F301" s="8" t="s">
        <v>67</v>
      </c>
      <c r="G301" s="8" t="s">
        <v>68</v>
      </c>
      <c r="H301" s="19" t="s">
        <v>123</v>
      </c>
      <c r="I301" s="19" t="s">
        <v>758</v>
      </c>
      <c r="J301" s="19" t="s">
        <v>328</v>
      </c>
    </row>
    <row r="302" ht="18" customHeight="1" outlineLevel="2" spans="1:10">
      <c r="A302" s="18">
        <v>9</v>
      </c>
      <c r="B302" s="18">
        <v>2</v>
      </c>
      <c r="C302" s="19" t="s">
        <v>840</v>
      </c>
      <c r="D302" s="19" t="s">
        <v>839</v>
      </c>
      <c r="E302" s="19" t="s">
        <v>65</v>
      </c>
      <c r="F302" s="8" t="s">
        <v>67</v>
      </c>
      <c r="G302" s="8" t="s">
        <v>68</v>
      </c>
      <c r="H302" s="19" t="s">
        <v>123</v>
      </c>
      <c r="I302" s="19" t="s">
        <v>758</v>
      </c>
      <c r="J302" s="19" t="s">
        <v>331</v>
      </c>
    </row>
    <row r="303" ht="18" customHeight="1" outlineLevel="1" spans="1:10">
      <c r="A303" s="18"/>
      <c r="B303" s="18"/>
      <c r="C303" s="19">
        <f>SUBTOTAL(3,C261:C302)</f>
        <v>42</v>
      </c>
      <c r="D303" s="19"/>
      <c r="E303" s="19"/>
      <c r="F303" s="8"/>
      <c r="G303" s="8"/>
      <c r="H303" s="20" t="s">
        <v>1935</v>
      </c>
      <c r="I303" s="19"/>
      <c r="J303" s="19"/>
    </row>
    <row r="304" ht="18" customHeight="1" outlineLevel="2" spans="1:10">
      <c r="A304" s="18">
        <v>5</v>
      </c>
      <c r="B304" s="18">
        <v>35</v>
      </c>
      <c r="C304" s="19" t="s">
        <v>842</v>
      </c>
      <c r="D304" s="19" t="s">
        <v>841</v>
      </c>
      <c r="E304" s="19" t="s">
        <v>65</v>
      </c>
      <c r="F304" s="8" t="s">
        <v>67</v>
      </c>
      <c r="G304" s="8" t="s">
        <v>68</v>
      </c>
      <c r="H304" s="19" t="s">
        <v>132</v>
      </c>
      <c r="I304" s="19" t="s">
        <v>843</v>
      </c>
      <c r="J304" s="19" t="s">
        <v>207</v>
      </c>
    </row>
    <row r="305" ht="18" customHeight="1" outlineLevel="2" spans="1:10">
      <c r="A305" s="18">
        <v>2</v>
      </c>
      <c r="B305" s="18">
        <v>22</v>
      </c>
      <c r="C305" s="19" t="s">
        <v>845</v>
      </c>
      <c r="D305" s="19" t="s">
        <v>844</v>
      </c>
      <c r="E305" s="19" t="s">
        <v>65</v>
      </c>
      <c r="F305" s="8" t="s">
        <v>67</v>
      </c>
      <c r="G305" s="8" t="s">
        <v>68</v>
      </c>
      <c r="H305" s="19" t="s">
        <v>132</v>
      </c>
      <c r="I305" s="19" t="s">
        <v>843</v>
      </c>
      <c r="J305" s="19" t="s">
        <v>210</v>
      </c>
    </row>
    <row r="306" ht="18" customHeight="1" outlineLevel="2" spans="1:10">
      <c r="A306" s="18">
        <v>1</v>
      </c>
      <c r="B306" s="18">
        <v>34</v>
      </c>
      <c r="C306" s="19" t="s">
        <v>847</v>
      </c>
      <c r="D306" s="19" t="s">
        <v>846</v>
      </c>
      <c r="E306" s="19" t="s">
        <v>65</v>
      </c>
      <c r="F306" s="8" t="s">
        <v>67</v>
      </c>
      <c r="G306" s="8" t="s">
        <v>68</v>
      </c>
      <c r="H306" s="19" t="s">
        <v>132</v>
      </c>
      <c r="I306" s="19" t="s">
        <v>843</v>
      </c>
      <c r="J306" s="19" t="s">
        <v>214</v>
      </c>
    </row>
    <row r="307" ht="18" customHeight="1" outlineLevel="2" spans="1:10">
      <c r="A307" s="18">
        <v>9</v>
      </c>
      <c r="B307" s="18">
        <v>43</v>
      </c>
      <c r="C307" s="19" t="s">
        <v>849</v>
      </c>
      <c r="D307" s="19" t="s">
        <v>848</v>
      </c>
      <c r="E307" s="19" t="s">
        <v>65</v>
      </c>
      <c r="F307" s="8" t="s">
        <v>67</v>
      </c>
      <c r="G307" s="8" t="s">
        <v>68</v>
      </c>
      <c r="H307" s="19" t="s">
        <v>132</v>
      </c>
      <c r="I307" s="19" t="s">
        <v>843</v>
      </c>
      <c r="J307" s="19" t="s">
        <v>217</v>
      </c>
    </row>
    <row r="308" ht="18" customHeight="1" outlineLevel="2" spans="1:10">
      <c r="A308" s="18">
        <v>7</v>
      </c>
      <c r="B308" s="18">
        <v>47</v>
      </c>
      <c r="C308" s="19" t="s">
        <v>851</v>
      </c>
      <c r="D308" s="19" t="s">
        <v>850</v>
      </c>
      <c r="E308" s="19" t="s">
        <v>65</v>
      </c>
      <c r="F308" s="8" t="s">
        <v>67</v>
      </c>
      <c r="G308" s="8" t="s">
        <v>68</v>
      </c>
      <c r="H308" s="19" t="s">
        <v>132</v>
      </c>
      <c r="I308" s="19" t="s">
        <v>843</v>
      </c>
      <c r="J308" s="19" t="s">
        <v>220</v>
      </c>
    </row>
    <row r="309" ht="18" customHeight="1" outlineLevel="2" spans="1:10">
      <c r="A309" s="18">
        <v>4</v>
      </c>
      <c r="B309" s="18">
        <v>50</v>
      </c>
      <c r="C309" s="19" t="s">
        <v>853</v>
      </c>
      <c r="D309" s="19" t="s">
        <v>852</v>
      </c>
      <c r="E309" s="19" t="s">
        <v>65</v>
      </c>
      <c r="F309" s="8" t="s">
        <v>67</v>
      </c>
      <c r="G309" s="8" t="s">
        <v>68</v>
      </c>
      <c r="H309" s="19" t="s">
        <v>132</v>
      </c>
      <c r="I309" s="19" t="s">
        <v>843</v>
      </c>
      <c r="J309" s="19" t="s">
        <v>223</v>
      </c>
    </row>
    <row r="310" ht="18" customHeight="1" outlineLevel="2" spans="1:10">
      <c r="A310" s="18">
        <v>9</v>
      </c>
      <c r="B310" s="18">
        <v>8</v>
      </c>
      <c r="C310" s="19" t="s">
        <v>855</v>
      </c>
      <c r="D310" s="19" t="s">
        <v>854</v>
      </c>
      <c r="E310" s="19" t="s">
        <v>65</v>
      </c>
      <c r="F310" s="8" t="s">
        <v>67</v>
      </c>
      <c r="G310" s="8" t="s">
        <v>68</v>
      </c>
      <c r="H310" s="19" t="s">
        <v>132</v>
      </c>
      <c r="I310" s="19" t="s">
        <v>843</v>
      </c>
      <c r="J310" s="19" t="s">
        <v>226</v>
      </c>
    </row>
    <row r="311" ht="18" customHeight="1" outlineLevel="2" spans="1:10">
      <c r="A311" s="18">
        <v>3</v>
      </c>
      <c r="B311" s="18">
        <v>16</v>
      </c>
      <c r="C311" s="19" t="s">
        <v>857</v>
      </c>
      <c r="D311" s="19" t="s">
        <v>856</v>
      </c>
      <c r="E311" s="19" t="s">
        <v>65</v>
      </c>
      <c r="F311" s="8" t="s">
        <v>67</v>
      </c>
      <c r="G311" s="8" t="s">
        <v>68</v>
      </c>
      <c r="H311" s="19" t="s">
        <v>132</v>
      </c>
      <c r="I311" s="19" t="s">
        <v>843</v>
      </c>
      <c r="J311" s="19" t="s">
        <v>229</v>
      </c>
    </row>
    <row r="312" ht="18" customHeight="1" outlineLevel="2" spans="1:10">
      <c r="A312" s="18">
        <v>2</v>
      </c>
      <c r="B312" s="18">
        <v>47</v>
      </c>
      <c r="C312" s="19" t="s">
        <v>859</v>
      </c>
      <c r="D312" s="19" t="s">
        <v>858</v>
      </c>
      <c r="E312" s="19" t="s">
        <v>65</v>
      </c>
      <c r="F312" s="8" t="s">
        <v>67</v>
      </c>
      <c r="G312" s="8" t="s">
        <v>68</v>
      </c>
      <c r="H312" s="19" t="s">
        <v>132</v>
      </c>
      <c r="I312" s="19" t="s">
        <v>843</v>
      </c>
      <c r="J312" s="19" t="s">
        <v>232</v>
      </c>
    </row>
    <row r="313" ht="18" customHeight="1" outlineLevel="2" spans="1:10">
      <c r="A313" s="18">
        <v>7</v>
      </c>
      <c r="B313" s="18">
        <v>10</v>
      </c>
      <c r="C313" s="19" t="s">
        <v>861</v>
      </c>
      <c r="D313" s="19" t="s">
        <v>860</v>
      </c>
      <c r="E313" s="19" t="s">
        <v>65</v>
      </c>
      <c r="F313" s="8" t="s">
        <v>67</v>
      </c>
      <c r="G313" s="8" t="s">
        <v>68</v>
      </c>
      <c r="H313" s="19" t="s">
        <v>132</v>
      </c>
      <c r="I313" s="19" t="s">
        <v>843</v>
      </c>
      <c r="J313" s="19" t="s">
        <v>235</v>
      </c>
    </row>
    <row r="314" ht="18" customHeight="1" outlineLevel="2" spans="1:10">
      <c r="A314" s="18">
        <v>3</v>
      </c>
      <c r="B314" s="18">
        <v>35</v>
      </c>
      <c r="C314" s="19" t="s">
        <v>863</v>
      </c>
      <c r="D314" s="19" t="s">
        <v>862</v>
      </c>
      <c r="E314" s="19" t="s">
        <v>65</v>
      </c>
      <c r="F314" s="8" t="s">
        <v>67</v>
      </c>
      <c r="G314" s="8" t="s">
        <v>68</v>
      </c>
      <c r="H314" s="19" t="s">
        <v>132</v>
      </c>
      <c r="I314" s="19" t="s">
        <v>843</v>
      </c>
      <c r="J314" s="19" t="s">
        <v>238</v>
      </c>
    </row>
    <row r="315" ht="18" customHeight="1" outlineLevel="2" spans="1:10">
      <c r="A315" s="18">
        <v>7</v>
      </c>
      <c r="B315" s="18">
        <v>14</v>
      </c>
      <c r="C315" s="19" t="s">
        <v>865</v>
      </c>
      <c r="D315" s="19" t="s">
        <v>864</v>
      </c>
      <c r="E315" s="19" t="s">
        <v>65</v>
      </c>
      <c r="F315" s="8" t="s">
        <v>67</v>
      </c>
      <c r="G315" s="8" t="s">
        <v>68</v>
      </c>
      <c r="H315" s="19" t="s">
        <v>132</v>
      </c>
      <c r="I315" s="19" t="s">
        <v>843</v>
      </c>
      <c r="J315" s="19" t="s">
        <v>241</v>
      </c>
    </row>
    <row r="316" ht="18" customHeight="1" outlineLevel="2" spans="1:10">
      <c r="A316" s="18">
        <v>1</v>
      </c>
      <c r="B316" s="18">
        <v>2</v>
      </c>
      <c r="C316" s="19" t="s">
        <v>867</v>
      </c>
      <c r="D316" s="19" t="s">
        <v>866</v>
      </c>
      <c r="E316" s="19" t="s">
        <v>65</v>
      </c>
      <c r="F316" s="8" t="s">
        <v>67</v>
      </c>
      <c r="G316" s="8" t="s">
        <v>68</v>
      </c>
      <c r="H316" s="19" t="s">
        <v>132</v>
      </c>
      <c r="I316" s="19" t="s">
        <v>843</v>
      </c>
      <c r="J316" s="19" t="s">
        <v>244</v>
      </c>
    </row>
    <row r="317" ht="18" customHeight="1" outlineLevel="2" spans="1:10">
      <c r="A317" s="18">
        <v>7</v>
      </c>
      <c r="B317" s="18">
        <v>49</v>
      </c>
      <c r="C317" s="19" t="s">
        <v>869</v>
      </c>
      <c r="D317" s="19" t="s">
        <v>868</v>
      </c>
      <c r="E317" s="19" t="s">
        <v>65</v>
      </c>
      <c r="F317" s="8" t="s">
        <v>67</v>
      </c>
      <c r="G317" s="8" t="s">
        <v>68</v>
      </c>
      <c r="H317" s="19" t="s">
        <v>132</v>
      </c>
      <c r="I317" s="19" t="s">
        <v>843</v>
      </c>
      <c r="J317" s="19" t="s">
        <v>247</v>
      </c>
    </row>
    <row r="318" ht="18" customHeight="1" outlineLevel="2" spans="1:10">
      <c r="A318" s="18">
        <v>6</v>
      </c>
      <c r="B318" s="18">
        <v>50</v>
      </c>
      <c r="C318" s="19" t="s">
        <v>871</v>
      </c>
      <c r="D318" s="19" t="s">
        <v>870</v>
      </c>
      <c r="E318" s="19" t="s">
        <v>65</v>
      </c>
      <c r="F318" s="8" t="s">
        <v>67</v>
      </c>
      <c r="G318" s="8" t="s">
        <v>68</v>
      </c>
      <c r="H318" s="19" t="s">
        <v>132</v>
      </c>
      <c r="I318" s="19" t="s">
        <v>843</v>
      </c>
      <c r="J318" s="19" t="s">
        <v>250</v>
      </c>
    </row>
    <row r="319" ht="18" customHeight="1" outlineLevel="2" spans="1:10">
      <c r="A319" s="18">
        <v>5</v>
      </c>
      <c r="B319" s="18">
        <v>34</v>
      </c>
      <c r="C319" s="19" t="s">
        <v>873</v>
      </c>
      <c r="D319" s="19" t="s">
        <v>872</v>
      </c>
      <c r="E319" s="19" t="s">
        <v>65</v>
      </c>
      <c r="F319" s="8" t="s">
        <v>67</v>
      </c>
      <c r="G319" s="8" t="s">
        <v>68</v>
      </c>
      <c r="H319" s="19" t="s">
        <v>132</v>
      </c>
      <c r="I319" s="19" t="s">
        <v>843</v>
      </c>
      <c r="J319" s="19" t="s">
        <v>253</v>
      </c>
    </row>
    <row r="320" ht="18" customHeight="1" outlineLevel="2" spans="1:10">
      <c r="A320" s="18">
        <v>5</v>
      </c>
      <c r="B320" s="18">
        <v>11</v>
      </c>
      <c r="C320" s="19" t="s">
        <v>875</v>
      </c>
      <c r="D320" s="19" t="s">
        <v>874</v>
      </c>
      <c r="E320" s="19" t="s">
        <v>65</v>
      </c>
      <c r="F320" s="8" t="s">
        <v>67</v>
      </c>
      <c r="G320" s="8" t="s">
        <v>68</v>
      </c>
      <c r="H320" s="19" t="s">
        <v>132</v>
      </c>
      <c r="I320" s="19" t="s">
        <v>843</v>
      </c>
      <c r="J320" s="19" t="s">
        <v>256</v>
      </c>
    </row>
    <row r="321" ht="18" customHeight="1" outlineLevel="2" spans="1:10">
      <c r="A321" s="18">
        <v>6</v>
      </c>
      <c r="B321" s="18">
        <v>4</v>
      </c>
      <c r="C321" s="19" t="s">
        <v>877</v>
      </c>
      <c r="D321" s="19" t="s">
        <v>876</v>
      </c>
      <c r="E321" s="19" t="s">
        <v>65</v>
      </c>
      <c r="F321" s="8" t="s">
        <v>67</v>
      </c>
      <c r="G321" s="8" t="s">
        <v>68</v>
      </c>
      <c r="H321" s="19" t="s">
        <v>132</v>
      </c>
      <c r="I321" s="19" t="s">
        <v>843</v>
      </c>
      <c r="J321" s="19" t="s">
        <v>259</v>
      </c>
    </row>
    <row r="322" ht="18" customHeight="1" outlineLevel="2" spans="1:10">
      <c r="A322" s="18">
        <v>6</v>
      </c>
      <c r="B322" s="18">
        <v>39</v>
      </c>
      <c r="C322" s="19" t="s">
        <v>879</v>
      </c>
      <c r="D322" s="19" t="s">
        <v>878</v>
      </c>
      <c r="E322" s="19" t="s">
        <v>65</v>
      </c>
      <c r="F322" s="8" t="s">
        <v>67</v>
      </c>
      <c r="G322" s="8" t="s">
        <v>68</v>
      </c>
      <c r="H322" s="19" t="s">
        <v>132</v>
      </c>
      <c r="I322" s="19" t="s">
        <v>843</v>
      </c>
      <c r="J322" s="19" t="s">
        <v>262</v>
      </c>
    </row>
    <row r="323" ht="18" customHeight="1" outlineLevel="2" spans="1:10">
      <c r="A323" s="18">
        <v>1</v>
      </c>
      <c r="B323" s="18">
        <v>9</v>
      </c>
      <c r="C323" s="19" t="s">
        <v>881</v>
      </c>
      <c r="D323" s="19" t="s">
        <v>880</v>
      </c>
      <c r="E323" s="19" t="s">
        <v>65</v>
      </c>
      <c r="F323" s="8" t="s">
        <v>67</v>
      </c>
      <c r="G323" s="8" t="s">
        <v>68</v>
      </c>
      <c r="H323" s="19" t="s">
        <v>132</v>
      </c>
      <c r="I323" s="19" t="s">
        <v>843</v>
      </c>
      <c r="J323" s="19" t="s">
        <v>265</v>
      </c>
    </row>
    <row r="324" ht="18" customHeight="1" outlineLevel="2" spans="1:10">
      <c r="A324" s="18">
        <v>1</v>
      </c>
      <c r="B324" s="18">
        <v>28</v>
      </c>
      <c r="C324" s="19" t="s">
        <v>883</v>
      </c>
      <c r="D324" s="19" t="s">
        <v>882</v>
      </c>
      <c r="E324" s="19" t="s">
        <v>65</v>
      </c>
      <c r="F324" s="8" t="s">
        <v>67</v>
      </c>
      <c r="G324" s="8" t="s">
        <v>68</v>
      </c>
      <c r="H324" s="19" t="s">
        <v>132</v>
      </c>
      <c r="I324" s="19" t="s">
        <v>843</v>
      </c>
      <c r="J324" s="19" t="s">
        <v>268</v>
      </c>
    </row>
    <row r="325" ht="18" customHeight="1" outlineLevel="2" spans="1:10">
      <c r="A325" s="18">
        <v>3</v>
      </c>
      <c r="B325" s="18">
        <v>41</v>
      </c>
      <c r="C325" s="19" t="s">
        <v>885</v>
      </c>
      <c r="D325" s="19" t="s">
        <v>884</v>
      </c>
      <c r="E325" s="19" t="s">
        <v>65</v>
      </c>
      <c r="F325" s="8" t="s">
        <v>67</v>
      </c>
      <c r="G325" s="8" t="s">
        <v>68</v>
      </c>
      <c r="H325" s="19" t="s">
        <v>132</v>
      </c>
      <c r="I325" s="19" t="s">
        <v>843</v>
      </c>
      <c r="J325" s="19" t="s">
        <v>271</v>
      </c>
    </row>
    <row r="326" ht="18" customHeight="1" outlineLevel="2" spans="1:10">
      <c r="A326" s="18">
        <v>6</v>
      </c>
      <c r="B326" s="18">
        <v>47</v>
      </c>
      <c r="C326" s="19" t="s">
        <v>887</v>
      </c>
      <c r="D326" s="19" t="s">
        <v>886</v>
      </c>
      <c r="E326" s="19" t="s">
        <v>65</v>
      </c>
      <c r="F326" s="8" t="s">
        <v>67</v>
      </c>
      <c r="G326" s="8" t="s">
        <v>68</v>
      </c>
      <c r="H326" s="19" t="s">
        <v>132</v>
      </c>
      <c r="I326" s="19" t="s">
        <v>843</v>
      </c>
      <c r="J326" s="19" t="s">
        <v>274</v>
      </c>
    </row>
    <row r="327" ht="18" customHeight="1" outlineLevel="2" spans="1:10">
      <c r="A327" s="18">
        <v>4</v>
      </c>
      <c r="B327" s="18">
        <v>23</v>
      </c>
      <c r="C327" s="19" t="s">
        <v>889</v>
      </c>
      <c r="D327" s="19" t="s">
        <v>888</v>
      </c>
      <c r="E327" s="19" t="s">
        <v>65</v>
      </c>
      <c r="F327" s="8" t="s">
        <v>67</v>
      </c>
      <c r="G327" s="8" t="s">
        <v>68</v>
      </c>
      <c r="H327" s="19" t="s">
        <v>132</v>
      </c>
      <c r="I327" s="19" t="s">
        <v>843</v>
      </c>
      <c r="J327" s="19" t="s">
        <v>277</v>
      </c>
    </row>
    <row r="328" ht="18" customHeight="1" outlineLevel="2" spans="1:10">
      <c r="A328" s="18">
        <v>2</v>
      </c>
      <c r="B328" s="18">
        <v>48</v>
      </c>
      <c r="C328" s="19" t="s">
        <v>891</v>
      </c>
      <c r="D328" s="19" t="s">
        <v>890</v>
      </c>
      <c r="E328" s="19" t="s">
        <v>65</v>
      </c>
      <c r="F328" s="8" t="s">
        <v>67</v>
      </c>
      <c r="G328" s="8" t="s">
        <v>68</v>
      </c>
      <c r="H328" s="19" t="s">
        <v>132</v>
      </c>
      <c r="I328" s="19" t="s">
        <v>843</v>
      </c>
      <c r="J328" s="19" t="s">
        <v>280</v>
      </c>
    </row>
    <row r="329" ht="18" customHeight="1" outlineLevel="2" spans="1:10">
      <c r="A329" s="18">
        <v>6</v>
      </c>
      <c r="B329" s="18">
        <v>7</v>
      </c>
      <c r="C329" s="19" t="s">
        <v>893</v>
      </c>
      <c r="D329" s="19" t="s">
        <v>892</v>
      </c>
      <c r="E329" s="19" t="s">
        <v>65</v>
      </c>
      <c r="F329" s="8" t="s">
        <v>67</v>
      </c>
      <c r="G329" s="8" t="s">
        <v>68</v>
      </c>
      <c r="H329" s="19" t="s">
        <v>132</v>
      </c>
      <c r="I329" s="19" t="s">
        <v>843</v>
      </c>
      <c r="J329" s="19" t="s">
        <v>283</v>
      </c>
    </row>
    <row r="330" ht="18" customHeight="1" outlineLevel="2" spans="1:10">
      <c r="A330" s="18">
        <v>4</v>
      </c>
      <c r="B330" s="18">
        <v>11</v>
      </c>
      <c r="C330" s="19" t="s">
        <v>895</v>
      </c>
      <c r="D330" s="19" t="s">
        <v>894</v>
      </c>
      <c r="E330" s="19" t="s">
        <v>65</v>
      </c>
      <c r="F330" s="8" t="s">
        <v>67</v>
      </c>
      <c r="G330" s="8" t="s">
        <v>68</v>
      </c>
      <c r="H330" s="19" t="s">
        <v>132</v>
      </c>
      <c r="I330" s="19" t="s">
        <v>843</v>
      </c>
      <c r="J330" s="19" t="s">
        <v>286</v>
      </c>
    </row>
    <row r="331" ht="18" customHeight="1" outlineLevel="2" spans="1:10">
      <c r="A331" s="18">
        <v>3</v>
      </c>
      <c r="B331" s="18">
        <v>46</v>
      </c>
      <c r="C331" s="19" t="s">
        <v>897</v>
      </c>
      <c r="D331" s="19" t="s">
        <v>896</v>
      </c>
      <c r="E331" s="19" t="s">
        <v>65</v>
      </c>
      <c r="F331" s="8" t="s">
        <v>67</v>
      </c>
      <c r="G331" s="8" t="s">
        <v>68</v>
      </c>
      <c r="H331" s="19" t="s">
        <v>132</v>
      </c>
      <c r="I331" s="19" t="s">
        <v>843</v>
      </c>
      <c r="J331" s="19" t="s">
        <v>289</v>
      </c>
    </row>
    <row r="332" ht="18" customHeight="1" outlineLevel="2" spans="1:10">
      <c r="A332" s="18">
        <v>1</v>
      </c>
      <c r="B332" s="18">
        <v>1</v>
      </c>
      <c r="C332" s="19" t="s">
        <v>899</v>
      </c>
      <c r="D332" s="19" t="s">
        <v>898</v>
      </c>
      <c r="E332" s="19" t="s">
        <v>65</v>
      </c>
      <c r="F332" s="8" t="s">
        <v>67</v>
      </c>
      <c r="G332" s="8" t="s">
        <v>68</v>
      </c>
      <c r="H332" s="19" t="s">
        <v>132</v>
      </c>
      <c r="I332" s="19" t="s">
        <v>843</v>
      </c>
      <c r="J332" s="19" t="s">
        <v>292</v>
      </c>
    </row>
    <row r="333" ht="18" customHeight="1" outlineLevel="2" spans="1:10">
      <c r="A333" s="18">
        <v>9</v>
      </c>
      <c r="B333" s="18">
        <v>42</v>
      </c>
      <c r="C333" s="19" t="s">
        <v>901</v>
      </c>
      <c r="D333" s="19" t="s">
        <v>900</v>
      </c>
      <c r="E333" s="19" t="s">
        <v>65</v>
      </c>
      <c r="F333" s="8" t="s">
        <v>67</v>
      </c>
      <c r="G333" s="8" t="s">
        <v>68</v>
      </c>
      <c r="H333" s="19" t="s">
        <v>132</v>
      </c>
      <c r="I333" s="19" t="s">
        <v>843</v>
      </c>
      <c r="J333" s="19" t="s">
        <v>295</v>
      </c>
    </row>
    <row r="334" ht="18" customHeight="1" outlineLevel="2" spans="1:10">
      <c r="A334" s="18">
        <v>5</v>
      </c>
      <c r="B334" s="18">
        <v>20</v>
      </c>
      <c r="C334" s="19" t="s">
        <v>903</v>
      </c>
      <c r="D334" s="19" t="s">
        <v>902</v>
      </c>
      <c r="E334" s="19" t="s">
        <v>65</v>
      </c>
      <c r="F334" s="8" t="s">
        <v>67</v>
      </c>
      <c r="G334" s="8" t="s">
        <v>68</v>
      </c>
      <c r="H334" s="19" t="s">
        <v>132</v>
      </c>
      <c r="I334" s="19" t="s">
        <v>843</v>
      </c>
      <c r="J334" s="19" t="s">
        <v>298</v>
      </c>
    </row>
    <row r="335" ht="18" customHeight="1" outlineLevel="2" spans="1:10">
      <c r="A335" s="18">
        <v>5</v>
      </c>
      <c r="B335" s="18">
        <v>3</v>
      </c>
      <c r="C335" s="19" t="s">
        <v>905</v>
      </c>
      <c r="D335" s="19" t="s">
        <v>904</v>
      </c>
      <c r="E335" s="19" t="s">
        <v>65</v>
      </c>
      <c r="F335" s="8" t="s">
        <v>67</v>
      </c>
      <c r="G335" s="8" t="s">
        <v>68</v>
      </c>
      <c r="H335" s="19" t="s">
        <v>132</v>
      </c>
      <c r="I335" s="19" t="s">
        <v>843</v>
      </c>
      <c r="J335" s="19" t="s">
        <v>301</v>
      </c>
    </row>
    <row r="336" ht="18" customHeight="1" outlineLevel="2" spans="1:10">
      <c r="A336" s="18">
        <v>6</v>
      </c>
      <c r="B336" s="18">
        <v>37</v>
      </c>
      <c r="C336" s="19" t="s">
        <v>907</v>
      </c>
      <c r="D336" s="19" t="s">
        <v>906</v>
      </c>
      <c r="E336" s="19" t="s">
        <v>65</v>
      </c>
      <c r="F336" s="8" t="s">
        <v>67</v>
      </c>
      <c r="G336" s="8" t="s">
        <v>68</v>
      </c>
      <c r="H336" s="19" t="s">
        <v>132</v>
      </c>
      <c r="I336" s="19" t="s">
        <v>843</v>
      </c>
      <c r="J336" s="19" t="s">
        <v>304</v>
      </c>
    </row>
    <row r="337" ht="18" customHeight="1" outlineLevel="2" spans="1:10">
      <c r="A337" s="18">
        <v>3</v>
      </c>
      <c r="B337" s="18">
        <v>51</v>
      </c>
      <c r="C337" s="19" t="s">
        <v>909</v>
      </c>
      <c r="D337" s="19" t="s">
        <v>908</v>
      </c>
      <c r="E337" s="19" t="s">
        <v>65</v>
      </c>
      <c r="F337" s="8" t="s">
        <v>67</v>
      </c>
      <c r="G337" s="8" t="s">
        <v>68</v>
      </c>
      <c r="H337" s="19" t="s">
        <v>132</v>
      </c>
      <c r="I337" s="19" t="s">
        <v>843</v>
      </c>
      <c r="J337" s="19" t="s">
        <v>307</v>
      </c>
    </row>
    <row r="338" ht="18" customHeight="1" outlineLevel="2" spans="1:10">
      <c r="A338" s="18">
        <v>2</v>
      </c>
      <c r="B338" s="18">
        <v>51</v>
      </c>
      <c r="C338" s="19" t="s">
        <v>911</v>
      </c>
      <c r="D338" s="19" t="s">
        <v>910</v>
      </c>
      <c r="E338" s="19" t="s">
        <v>65</v>
      </c>
      <c r="F338" s="8" t="s">
        <v>67</v>
      </c>
      <c r="G338" s="8" t="s">
        <v>68</v>
      </c>
      <c r="H338" s="19" t="s">
        <v>132</v>
      </c>
      <c r="I338" s="19" t="s">
        <v>843</v>
      </c>
      <c r="J338" s="19" t="s">
        <v>310</v>
      </c>
    </row>
    <row r="339" ht="18" customHeight="1" outlineLevel="2" spans="1:10">
      <c r="A339" s="18">
        <v>2</v>
      </c>
      <c r="B339" s="18">
        <v>33</v>
      </c>
      <c r="C339" s="19" t="s">
        <v>913</v>
      </c>
      <c r="D339" s="19" t="s">
        <v>912</v>
      </c>
      <c r="E339" s="19" t="s">
        <v>65</v>
      </c>
      <c r="F339" s="8" t="s">
        <v>67</v>
      </c>
      <c r="G339" s="8" t="s">
        <v>68</v>
      </c>
      <c r="H339" s="19" t="s">
        <v>132</v>
      </c>
      <c r="I339" s="19" t="s">
        <v>843</v>
      </c>
      <c r="J339" s="19" t="s">
        <v>313</v>
      </c>
    </row>
    <row r="340" ht="18" customHeight="1" outlineLevel="2" spans="1:10">
      <c r="A340" s="18">
        <v>6</v>
      </c>
      <c r="B340" s="18">
        <v>20</v>
      </c>
      <c r="C340" s="19" t="s">
        <v>915</v>
      </c>
      <c r="D340" s="19" t="s">
        <v>914</v>
      </c>
      <c r="E340" s="19" t="s">
        <v>65</v>
      </c>
      <c r="F340" s="8" t="s">
        <v>67</v>
      </c>
      <c r="G340" s="8" t="s">
        <v>68</v>
      </c>
      <c r="H340" s="19" t="s">
        <v>132</v>
      </c>
      <c r="I340" s="19" t="s">
        <v>843</v>
      </c>
      <c r="J340" s="19" t="s">
        <v>316</v>
      </c>
    </row>
    <row r="341" ht="18" customHeight="1" outlineLevel="2" spans="1:10">
      <c r="A341" s="18">
        <v>7</v>
      </c>
      <c r="B341" s="18">
        <v>19</v>
      </c>
      <c r="C341" s="19" t="s">
        <v>917</v>
      </c>
      <c r="D341" s="19" t="s">
        <v>916</v>
      </c>
      <c r="E341" s="19" t="s">
        <v>65</v>
      </c>
      <c r="F341" s="8" t="s">
        <v>67</v>
      </c>
      <c r="G341" s="8" t="s">
        <v>68</v>
      </c>
      <c r="H341" s="19" t="s">
        <v>132</v>
      </c>
      <c r="I341" s="19" t="s">
        <v>843</v>
      </c>
      <c r="J341" s="19" t="s">
        <v>319</v>
      </c>
    </row>
    <row r="342" ht="18" customHeight="1" outlineLevel="2" spans="1:10">
      <c r="A342" s="18">
        <v>6</v>
      </c>
      <c r="B342" s="18">
        <v>45</v>
      </c>
      <c r="C342" s="19" t="s">
        <v>919</v>
      </c>
      <c r="D342" s="19" t="s">
        <v>918</v>
      </c>
      <c r="E342" s="19" t="s">
        <v>65</v>
      </c>
      <c r="F342" s="8" t="s">
        <v>67</v>
      </c>
      <c r="G342" s="8" t="s">
        <v>68</v>
      </c>
      <c r="H342" s="19" t="s">
        <v>132</v>
      </c>
      <c r="I342" s="19" t="s">
        <v>843</v>
      </c>
      <c r="J342" s="19" t="s">
        <v>322</v>
      </c>
    </row>
    <row r="343" ht="18" customHeight="1" outlineLevel="2" spans="1:10">
      <c r="A343" s="18">
        <v>1</v>
      </c>
      <c r="B343" s="18">
        <v>37</v>
      </c>
      <c r="C343" s="19" t="s">
        <v>921</v>
      </c>
      <c r="D343" s="19" t="s">
        <v>920</v>
      </c>
      <c r="E343" s="19" t="s">
        <v>65</v>
      </c>
      <c r="F343" s="8" t="s">
        <v>67</v>
      </c>
      <c r="G343" s="8" t="s">
        <v>68</v>
      </c>
      <c r="H343" s="19" t="s">
        <v>132</v>
      </c>
      <c r="I343" s="19" t="s">
        <v>843</v>
      </c>
      <c r="J343" s="19" t="s">
        <v>325</v>
      </c>
    </row>
    <row r="344" ht="18" customHeight="1" outlineLevel="2" spans="1:10">
      <c r="A344" s="18">
        <v>1</v>
      </c>
      <c r="B344" s="18">
        <v>46</v>
      </c>
      <c r="C344" s="19" t="s">
        <v>923</v>
      </c>
      <c r="D344" s="19" t="s">
        <v>922</v>
      </c>
      <c r="E344" s="19" t="s">
        <v>65</v>
      </c>
      <c r="F344" s="8" t="s">
        <v>67</v>
      </c>
      <c r="G344" s="8" t="s">
        <v>68</v>
      </c>
      <c r="H344" s="19" t="s">
        <v>132</v>
      </c>
      <c r="I344" s="19" t="s">
        <v>843</v>
      </c>
      <c r="J344" s="19" t="s">
        <v>328</v>
      </c>
    </row>
    <row r="345" ht="18" customHeight="1" outlineLevel="2" spans="1:10">
      <c r="A345" s="18">
        <v>9</v>
      </c>
      <c r="B345" s="18">
        <v>48</v>
      </c>
      <c r="C345" s="19" t="s">
        <v>925</v>
      </c>
      <c r="D345" s="19" t="s">
        <v>924</v>
      </c>
      <c r="E345" s="19" t="s">
        <v>65</v>
      </c>
      <c r="F345" s="8" t="s">
        <v>67</v>
      </c>
      <c r="G345" s="8" t="s">
        <v>68</v>
      </c>
      <c r="H345" s="19" t="s">
        <v>132</v>
      </c>
      <c r="I345" s="19" t="s">
        <v>843</v>
      </c>
      <c r="J345" s="19" t="s">
        <v>331</v>
      </c>
    </row>
    <row r="346" ht="18" customHeight="1" outlineLevel="1" spans="1:10">
      <c r="A346" s="18"/>
      <c r="B346" s="18"/>
      <c r="C346" s="19">
        <f>SUBTOTAL(3,C304:C345)</f>
        <v>42</v>
      </c>
      <c r="D346" s="19"/>
      <c r="E346" s="19"/>
      <c r="F346" s="8"/>
      <c r="G346" s="8"/>
      <c r="H346" s="20" t="s">
        <v>1936</v>
      </c>
      <c r="I346" s="19"/>
      <c r="J346" s="19"/>
    </row>
    <row r="347" ht="18" customHeight="1" outlineLevel="2" spans="1:10">
      <c r="A347" s="18">
        <v>9</v>
      </c>
      <c r="B347" s="18">
        <v>26</v>
      </c>
      <c r="C347" s="19" t="s">
        <v>927</v>
      </c>
      <c r="D347" s="19" t="s">
        <v>926</v>
      </c>
      <c r="E347" s="19" t="s">
        <v>65</v>
      </c>
      <c r="F347" s="8" t="s">
        <v>67</v>
      </c>
      <c r="G347" s="8" t="s">
        <v>68</v>
      </c>
      <c r="H347" s="19" t="s">
        <v>137</v>
      </c>
      <c r="I347" s="19" t="s">
        <v>928</v>
      </c>
      <c r="J347" s="19" t="s">
        <v>207</v>
      </c>
    </row>
    <row r="348" ht="18" customHeight="1" outlineLevel="2" spans="1:10">
      <c r="A348" s="18">
        <v>4</v>
      </c>
      <c r="B348" s="18">
        <v>43</v>
      </c>
      <c r="C348" s="19" t="s">
        <v>930</v>
      </c>
      <c r="D348" s="19" t="s">
        <v>929</v>
      </c>
      <c r="E348" s="19" t="s">
        <v>65</v>
      </c>
      <c r="F348" s="8" t="s">
        <v>67</v>
      </c>
      <c r="G348" s="8" t="s">
        <v>68</v>
      </c>
      <c r="H348" s="19" t="s">
        <v>137</v>
      </c>
      <c r="I348" s="19" t="s">
        <v>928</v>
      </c>
      <c r="J348" s="19" t="s">
        <v>210</v>
      </c>
    </row>
    <row r="349" ht="18" customHeight="1" outlineLevel="2" spans="1:10">
      <c r="A349" s="18">
        <v>2</v>
      </c>
      <c r="B349" s="18">
        <v>41</v>
      </c>
      <c r="C349" s="19" t="s">
        <v>932</v>
      </c>
      <c r="D349" s="19" t="s">
        <v>931</v>
      </c>
      <c r="E349" s="19" t="s">
        <v>65</v>
      </c>
      <c r="F349" s="8" t="s">
        <v>67</v>
      </c>
      <c r="G349" s="8" t="s">
        <v>68</v>
      </c>
      <c r="H349" s="19" t="s">
        <v>137</v>
      </c>
      <c r="I349" s="19" t="s">
        <v>928</v>
      </c>
      <c r="J349" s="19" t="s">
        <v>214</v>
      </c>
    </row>
    <row r="350" ht="18" customHeight="1" outlineLevel="2" spans="1:10">
      <c r="A350" s="18">
        <v>7</v>
      </c>
      <c r="B350" s="18">
        <v>25</v>
      </c>
      <c r="C350" s="19" t="s">
        <v>934</v>
      </c>
      <c r="D350" s="19" t="s">
        <v>933</v>
      </c>
      <c r="E350" s="19" t="s">
        <v>65</v>
      </c>
      <c r="F350" s="8" t="s">
        <v>67</v>
      </c>
      <c r="G350" s="8" t="s">
        <v>68</v>
      </c>
      <c r="H350" s="19" t="s">
        <v>137</v>
      </c>
      <c r="I350" s="19" t="s">
        <v>928</v>
      </c>
      <c r="J350" s="19" t="s">
        <v>217</v>
      </c>
    </row>
    <row r="351" ht="18" customHeight="1" outlineLevel="2" spans="1:10">
      <c r="A351" s="18">
        <v>3</v>
      </c>
      <c r="B351" s="18">
        <v>8</v>
      </c>
      <c r="C351" s="19" t="s">
        <v>936</v>
      </c>
      <c r="D351" s="19" t="s">
        <v>935</v>
      </c>
      <c r="E351" s="19" t="s">
        <v>65</v>
      </c>
      <c r="F351" s="8" t="s">
        <v>67</v>
      </c>
      <c r="G351" s="8" t="s">
        <v>68</v>
      </c>
      <c r="H351" s="19" t="s">
        <v>137</v>
      </c>
      <c r="I351" s="19" t="s">
        <v>928</v>
      </c>
      <c r="J351" s="19" t="s">
        <v>220</v>
      </c>
    </row>
    <row r="352" ht="18" customHeight="1" outlineLevel="2" spans="1:10">
      <c r="A352" s="18">
        <v>9</v>
      </c>
      <c r="B352" s="18">
        <v>38</v>
      </c>
      <c r="C352" s="19" t="s">
        <v>938</v>
      </c>
      <c r="D352" s="19" t="s">
        <v>937</v>
      </c>
      <c r="E352" s="19" t="s">
        <v>65</v>
      </c>
      <c r="F352" s="8" t="s">
        <v>67</v>
      </c>
      <c r="G352" s="8" t="s">
        <v>68</v>
      </c>
      <c r="H352" s="19" t="s">
        <v>137</v>
      </c>
      <c r="I352" s="19" t="s">
        <v>928</v>
      </c>
      <c r="J352" s="19" t="s">
        <v>223</v>
      </c>
    </row>
    <row r="353" ht="18" customHeight="1" outlineLevel="2" spans="1:10">
      <c r="A353" s="18">
        <v>6</v>
      </c>
      <c r="B353" s="18">
        <v>52</v>
      </c>
      <c r="C353" s="19" t="s">
        <v>940</v>
      </c>
      <c r="D353" s="19" t="s">
        <v>939</v>
      </c>
      <c r="E353" s="19" t="s">
        <v>65</v>
      </c>
      <c r="F353" s="8" t="s">
        <v>67</v>
      </c>
      <c r="G353" s="8" t="s">
        <v>68</v>
      </c>
      <c r="H353" s="19" t="s">
        <v>137</v>
      </c>
      <c r="I353" s="19" t="s">
        <v>928</v>
      </c>
      <c r="J353" s="19" t="s">
        <v>226</v>
      </c>
    </row>
    <row r="354" ht="18" customHeight="1" outlineLevel="2" spans="1:10">
      <c r="A354" s="18">
        <v>6</v>
      </c>
      <c r="B354" s="18">
        <v>17</v>
      </c>
      <c r="C354" s="19" t="s">
        <v>942</v>
      </c>
      <c r="D354" s="19" t="s">
        <v>941</v>
      </c>
      <c r="E354" s="19" t="s">
        <v>65</v>
      </c>
      <c r="F354" s="8" t="s">
        <v>67</v>
      </c>
      <c r="G354" s="8" t="s">
        <v>68</v>
      </c>
      <c r="H354" s="19" t="s">
        <v>137</v>
      </c>
      <c r="I354" s="19" t="s">
        <v>928</v>
      </c>
      <c r="J354" s="19" t="s">
        <v>229</v>
      </c>
    </row>
    <row r="355" ht="18" customHeight="1" outlineLevel="2" spans="1:10">
      <c r="A355" s="18">
        <v>3</v>
      </c>
      <c r="B355" s="18">
        <v>27</v>
      </c>
      <c r="C355" s="19" t="s">
        <v>944</v>
      </c>
      <c r="D355" s="19" t="s">
        <v>943</v>
      </c>
      <c r="E355" s="19" t="s">
        <v>65</v>
      </c>
      <c r="F355" s="8" t="s">
        <v>67</v>
      </c>
      <c r="G355" s="8" t="s">
        <v>68</v>
      </c>
      <c r="H355" s="19" t="s">
        <v>137</v>
      </c>
      <c r="I355" s="19" t="s">
        <v>928</v>
      </c>
      <c r="J355" s="19" t="s">
        <v>232</v>
      </c>
    </row>
    <row r="356" ht="18" customHeight="1" outlineLevel="2" spans="1:10">
      <c r="A356" s="18">
        <v>3</v>
      </c>
      <c r="B356" s="18">
        <v>44</v>
      </c>
      <c r="C356" s="19" t="s">
        <v>946</v>
      </c>
      <c r="D356" s="19" t="s">
        <v>945</v>
      </c>
      <c r="E356" s="19" t="s">
        <v>65</v>
      </c>
      <c r="F356" s="8" t="s">
        <v>67</v>
      </c>
      <c r="G356" s="8" t="s">
        <v>68</v>
      </c>
      <c r="H356" s="19" t="s">
        <v>137</v>
      </c>
      <c r="I356" s="19" t="s">
        <v>928</v>
      </c>
      <c r="J356" s="19" t="s">
        <v>235</v>
      </c>
    </row>
    <row r="357" ht="18" customHeight="1" outlineLevel="2" spans="1:10">
      <c r="A357" s="18">
        <v>5</v>
      </c>
      <c r="B357" s="18">
        <v>46</v>
      </c>
      <c r="C357" s="19" t="s">
        <v>948</v>
      </c>
      <c r="D357" s="19" t="s">
        <v>947</v>
      </c>
      <c r="E357" s="19" t="s">
        <v>65</v>
      </c>
      <c r="F357" s="8" t="s">
        <v>67</v>
      </c>
      <c r="G357" s="8" t="s">
        <v>68</v>
      </c>
      <c r="H357" s="19" t="s">
        <v>137</v>
      </c>
      <c r="I357" s="19" t="s">
        <v>928</v>
      </c>
      <c r="J357" s="19" t="s">
        <v>238</v>
      </c>
    </row>
    <row r="358" ht="18" customHeight="1" outlineLevel="2" spans="1:10">
      <c r="A358" s="18">
        <v>1</v>
      </c>
      <c r="B358" s="18">
        <v>44</v>
      </c>
      <c r="C358" s="19" t="s">
        <v>950</v>
      </c>
      <c r="D358" s="19" t="s">
        <v>949</v>
      </c>
      <c r="E358" s="19" t="s">
        <v>65</v>
      </c>
      <c r="F358" s="8" t="s">
        <v>67</v>
      </c>
      <c r="G358" s="8" t="s">
        <v>68</v>
      </c>
      <c r="H358" s="19" t="s">
        <v>137</v>
      </c>
      <c r="I358" s="19" t="s">
        <v>928</v>
      </c>
      <c r="J358" s="19" t="s">
        <v>241</v>
      </c>
    </row>
    <row r="359" ht="18" customHeight="1" outlineLevel="2" spans="1:10">
      <c r="A359" s="18">
        <v>4</v>
      </c>
      <c r="B359" s="18">
        <v>13</v>
      </c>
      <c r="C359" s="19" t="s">
        <v>952</v>
      </c>
      <c r="D359" s="19" t="s">
        <v>951</v>
      </c>
      <c r="E359" s="19" t="s">
        <v>65</v>
      </c>
      <c r="F359" s="8" t="s">
        <v>67</v>
      </c>
      <c r="G359" s="8" t="s">
        <v>68</v>
      </c>
      <c r="H359" s="19" t="s">
        <v>137</v>
      </c>
      <c r="I359" s="19" t="s">
        <v>928</v>
      </c>
      <c r="J359" s="19" t="s">
        <v>244</v>
      </c>
    </row>
    <row r="360" ht="18" customHeight="1" outlineLevel="2" spans="1:10">
      <c r="A360" s="18">
        <v>2</v>
      </c>
      <c r="B360" s="18">
        <v>44</v>
      </c>
      <c r="C360" s="19" t="s">
        <v>954</v>
      </c>
      <c r="D360" s="19" t="s">
        <v>953</v>
      </c>
      <c r="E360" s="19" t="s">
        <v>65</v>
      </c>
      <c r="F360" s="8" t="s">
        <v>67</v>
      </c>
      <c r="G360" s="8" t="s">
        <v>68</v>
      </c>
      <c r="H360" s="19" t="s">
        <v>137</v>
      </c>
      <c r="I360" s="19" t="s">
        <v>928</v>
      </c>
      <c r="J360" s="19" t="s">
        <v>247</v>
      </c>
    </row>
    <row r="361" ht="18" customHeight="1" outlineLevel="2" spans="1:10">
      <c r="A361" s="18">
        <v>1</v>
      </c>
      <c r="B361" s="18">
        <v>47</v>
      </c>
      <c r="C361" s="19" t="s">
        <v>956</v>
      </c>
      <c r="D361" s="19" t="s">
        <v>955</v>
      </c>
      <c r="E361" s="19" t="s">
        <v>65</v>
      </c>
      <c r="F361" s="8" t="s">
        <v>67</v>
      </c>
      <c r="G361" s="8" t="s">
        <v>68</v>
      </c>
      <c r="H361" s="19" t="s">
        <v>137</v>
      </c>
      <c r="I361" s="19" t="s">
        <v>928</v>
      </c>
      <c r="J361" s="19" t="s">
        <v>250</v>
      </c>
    </row>
    <row r="362" ht="18" customHeight="1" outlineLevel="2" spans="1:10">
      <c r="A362" s="18">
        <v>2</v>
      </c>
      <c r="B362" s="18">
        <v>6</v>
      </c>
      <c r="C362" s="19" t="s">
        <v>958</v>
      </c>
      <c r="D362" s="19" t="s">
        <v>957</v>
      </c>
      <c r="E362" s="19" t="s">
        <v>65</v>
      </c>
      <c r="F362" s="8" t="s">
        <v>67</v>
      </c>
      <c r="G362" s="8" t="s">
        <v>68</v>
      </c>
      <c r="H362" s="19" t="s">
        <v>137</v>
      </c>
      <c r="I362" s="19" t="s">
        <v>928</v>
      </c>
      <c r="J362" s="19" t="s">
        <v>253</v>
      </c>
    </row>
    <row r="363" ht="18" customHeight="1" outlineLevel="2" spans="1:10">
      <c r="A363" s="18">
        <v>9</v>
      </c>
      <c r="B363" s="18">
        <v>14</v>
      </c>
      <c r="C363" s="19" t="s">
        <v>960</v>
      </c>
      <c r="D363" s="19" t="s">
        <v>959</v>
      </c>
      <c r="E363" s="19" t="s">
        <v>65</v>
      </c>
      <c r="F363" s="8" t="s">
        <v>67</v>
      </c>
      <c r="G363" s="8" t="s">
        <v>68</v>
      </c>
      <c r="H363" s="19" t="s">
        <v>137</v>
      </c>
      <c r="I363" s="19" t="s">
        <v>928</v>
      </c>
      <c r="J363" s="19" t="s">
        <v>256</v>
      </c>
    </row>
    <row r="364" ht="18" customHeight="1" outlineLevel="2" spans="1:10">
      <c r="A364" s="18">
        <v>9</v>
      </c>
      <c r="B364" s="18">
        <v>39</v>
      </c>
      <c r="C364" s="19" t="s">
        <v>962</v>
      </c>
      <c r="D364" s="19" t="s">
        <v>961</v>
      </c>
      <c r="E364" s="19" t="s">
        <v>65</v>
      </c>
      <c r="F364" s="8" t="s">
        <v>67</v>
      </c>
      <c r="G364" s="8" t="s">
        <v>68</v>
      </c>
      <c r="H364" s="19" t="s">
        <v>137</v>
      </c>
      <c r="I364" s="19" t="s">
        <v>928</v>
      </c>
      <c r="J364" s="19" t="s">
        <v>259</v>
      </c>
    </row>
    <row r="365" ht="18" customHeight="1" outlineLevel="2" spans="1:10">
      <c r="A365" s="18">
        <v>4</v>
      </c>
      <c r="B365" s="18">
        <v>3</v>
      </c>
      <c r="C365" s="19" t="s">
        <v>964</v>
      </c>
      <c r="D365" s="19" t="s">
        <v>963</v>
      </c>
      <c r="E365" s="19" t="s">
        <v>65</v>
      </c>
      <c r="F365" s="8" t="s">
        <v>67</v>
      </c>
      <c r="G365" s="8" t="s">
        <v>68</v>
      </c>
      <c r="H365" s="19" t="s">
        <v>137</v>
      </c>
      <c r="I365" s="19" t="s">
        <v>928</v>
      </c>
      <c r="J365" s="19" t="s">
        <v>262</v>
      </c>
    </row>
    <row r="366" ht="18" customHeight="1" outlineLevel="2" spans="1:10">
      <c r="A366" s="18">
        <v>1</v>
      </c>
      <c r="B366" s="18">
        <v>7</v>
      </c>
      <c r="C366" s="19" t="s">
        <v>966</v>
      </c>
      <c r="D366" s="19" t="s">
        <v>965</v>
      </c>
      <c r="E366" s="19" t="s">
        <v>65</v>
      </c>
      <c r="F366" s="8" t="s">
        <v>67</v>
      </c>
      <c r="G366" s="8" t="s">
        <v>68</v>
      </c>
      <c r="H366" s="19" t="s">
        <v>137</v>
      </c>
      <c r="I366" s="19" t="s">
        <v>928</v>
      </c>
      <c r="J366" s="19" t="s">
        <v>265</v>
      </c>
    </row>
    <row r="367" ht="18" customHeight="1" outlineLevel="2" spans="1:10">
      <c r="A367" s="18">
        <v>2</v>
      </c>
      <c r="B367" s="18">
        <v>38</v>
      </c>
      <c r="C367" s="19" t="s">
        <v>968</v>
      </c>
      <c r="D367" s="19" t="s">
        <v>967</v>
      </c>
      <c r="E367" s="19" t="s">
        <v>65</v>
      </c>
      <c r="F367" s="8" t="s">
        <v>67</v>
      </c>
      <c r="G367" s="8" t="s">
        <v>68</v>
      </c>
      <c r="H367" s="19" t="s">
        <v>137</v>
      </c>
      <c r="I367" s="19" t="s">
        <v>928</v>
      </c>
      <c r="J367" s="19" t="s">
        <v>268</v>
      </c>
    </row>
    <row r="368" ht="18" customHeight="1" outlineLevel="2" spans="1:10">
      <c r="A368" s="18">
        <v>5</v>
      </c>
      <c r="B368" s="18">
        <v>44</v>
      </c>
      <c r="C368" s="19" t="s">
        <v>970</v>
      </c>
      <c r="D368" s="19" t="s">
        <v>969</v>
      </c>
      <c r="E368" s="19" t="s">
        <v>65</v>
      </c>
      <c r="F368" s="8" t="s">
        <v>67</v>
      </c>
      <c r="G368" s="8" t="s">
        <v>68</v>
      </c>
      <c r="H368" s="19" t="s">
        <v>137</v>
      </c>
      <c r="I368" s="19" t="s">
        <v>928</v>
      </c>
      <c r="J368" s="19" t="s">
        <v>271</v>
      </c>
    </row>
    <row r="369" ht="18" customHeight="1" outlineLevel="2" spans="1:10">
      <c r="A369" s="18">
        <v>1</v>
      </c>
      <c r="B369" s="18">
        <v>18</v>
      </c>
      <c r="C369" s="19" t="s">
        <v>972</v>
      </c>
      <c r="D369" s="19" t="s">
        <v>971</v>
      </c>
      <c r="E369" s="19" t="s">
        <v>65</v>
      </c>
      <c r="F369" s="8" t="s">
        <v>67</v>
      </c>
      <c r="G369" s="8" t="s">
        <v>68</v>
      </c>
      <c r="H369" s="19" t="s">
        <v>137</v>
      </c>
      <c r="I369" s="19" t="s">
        <v>928</v>
      </c>
      <c r="J369" s="19" t="s">
        <v>274</v>
      </c>
    </row>
    <row r="370" ht="18" customHeight="1" outlineLevel="2" spans="1:10">
      <c r="A370" s="18">
        <v>1</v>
      </c>
      <c r="B370" s="18">
        <v>5</v>
      </c>
      <c r="C370" s="19" t="s">
        <v>974</v>
      </c>
      <c r="D370" s="19" t="s">
        <v>973</v>
      </c>
      <c r="E370" s="19" t="s">
        <v>65</v>
      </c>
      <c r="F370" s="8" t="s">
        <v>67</v>
      </c>
      <c r="G370" s="8" t="s">
        <v>68</v>
      </c>
      <c r="H370" s="19" t="s">
        <v>137</v>
      </c>
      <c r="I370" s="19" t="s">
        <v>928</v>
      </c>
      <c r="J370" s="19" t="s">
        <v>277</v>
      </c>
    </row>
    <row r="371" ht="18" customHeight="1" outlineLevel="2" spans="1:10">
      <c r="A371" s="18">
        <v>3</v>
      </c>
      <c r="B371" s="18">
        <v>13</v>
      </c>
      <c r="C371" s="19" t="s">
        <v>976</v>
      </c>
      <c r="D371" s="19" t="s">
        <v>975</v>
      </c>
      <c r="E371" s="19" t="s">
        <v>65</v>
      </c>
      <c r="F371" s="8" t="s">
        <v>67</v>
      </c>
      <c r="G371" s="8" t="s">
        <v>68</v>
      </c>
      <c r="H371" s="19" t="s">
        <v>137</v>
      </c>
      <c r="I371" s="19" t="s">
        <v>928</v>
      </c>
      <c r="J371" s="19" t="s">
        <v>280</v>
      </c>
    </row>
    <row r="372" ht="18" customHeight="1" outlineLevel="2" spans="1:10">
      <c r="A372" s="18">
        <v>7</v>
      </c>
      <c r="B372" s="18">
        <v>27</v>
      </c>
      <c r="C372" s="19" t="s">
        <v>978</v>
      </c>
      <c r="D372" s="19" t="s">
        <v>977</v>
      </c>
      <c r="E372" s="19" t="s">
        <v>65</v>
      </c>
      <c r="F372" s="8" t="s">
        <v>67</v>
      </c>
      <c r="G372" s="8" t="s">
        <v>68</v>
      </c>
      <c r="H372" s="19" t="s">
        <v>137</v>
      </c>
      <c r="I372" s="19" t="s">
        <v>928</v>
      </c>
      <c r="J372" s="19" t="s">
        <v>283</v>
      </c>
    </row>
    <row r="373" ht="18" customHeight="1" outlineLevel="2" spans="1:10">
      <c r="A373" s="18">
        <v>2</v>
      </c>
      <c r="B373" s="18">
        <v>16</v>
      </c>
      <c r="C373" s="19" t="s">
        <v>980</v>
      </c>
      <c r="D373" s="19" t="s">
        <v>979</v>
      </c>
      <c r="E373" s="19" t="s">
        <v>65</v>
      </c>
      <c r="F373" s="8" t="s">
        <v>67</v>
      </c>
      <c r="G373" s="8" t="s">
        <v>68</v>
      </c>
      <c r="H373" s="19" t="s">
        <v>137</v>
      </c>
      <c r="I373" s="19" t="s">
        <v>928</v>
      </c>
      <c r="J373" s="19" t="s">
        <v>286</v>
      </c>
    </row>
    <row r="374" ht="18" customHeight="1" outlineLevel="2" spans="1:10">
      <c r="A374" s="18">
        <v>3</v>
      </c>
      <c r="B374" s="18">
        <v>18</v>
      </c>
      <c r="C374" s="19" t="s">
        <v>982</v>
      </c>
      <c r="D374" s="19" t="s">
        <v>981</v>
      </c>
      <c r="E374" s="19" t="s">
        <v>65</v>
      </c>
      <c r="F374" s="8" t="s">
        <v>67</v>
      </c>
      <c r="G374" s="8" t="s">
        <v>68</v>
      </c>
      <c r="H374" s="19" t="s">
        <v>137</v>
      </c>
      <c r="I374" s="19" t="s">
        <v>928</v>
      </c>
      <c r="J374" s="19" t="s">
        <v>289</v>
      </c>
    </row>
    <row r="375" ht="18" customHeight="1" outlineLevel="2" spans="1:10">
      <c r="A375" s="18">
        <v>2</v>
      </c>
      <c r="B375" s="18">
        <v>27</v>
      </c>
      <c r="C375" s="19" t="s">
        <v>984</v>
      </c>
      <c r="D375" s="19" t="s">
        <v>983</v>
      </c>
      <c r="E375" s="19" t="s">
        <v>65</v>
      </c>
      <c r="F375" s="8" t="s">
        <v>67</v>
      </c>
      <c r="G375" s="8" t="s">
        <v>68</v>
      </c>
      <c r="H375" s="19" t="s">
        <v>137</v>
      </c>
      <c r="I375" s="19" t="s">
        <v>928</v>
      </c>
      <c r="J375" s="19" t="s">
        <v>292</v>
      </c>
    </row>
    <row r="376" ht="18" customHeight="1" outlineLevel="2" spans="1:10">
      <c r="A376" s="18">
        <v>9</v>
      </c>
      <c r="B376" s="18">
        <v>18</v>
      </c>
      <c r="C376" s="19" t="s">
        <v>986</v>
      </c>
      <c r="D376" s="19" t="s">
        <v>985</v>
      </c>
      <c r="E376" s="19" t="s">
        <v>65</v>
      </c>
      <c r="F376" s="8" t="s">
        <v>67</v>
      </c>
      <c r="G376" s="8" t="s">
        <v>68</v>
      </c>
      <c r="H376" s="19" t="s">
        <v>137</v>
      </c>
      <c r="I376" s="19" t="s">
        <v>928</v>
      </c>
      <c r="J376" s="19" t="s">
        <v>295</v>
      </c>
    </row>
    <row r="377" ht="18" customHeight="1" outlineLevel="2" spans="1:10">
      <c r="A377" s="18">
        <v>6</v>
      </c>
      <c r="B377" s="18">
        <v>27</v>
      </c>
      <c r="C377" s="19" t="s">
        <v>988</v>
      </c>
      <c r="D377" s="19" t="s">
        <v>987</v>
      </c>
      <c r="E377" s="19" t="s">
        <v>65</v>
      </c>
      <c r="F377" s="8" t="s">
        <v>67</v>
      </c>
      <c r="G377" s="8" t="s">
        <v>68</v>
      </c>
      <c r="H377" s="19" t="s">
        <v>137</v>
      </c>
      <c r="I377" s="19" t="s">
        <v>928</v>
      </c>
      <c r="J377" s="19" t="s">
        <v>298</v>
      </c>
    </row>
    <row r="378" ht="18" customHeight="1" outlineLevel="2" spans="1:10">
      <c r="A378" s="18">
        <v>3</v>
      </c>
      <c r="B378" s="18">
        <v>20</v>
      </c>
      <c r="C378" s="19" t="s">
        <v>990</v>
      </c>
      <c r="D378" s="19" t="s">
        <v>989</v>
      </c>
      <c r="E378" s="19" t="s">
        <v>65</v>
      </c>
      <c r="F378" s="8" t="s">
        <v>67</v>
      </c>
      <c r="G378" s="8" t="s">
        <v>68</v>
      </c>
      <c r="H378" s="19" t="s">
        <v>137</v>
      </c>
      <c r="I378" s="19" t="s">
        <v>928</v>
      </c>
      <c r="J378" s="19" t="s">
        <v>301</v>
      </c>
    </row>
    <row r="379" ht="18" customHeight="1" outlineLevel="2" spans="1:10">
      <c r="A379" s="18">
        <v>1</v>
      </c>
      <c r="B379" s="18">
        <v>41</v>
      </c>
      <c r="C379" s="19" t="s">
        <v>992</v>
      </c>
      <c r="D379" s="19" t="s">
        <v>991</v>
      </c>
      <c r="E379" s="19" t="s">
        <v>65</v>
      </c>
      <c r="F379" s="8" t="s">
        <v>67</v>
      </c>
      <c r="G379" s="8" t="s">
        <v>68</v>
      </c>
      <c r="H379" s="19" t="s">
        <v>137</v>
      </c>
      <c r="I379" s="19" t="s">
        <v>928</v>
      </c>
      <c r="J379" s="19" t="s">
        <v>304</v>
      </c>
    </row>
    <row r="380" ht="18" customHeight="1" outlineLevel="2" spans="1:10">
      <c r="A380" s="18">
        <v>7</v>
      </c>
      <c r="B380" s="18">
        <v>38</v>
      </c>
      <c r="C380" s="19" t="s">
        <v>994</v>
      </c>
      <c r="D380" s="19" t="s">
        <v>993</v>
      </c>
      <c r="E380" s="19" t="s">
        <v>65</v>
      </c>
      <c r="F380" s="8" t="s">
        <v>67</v>
      </c>
      <c r="G380" s="8" t="s">
        <v>68</v>
      </c>
      <c r="H380" s="19" t="s">
        <v>137</v>
      </c>
      <c r="I380" s="19" t="s">
        <v>928</v>
      </c>
      <c r="J380" s="19" t="s">
        <v>307</v>
      </c>
    </row>
    <row r="381" ht="18" customHeight="1" outlineLevel="2" spans="1:10">
      <c r="A381" s="18">
        <v>4</v>
      </c>
      <c r="B381" s="18">
        <v>34</v>
      </c>
      <c r="C381" s="19" t="s">
        <v>996</v>
      </c>
      <c r="D381" s="19" t="s">
        <v>995</v>
      </c>
      <c r="E381" s="19" t="s">
        <v>65</v>
      </c>
      <c r="F381" s="8" t="s">
        <v>67</v>
      </c>
      <c r="G381" s="8" t="s">
        <v>68</v>
      </c>
      <c r="H381" s="19" t="s">
        <v>137</v>
      </c>
      <c r="I381" s="19" t="s">
        <v>928</v>
      </c>
      <c r="J381" s="19" t="s">
        <v>310</v>
      </c>
    </row>
    <row r="382" ht="18" customHeight="1" outlineLevel="2" spans="1:10">
      <c r="A382" s="18">
        <v>4</v>
      </c>
      <c r="B382" s="18">
        <v>7</v>
      </c>
      <c r="C382" s="19" t="s">
        <v>998</v>
      </c>
      <c r="D382" s="19" t="s">
        <v>997</v>
      </c>
      <c r="E382" s="19" t="s">
        <v>65</v>
      </c>
      <c r="F382" s="8" t="s">
        <v>67</v>
      </c>
      <c r="G382" s="8" t="s">
        <v>68</v>
      </c>
      <c r="H382" s="19" t="s">
        <v>137</v>
      </c>
      <c r="I382" s="19" t="s">
        <v>928</v>
      </c>
      <c r="J382" s="19" t="s">
        <v>313</v>
      </c>
    </row>
    <row r="383" ht="18" customHeight="1" outlineLevel="2" spans="1:10">
      <c r="A383" s="18">
        <v>2</v>
      </c>
      <c r="B383" s="18">
        <v>24</v>
      </c>
      <c r="C383" s="19" t="s">
        <v>1000</v>
      </c>
      <c r="D383" s="19" t="s">
        <v>999</v>
      </c>
      <c r="E383" s="19" t="s">
        <v>65</v>
      </c>
      <c r="F383" s="8" t="s">
        <v>67</v>
      </c>
      <c r="G383" s="8" t="s">
        <v>68</v>
      </c>
      <c r="H383" s="19" t="s">
        <v>137</v>
      </c>
      <c r="I383" s="19" t="s">
        <v>928</v>
      </c>
      <c r="J383" s="19" t="s">
        <v>316</v>
      </c>
    </row>
    <row r="384" ht="18" customHeight="1" outlineLevel="2" spans="1:10">
      <c r="A384" s="18">
        <v>3</v>
      </c>
      <c r="B384" s="18">
        <v>19</v>
      </c>
      <c r="C384" s="19" t="s">
        <v>1002</v>
      </c>
      <c r="D384" s="19" t="s">
        <v>1001</v>
      </c>
      <c r="E384" s="19" t="s">
        <v>65</v>
      </c>
      <c r="F384" s="8" t="s">
        <v>67</v>
      </c>
      <c r="G384" s="8" t="s">
        <v>68</v>
      </c>
      <c r="H384" s="19" t="s">
        <v>137</v>
      </c>
      <c r="I384" s="19" t="s">
        <v>928</v>
      </c>
      <c r="J384" s="19" t="s">
        <v>319</v>
      </c>
    </row>
    <row r="385" ht="18" customHeight="1" outlineLevel="2" spans="1:10">
      <c r="A385" s="18">
        <v>1</v>
      </c>
      <c r="B385" s="18">
        <v>43</v>
      </c>
      <c r="C385" s="19" t="s">
        <v>1004</v>
      </c>
      <c r="D385" s="19" t="s">
        <v>1003</v>
      </c>
      <c r="E385" s="19" t="s">
        <v>65</v>
      </c>
      <c r="F385" s="8" t="s">
        <v>67</v>
      </c>
      <c r="G385" s="8" t="s">
        <v>68</v>
      </c>
      <c r="H385" s="19" t="s">
        <v>137</v>
      </c>
      <c r="I385" s="19" t="s">
        <v>928</v>
      </c>
      <c r="J385" s="19" t="s">
        <v>322</v>
      </c>
    </row>
    <row r="386" ht="18" customHeight="1" outlineLevel="2" spans="1:10">
      <c r="A386" s="18">
        <v>8</v>
      </c>
      <c r="B386" s="18">
        <v>20</v>
      </c>
      <c r="C386" s="19" t="s">
        <v>1006</v>
      </c>
      <c r="D386" s="19" t="s">
        <v>1005</v>
      </c>
      <c r="E386" s="19" t="s">
        <v>65</v>
      </c>
      <c r="F386" s="8" t="s">
        <v>67</v>
      </c>
      <c r="G386" s="8" t="s">
        <v>68</v>
      </c>
      <c r="H386" s="19" t="s">
        <v>137</v>
      </c>
      <c r="I386" s="19" t="s">
        <v>928</v>
      </c>
      <c r="J386" s="19" t="s">
        <v>325</v>
      </c>
    </row>
    <row r="387" ht="18" customHeight="1" outlineLevel="2" spans="1:10">
      <c r="A387" s="18">
        <v>5</v>
      </c>
      <c r="B387" s="18">
        <v>37</v>
      </c>
      <c r="C387" s="19" t="s">
        <v>1008</v>
      </c>
      <c r="D387" s="19" t="s">
        <v>1007</v>
      </c>
      <c r="E387" s="19" t="s">
        <v>65</v>
      </c>
      <c r="F387" s="8" t="s">
        <v>67</v>
      </c>
      <c r="G387" s="8" t="s">
        <v>68</v>
      </c>
      <c r="H387" s="19" t="s">
        <v>137</v>
      </c>
      <c r="I387" s="19" t="s">
        <v>928</v>
      </c>
      <c r="J387" s="19" t="s">
        <v>328</v>
      </c>
    </row>
    <row r="388" ht="18" customHeight="1" outlineLevel="2" spans="1:10">
      <c r="A388" s="18">
        <v>6</v>
      </c>
      <c r="B388" s="18">
        <v>21</v>
      </c>
      <c r="C388" s="19" t="s">
        <v>1010</v>
      </c>
      <c r="D388" s="19" t="s">
        <v>1009</v>
      </c>
      <c r="E388" s="19" t="s">
        <v>65</v>
      </c>
      <c r="F388" s="8" t="s">
        <v>67</v>
      </c>
      <c r="G388" s="8" t="s">
        <v>68</v>
      </c>
      <c r="H388" s="19" t="s">
        <v>137</v>
      </c>
      <c r="I388" s="19" t="s">
        <v>928</v>
      </c>
      <c r="J388" s="19" t="s">
        <v>331</v>
      </c>
    </row>
    <row r="389" ht="18" customHeight="1" outlineLevel="1" spans="1:10">
      <c r="A389" s="18"/>
      <c r="B389" s="18"/>
      <c r="C389" s="19">
        <f>SUBTOTAL(3,C347:C388)</f>
        <v>42</v>
      </c>
      <c r="D389" s="19"/>
      <c r="E389" s="19"/>
      <c r="F389" s="8"/>
      <c r="G389" s="8"/>
      <c r="H389" s="20" t="s">
        <v>1937</v>
      </c>
      <c r="I389" s="19"/>
      <c r="J389" s="19"/>
    </row>
    <row r="390" ht="18" customHeight="1" outlineLevel="2" spans="1:10">
      <c r="A390" s="18">
        <v>4</v>
      </c>
      <c r="B390" s="18">
        <v>26</v>
      </c>
      <c r="C390" s="19" t="s">
        <v>1012</v>
      </c>
      <c r="D390" s="19" t="s">
        <v>1011</v>
      </c>
      <c r="E390" s="19" t="s">
        <v>65</v>
      </c>
      <c r="F390" s="8" t="s">
        <v>67</v>
      </c>
      <c r="G390" s="8" t="s">
        <v>68</v>
      </c>
      <c r="H390" s="19" t="s">
        <v>141</v>
      </c>
      <c r="I390" s="19" t="s">
        <v>1013</v>
      </c>
      <c r="J390" s="19" t="s">
        <v>207</v>
      </c>
    </row>
    <row r="391" ht="18" customHeight="1" outlineLevel="2" spans="1:10">
      <c r="A391" s="18">
        <v>2</v>
      </c>
      <c r="B391" s="18">
        <v>46</v>
      </c>
      <c r="C391" s="19" t="s">
        <v>1015</v>
      </c>
      <c r="D391" s="19" t="s">
        <v>1014</v>
      </c>
      <c r="E391" s="19" t="s">
        <v>65</v>
      </c>
      <c r="F391" s="8" t="s">
        <v>67</v>
      </c>
      <c r="G391" s="8" t="s">
        <v>68</v>
      </c>
      <c r="H391" s="19" t="s">
        <v>141</v>
      </c>
      <c r="I391" s="19" t="s">
        <v>1013</v>
      </c>
      <c r="J391" s="19" t="s">
        <v>210</v>
      </c>
    </row>
    <row r="392" ht="18" customHeight="1" outlineLevel="2" spans="1:10">
      <c r="A392" s="18">
        <v>8</v>
      </c>
      <c r="B392" s="18">
        <v>22</v>
      </c>
      <c r="C392" s="19" t="s">
        <v>1017</v>
      </c>
      <c r="D392" s="19" t="s">
        <v>1016</v>
      </c>
      <c r="E392" s="19" t="s">
        <v>65</v>
      </c>
      <c r="F392" s="8" t="s">
        <v>67</v>
      </c>
      <c r="G392" s="8" t="s">
        <v>68</v>
      </c>
      <c r="H392" s="19" t="s">
        <v>141</v>
      </c>
      <c r="I392" s="19" t="s">
        <v>1013</v>
      </c>
      <c r="J392" s="19" t="s">
        <v>214</v>
      </c>
    </row>
    <row r="393" ht="18" customHeight="1" outlineLevel="2" spans="1:10">
      <c r="A393" s="18">
        <v>4</v>
      </c>
      <c r="B393" s="18">
        <v>52</v>
      </c>
      <c r="C393" s="19" t="s">
        <v>1019</v>
      </c>
      <c r="D393" s="19" t="s">
        <v>1018</v>
      </c>
      <c r="E393" s="19" t="s">
        <v>65</v>
      </c>
      <c r="F393" s="8" t="s">
        <v>67</v>
      </c>
      <c r="G393" s="8" t="s">
        <v>68</v>
      </c>
      <c r="H393" s="19" t="s">
        <v>141</v>
      </c>
      <c r="I393" s="19" t="s">
        <v>1013</v>
      </c>
      <c r="J393" s="19" t="s">
        <v>217</v>
      </c>
    </row>
    <row r="394" ht="18" customHeight="1" outlineLevel="2" spans="1:10">
      <c r="A394" s="18">
        <v>2</v>
      </c>
      <c r="B394" s="18">
        <v>14</v>
      </c>
      <c r="C394" s="19" t="s">
        <v>1021</v>
      </c>
      <c r="D394" s="19" t="s">
        <v>1020</v>
      </c>
      <c r="E394" s="19" t="s">
        <v>65</v>
      </c>
      <c r="F394" s="8" t="s">
        <v>67</v>
      </c>
      <c r="G394" s="8" t="s">
        <v>68</v>
      </c>
      <c r="H394" s="19" t="s">
        <v>141</v>
      </c>
      <c r="I394" s="19" t="s">
        <v>1013</v>
      </c>
      <c r="J394" s="19" t="s">
        <v>220</v>
      </c>
    </row>
    <row r="395" ht="18" customHeight="1" outlineLevel="2" spans="1:10">
      <c r="A395" s="18">
        <v>1</v>
      </c>
      <c r="B395" s="18">
        <v>35</v>
      </c>
      <c r="C395" s="19" t="s">
        <v>1023</v>
      </c>
      <c r="D395" s="19" t="s">
        <v>1022</v>
      </c>
      <c r="E395" s="19" t="s">
        <v>65</v>
      </c>
      <c r="F395" s="8" t="s">
        <v>67</v>
      </c>
      <c r="G395" s="8" t="s">
        <v>68</v>
      </c>
      <c r="H395" s="19" t="s">
        <v>141</v>
      </c>
      <c r="I395" s="19" t="s">
        <v>1013</v>
      </c>
      <c r="J395" s="19" t="s">
        <v>223</v>
      </c>
    </row>
    <row r="396" ht="18" customHeight="1" outlineLevel="2" spans="1:10">
      <c r="A396" s="18">
        <v>1</v>
      </c>
      <c r="B396" s="18">
        <v>52</v>
      </c>
      <c r="C396" s="19" t="s">
        <v>1025</v>
      </c>
      <c r="D396" s="19" t="s">
        <v>1024</v>
      </c>
      <c r="E396" s="19" t="s">
        <v>65</v>
      </c>
      <c r="F396" s="8" t="s">
        <v>67</v>
      </c>
      <c r="G396" s="8" t="s">
        <v>68</v>
      </c>
      <c r="H396" s="19" t="s">
        <v>141</v>
      </c>
      <c r="I396" s="19" t="s">
        <v>1013</v>
      </c>
      <c r="J396" s="19" t="s">
        <v>226</v>
      </c>
    </row>
    <row r="397" ht="18" customHeight="1" outlineLevel="2" spans="1:10">
      <c r="A397" s="18">
        <v>8</v>
      </c>
      <c r="B397" s="18">
        <v>46</v>
      </c>
      <c r="C397" s="19" t="s">
        <v>1027</v>
      </c>
      <c r="D397" s="19" t="s">
        <v>1026</v>
      </c>
      <c r="E397" s="19" t="s">
        <v>65</v>
      </c>
      <c r="F397" s="8" t="s">
        <v>67</v>
      </c>
      <c r="G397" s="8" t="s">
        <v>68</v>
      </c>
      <c r="H397" s="19" t="s">
        <v>141</v>
      </c>
      <c r="I397" s="19" t="s">
        <v>1013</v>
      </c>
      <c r="J397" s="19" t="s">
        <v>229</v>
      </c>
    </row>
    <row r="398" ht="18" customHeight="1" outlineLevel="2" spans="1:10">
      <c r="A398" s="18">
        <v>3</v>
      </c>
      <c r="B398" s="18">
        <v>50</v>
      </c>
      <c r="C398" s="19" t="s">
        <v>1029</v>
      </c>
      <c r="D398" s="19" t="s">
        <v>1028</v>
      </c>
      <c r="E398" s="19" t="s">
        <v>65</v>
      </c>
      <c r="F398" s="8" t="s">
        <v>67</v>
      </c>
      <c r="G398" s="8" t="s">
        <v>68</v>
      </c>
      <c r="H398" s="19" t="s">
        <v>141</v>
      </c>
      <c r="I398" s="19" t="s">
        <v>1013</v>
      </c>
      <c r="J398" s="19" t="s">
        <v>232</v>
      </c>
    </row>
    <row r="399" ht="18" customHeight="1" outlineLevel="2" spans="1:10">
      <c r="A399" s="18">
        <v>3</v>
      </c>
      <c r="B399" s="18">
        <v>52</v>
      </c>
      <c r="C399" s="19" t="s">
        <v>1031</v>
      </c>
      <c r="D399" s="19" t="s">
        <v>1030</v>
      </c>
      <c r="E399" s="19" t="s">
        <v>65</v>
      </c>
      <c r="F399" s="8" t="s">
        <v>67</v>
      </c>
      <c r="G399" s="8" t="s">
        <v>68</v>
      </c>
      <c r="H399" s="19" t="s">
        <v>141</v>
      </c>
      <c r="I399" s="19" t="s">
        <v>1013</v>
      </c>
      <c r="J399" s="19" t="s">
        <v>235</v>
      </c>
    </row>
    <row r="400" ht="18" customHeight="1" outlineLevel="2" spans="1:10">
      <c r="A400" s="18">
        <v>7</v>
      </c>
      <c r="B400" s="18">
        <v>3</v>
      </c>
      <c r="C400" s="19" t="s">
        <v>1033</v>
      </c>
      <c r="D400" s="19" t="s">
        <v>1032</v>
      </c>
      <c r="E400" s="19" t="s">
        <v>65</v>
      </c>
      <c r="F400" s="8" t="s">
        <v>67</v>
      </c>
      <c r="G400" s="8" t="s">
        <v>68</v>
      </c>
      <c r="H400" s="19" t="s">
        <v>141</v>
      </c>
      <c r="I400" s="19" t="s">
        <v>1013</v>
      </c>
      <c r="J400" s="19" t="s">
        <v>238</v>
      </c>
    </row>
    <row r="401" ht="18" customHeight="1" outlineLevel="2" spans="1:10">
      <c r="A401" s="18">
        <v>4</v>
      </c>
      <c r="B401" s="18">
        <v>28</v>
      </c>
      <c r="C401" s="19" t="s">
        <v>1035</v>
      </c>
      <c r="D401" s="19" t="s">
        <v>1034</v>
      </c>
      <c r="E401" s="19" t="s">
        <v>65</v>
      </c>
      <c r="F401" s="8" t="s">
        <v>67</v>
      </c>
      <c r="G401" s="8" t="s">
        <v>68</v>
      </c>
      <c r="H401" s="19" t="s">
        <v>141</v>
      </c>
      <c r="I401" s="19" t="s">
        <v>1013</v>
      </c>
      <c r="J401" s="19" t="s">
        <v>241</v>
      </c>
    </row>
    <row r="402" ht="18" customHeight="1" outlineLevel="2" spans="1:10">
      <c r="A402" s="18">
        <v>3</v>
      </c>
      <c r="B402" s="18">
        <v>26</v>
      </c>
      <c r="C402" s="19" t="s">
        <v>1037</v>
      </c>
      <c r="D402" s="19" t="s">
        <v>1036</v>
      </c>
      <c r="E402" s="19" t="s">
        <v>65</v>
      </c>
      <c r="F402" s="8" t="s">
        <v>67</v>
      </c>
      <c r="G402" s="8" t="s">
        <v>68</v>
      </c>
      <c r="H402" s="19" t="s">
        <v>141</v>
      </c>
      <c r="I402" s="19" t="s">
        <v>1013</v>
      </c>
      <c r="J402" s="19" t="s">
        <v>244</v>
      </c>
    </row>
    <row r="403" ht="18" customHeight="1" outlineLevel="2" spans="1:10">
      <c r="A403" s="18">
        <v>7</v>
      </c>
      <c r="B403" s="18">
        <v>6</v>
      </c>
      <c r="C403" s="19" t="s">
        <v>1039</v>
      </c>
      <c r="D403" s="19" t="s">
        <v>1038</v>
      </c>
      <c r="E403" s="19" t="s">
        <v>65</v>
      </c>
      <c r="F403" s="8" t="s">
        <v>67</v>
      </c>
      <c r="G403" s="8" t="s">
        <v>68</v>
      </c>
      <c r="H403" s="19" t="s">
        <v>141</v>
      </c>
      <c r="I403" s="19" t="s">
        <v>1013</v>
      </c>
      <c r="J403" s="19" t="s">
        <v>247</v>
      </c>
    </row>
    <row r="404" ht="18" customHeight="1" outlineLevel="2" spans="1:10">
      <c r="A404" s="18">
        <v>7</v>
      </c>
      <c r="B404" s="18">
        <v>50</v>
      </c>
      <c r="C404" s="19" t="s">
        <v>1041</v>
      </c>
      <c r="D404" s="19" t="s">
        <v>1040</v>
      </c>
      <c r="E404" s="19" t="s">
        <v>65</v>
      </c>
      <c r="F404" s="8" t="s">
        <v>67</v>
      </c>
      <c r="G404" s="8" t="s">
        <v>68</v>
      </c>
      <c r="H404" s="19" t="s">
        <v>141</v>
      </c>
      <c r="I404" s="19" t="s">
        <v>1013</v>
      </c>
      <c r="J404" s="19" t="s">
        <v>250</v>
      </c>
    </row>
    <row r="405" ht="18" customHeight="1" outlineLevel="2" spans="1:10">
      <c r="A405" s="18">
        <v>8</v>
      </c>
      <c r="B405" s="18">
        <v>31</v>
      </c>
      <c r="C405" s="19" t="s">
        <v>1043</v>
      </c>
      <c r="D405" s="19" t="s">
        <v>1042</v>
      </c>
      <c r="E405" s="19" t="s">
        <v>65</v>
      </c>
      <c r="F405" s="8" t="s">
        <v>67</v>
      </c>
      <c r="G405" s="8" t="s">
        <v>68</v>
      </c>
      <c r="H405" s="19" t="s">
        <v>141</v>
      </c>
      <c r="I405" s="19" t="s">
        <v>1013</v>
      </c>
      <c r="J405" s="19" t="s">
        <v>253</v>
      </c>
    </row>
    <row r="406" ht="18" customHeight="1" outlineLevel="2" spans="1:10">
      <c r="A406" s="18">
        <v>9</v>
      </c>
      <c r="B406" s="18">
        <v>36</v>
      </c>
      <c r="C406" s="19" t="s">
        <v>1045</v>
      </c>
      <c r="D406" s="19" t="s">
        <v>1044</v>
      </c>
      <c r="E406" s="19" t="s">
        <v>65</v>
      </c>
      <c r="F406" s="8" t="s">
        <v>67</v>
      </c>
      <c r="G406" s="8" t="s">
        <v>68</v>
      </c>
      <c r="H406" s="19" t="s">
        <v>141</v>
      </c>
      <c r="I406" s="19" t="s">
        <v>1013</v>
      </c>
      <c r="J406" s="19" t="s">
        <v>256</v>
      </c>
    </row>
    <row r="407" ht="18" customHeight="1" outlineLevel="2" spans="1:10">
      <c r="A407" s="18">
        <v>9</v>
      </c>
      <c r="B407" s="18">
        <v>35</v>
      </c>
      <c r="C407" s="19" t="s">
        <v>1049</v>
      </c>
      <c r="D407" s="19" t="s">
        <v>1048</v>
      </c>
      <c r="E407" s="19" t="s">
        <v>65</v>
      </c>
      <c r="F407" s="8" t="s">
        <v>67</v>
      </c>
      <c r="G407" s="8" t="s">
        <v>68</v>
      </c>
      <c r="H407" s="19" t="s">
        <v>141</v>
      </c>
      <c r="I407" s="19" t="s">
        <v>1013</v>
      </c>
      <c r="J407" s="19" t="s">
        <v>262</v>
      </c>
    </row>
    <row r="408" ht="18" customHeight="1" outlineLevel="2" spans="1:10">
      <c r="A408" s="18">
        <v>6</v>
      </c>
      <c r="B408" s="18">
        <v>46</v>
      </c>
      <c r="C408" s="19" t="s">
        <v>1051</v>
      </c>
      <c r="D408" s="19" t="s">
        <v>1050</v>
      </c>
      <c r="E408" s="19" t="s">
        <v>65</v>
      </c>
      <c r="F408" s="8" t="s">
        <v>67</v>
      </c>
      <c r="G408" s="8" t="s">
        <v>68</v>
      </c>
      <c r="H408" s="19" t="s">
        <v>141</v>
      </c>
      <c r="I408" s="19" t="s">
        <v>1013</v>
      </c>
      <c r="J408" s="19" t="s">
        <v>265</v>
      </c>
    </row>
    <row r="409" ht="18" customHeight="1" outlineLevel="2" spans="1:10">
      <c r="A409" s="18">
        <v>5</v>
      </c>
      <c r="B409" s="18">
        <v>40</v>
      </c>
      <c r="C409" s="19" t="s">
        <v>1053</v>
      </c>
      <c r="D409" s="19" t="s">
        <v>1052</v>
      </c>
      <c r="E409" s="19" t="s">
        <v>65</v>
      </c>
      <c r="F409" s="8" t="s">
        <v>67</v>
      </c>
      <c r="G409" s="8" t="s">
        <v>68</v>
      </c>
      <c r="H409" s="19" t="s">
        <v>141</v>
      </c>
      <c r="I409" s="19" t="s">
        <v>1013</v>
      </c>
      <c r="J409" s="19" t="s">
        <v>268</v>
      </c>
    </row>
    <row r="410" ht="18" customHeight="1" outlineLevel="2" spans="1:10">
      <c r="A410" s="18">
        <v>3</v>
      </c>
      <c r="B410" s="18">
        <v>33</v>
      </c>
      <c r="C410" s="19" t="s">
        <v>1055</v>
      </c>
      <c r="D410" s="19" t="s">
        <v>1054</v>
      </c>
      <c r="E410" s="19" t="s">
        <v>65</v>
      </c>
      <c r="F410" s="8" t="s">
        <v>67</v>
      </c>
      <c r="G410" s="8" t="s">
        <v>68</v>
      </c>
      <c r="H410" s="19" t="s">
        <v>141</v>
      </c>
      <c r="I410" s="19" t="s">
        <v>1013</v>
      </c>
      <c r="J410" s="19" t="s">
        <v>271</v>
      </c>
    </row>
    <row r="411" ht="18" customHeight="1" outlineLevel="2" spans="1:10">
      <c r="A411" s="18">
        <v>8</v>
      </c>
      <c r="B411" s="18">
        <v>16</v>
      </c>
      <c r="C411" s="19" t="s">
        <v>1057</v>
      </c>
      <c r="D411" s="19" t="s">
        <v>1056</v>
      </c>
      <c r="E411" s="19" t="s">
        <v>65</v>
      </c>
      <c r="F411" s="8" t="s">
        <v>67</v>
      </c>
      <c r="G411" s="8" t="s">
        <v>68</v>
      </c>
      <c r="H411" s="19" t="s">
        <v>141</v>
      </c>
      <c r="I411" s="19" t="s">
        <v>1013</v>
      </c>
      <c r="J411" s="19" t="s">
        <v>274</v>
      </c>
    </row>
    <row r="412" ht="18" customHeight="1" outlineLevel="2" spans="1:10">
      <c r="A412" s="18">
        <v>8</v>
      </c>
      <c r="B412" s="18">
        <v>38</v>
      </c>
      <c r="C412" s="19" t="s">
        <v>1059</v>
      </c>
      <c r="D412" s="19" t="s">
        <v>1058</v>
      </c>
      <c r="E412" s="19" t="s">
        <v>65</v>
      </c>
      <c r="F412" s="8" t="s">
        <v>67</v>
      </c>
      <c r="G412" s="8" t="s">
        <v>68</v>
      </c>
      <c r="H412" s="19" t="s">
        <v>141</v>
      </c>
      <c r="I412" s="19" t="s">
        <v>1013</v>
      </c>
      <c r="J412" s="19" t="s">
        <v>277</v>
      </c>
    </row>
    <row r="413" ht="18" customHeight="1" outlineLevel="2" spans="1:10">
      <c r="A413" s="18">
        <v>7</v>
      </c>
      <c r="B413" s="18">
        <v>8</v>
      </c>
      <c r="C413" s="19" t="s">
        <v>1061</v>
      </c>
      <c r="D413" s="19" t="s">
        <v>1060</v>
      </c>
      <c r="E413" s="19" t="s">
        <v>65</v>
      </c>
      <c r="F413" s="8" t="s">
        <v>67</v>
      </c>
      <c r="G413" s="8" t="s">
        <v>68</v>
      </c>
      <c r="H413" s="19" t="s">
        <v>141</v>
      </c>
      <c r="I413" s="19" t="s">
        <v>1013</v>
      </c>
      <c r="J413" s="19" t="s">
        <v>280</v>
      </c>
    </row>
    <row r="414" ht="18" customHeight="1" outlineLevel="2" spans="1:10">
      <c r="A414" s="18">
        <v>1</v>
      </c>
      <c r="B414" s="18">
        <v>25</v>
      </c>
      <c r="C414" s="19" t="s">
        <v>1063</v>
      </c>
      <c r="D414" s="19" t="s">
        <v>1062</v>
      </c>
      <c r="E414" s="19" t="s">
        <v>65</v>
      </c>
      <c r="F414" s="8" t="s">
        <v>67</v>
      </c>
      <c r="G414" s="8" t="s">
        <v>68</v>
      </c>
      <c r="H414" s="19" t="s">
        <v>141</v>
      </c>
      <c r="I414" s="19" t="s">
        <v>1013</v>
      </c>
      <c r="J414" s="19" t="s">
        <v>283</v>
      </c>
    </row>
    <row r="415" ht="18" customHeight="1" outlineLevel="2" spans="1:10">
      <c r="A415" s="18">
        <v>5</v>
      </c>
      <c r="B415" s="18">
        <v>51</v>
      </c>
      <c r="C415" s="19" t="s">
        <v>1065</v>
      </c>
      <c r="D415" s="19" t="s">
        <v>1064</v>
      </c>
      <c r="E415" s="19" t="s">
        <v>65</v>
      </c>
      <c r="F415" s="8" t="s">
        <v>67</v>
      </c>
      <c r="G415" s="8" t="s">
        <v>68</v>
      </c>
      <c r="H415" s="19" t="s">
        <v>141</v>
      </c>
      <c r="I415" s="19" t="s">
        <v>1013</v>
      </c>
      <c r="J415" s="19" t="s">
        <v>286</v>
      </c>
    </row>
    <row r="416" ht="18" customHeight="1" outlineLevel="2" spans="1:10">
      <c r="A416" s="18">
        <v>1</v>
      </c>
      <c r="B416" s="18">
        <v>42</v>
      </c>
      <c r="C416" s="19" t="s">
        <v>1067</v>
      </c>
      <c r="D416" s="19" t="s">
        <v>1066</v>
      </c>
      <c r="E416" s="19" t="s">
        <v>65</v>
      </c>
      <c r="F416" s="8" t="s">
        <v>67</v>
      </c>
      <c r="G416" s="8" t="s">
        <v>68</v>
      </c>
      <c r="H416" s="19" t="s">
        <v>141</v>
      </c>
      <c r="I416" s="19" t="s">
        <v>1013</v>
      </c>
      <c r="J416" s="19" t="s">
        <v>289</v>
      </c>
    </row>
    <row r="417" ht="18" customHeight="1" outlineLevel="2" spans="1:10">
      <c r="A417" s="18">
        <v>4</v>
      </c>
      <c r="B417" s="18">
        <v>2</v>
      </c>
      <c r="C417" s="19" t="s">
        <v>1069</v>
      </c>
      <c r="D417" s="19" t="s">
        <v>1068</v>
      </c>
      <c r="E417" s="19" t="s">
        <v>65</v>
      </c>
      <c r="F417" s="8" t="s">
        <v>67</v>
      </c>
      <c r="G417" s="8" t="s">
        <v>68</v>
      </c>
      <c r="H417" s="19" t="s">
        <v>141</v>
      </c>
      <c r="I417" s="19" t="s">
        <v>1013</v>
      </c>
      <c r="J417" s="19" t="s">
        <v>292</v>
      </c>
    </row>
    <row r="418" ht="18" customHeight="1" outlineLevel="2" spans="1:10">
      <c r="A418" s="18">
        <v>1</v>
      </c>
      <c r="B418" s="18">
        <v>33</v>
      </c>
      <c r="C418" s="19" t="s">
        <v>1071</v>
      </c>
      <c r="D418" s="19" t="s">
        <v>1070</v>
      </c>
      <c r="E418" s="19" t="s">
        <v>65</v>
      </c>
      <c r="F418" s="8" t="s">
        <v>67</v>
      </c>
      <c r="G418" s="8" t="s">
        <v>68</v>
      </c>
      <c r="H418" s="19" t="s">
        <v>141</v>
      </c>
      <c r="I418" s="19" t="s">
        <v>1013</v>
      </c>
      <c r="J418" s="19" t="s">
        <v>295</v>
      </c>
    </row>
    <row r="419" ht="18" customHeight="1" outlineLevel="2" spans="1:10">
      <c r="A419" s="18">
        <v>3</v>
      </c>
      <c r="B419" s="18">
        <v>21</v>
      </c>
      <c r="C419" s="19" t="s">
        <v>1073</v>
      </c>
      <c r="D419" s="19" t="s">
        <v>1072</v>
      </c>
      <c r="E419" s="19" t="s">
        <v>65</v>
      </c>
      <c r="F419" s="8" t="s">
        <v>67</v>
      </c>
      <c r="G419" s="8" t="s">
        <v>68</v>
      </c>
      <c r="H419" s="19" t="s">
        <v>141</v>
      </c>
      <c r="I419" s="19" t="s">
        <v>1013</v>
      </c>
      <c r="J419" s="19" t="s">
        <v>298</v>
      </c>
    </row>
    <row r="420" ht="18" customHeight="1" outlineLevel="2" spans="1:10">
      <c r="A420" s="18">
        <v>5</v>
      </c>
      <c r="B420" s="18">
        <v>19</v>
      </c>
      <c r="C420" s="19" t="s">
        <v>1075</v>
      </c>
      <c r="D420" s="19" t="s">
        <v>1074</v>
      </c>
      <c r="E420" s="19" t="s">
        <v>65</v>
      </c>
      <c r="F420" s="8" t="s">
        <v>67</v>
      </c>
      <c r="G420" s="8" t="s">
        <v>68</v>
      </c>
      <c r="H420" s="19" t="s">
        <v>141</v>
      </c>
      <c r="I420" s="19" t="s">
        <v>1013</v>
      </c>
      <c r="J420" s="19" t="s">
        <v>301</v>
      </c>
    </row>
    <row r="421" ht="18" customHeight="1" outlineLevel="2" spans="1:10">
      <c r="A421" s="18">
        <v>7</v>
      </c>
      <c r="B421" s="18">
        <v>22</v>
      </c>
      <c r="C421" s="19" t="s">
        <v>1077</v>
      </c>
      <c r="D421" s="19" t="s">
        <v>1076</v>
      </c>
      <c r="E421" s="19" t="s">
        <v>65</v>
      </c>
      <c r="F421" s="8" t="s">
        <v>67</v>
      </c>
      <c r="G421" s="8" t="s">
        <v>68</v>
      </c>
      <c r="H421" s="19" t="s">
        <v>141</v>
      </c>
      <c r="I421" s="19" t="s">
        <v>1013</v>
      </c>
      <c r="J421" s="19" t="s">
        <v>304</v>
      </c>
    </row>
    <row r="422" ht="18" customHeight="1" outlineLevel="2" spans="1:10">
      <c r="A422" s="18">
        <v>4</v>
      </c>
      <c r="B422" s="18">
        <v>15</v>
      </c>
      <c r="C422" s="19" t="s">
        <v>1079</v>
      </c>
      <c r="D422" s="19" t="s">
        <v>1078</v>
      </c>
      <c r="E422" s="19" t="s">
        <v>65</v>
      </c>
      <c r="F422" s="8" t="s">
        <v>67</v>
      </c>
      <c r="G422" s="8" t="s">
        <v>68</v>
      </c>
      <c r="H422" s="19" t="s">
        <v>141</v>
      </c>
      <c r="I422" s="19" t="s">
        <v>1013</v>
      </c>
      <c r="J422" s="19" t="s">
        <v>307</v>
      </c>
    </row>
    <row r="423" ht="18" customHeight="1" outlineLevel="2" spans="1:10">
      <c r="A423" s="18">
        <v>8</v>
      </c>
      <c r="B423" s="18">
        <v>54</v>
      </c>
      <c r="C423" s="19" t="s">
        <v>1081</v>
      </c>
      <c r="D423" s="19" t="s">
        <v>1080</v>
      </c>
      <c r="E423" s="19" t="s">
        <v>65</v>
      </c>
      <c r="F423" s="8" t="s">
        <v>67</v>
      </c>
      <c r="G423" s="8" t="s">
        <v>68</v>
      </c>
      <c r="H423" s="19" t="s">
        <v>141</v>
      </c>
      <c r="I423" s="19" t="s">
        <v>1013</v>
      </c>
      <c r="J423" s="19" t="s">
        <v>310</v>
      </c>
    </row>
    <row r="424" ht="18" customHeight="1" outlineLevel="2" spans="1:10">
      <c r="A424" s="18">
        <v>3</v>
      </c>
      <c r="B424" s="18">
        <v>31</v>
      </c>
      <c r="C424" s="19" t="s">
        <v>1083</v>
      </c>
      <c r="D424" s="19" t="s">
        <v>1082</v>
      </c>
      <c r="E424" s="19" t="s">
        <v>65</v>
      </c>
      <c r="F424" s="8" t="s">
        <v>67</v>
      </c>
      <c r="G424" s="8" t="s">
        <v>68</v>
      </c>
      <c r="H424" s="19" t="s">
        <v>141</v>
      </c>
      <c r="I424" s="19" t="s">
        <v>1013</v>
      </c>
      <c r="J424" s="19" t="s">
        <v>313</v>
      </c>
    </row>
    <row r="425" ht="18" customHeight="1" outlineLevel="2" spans="1:10">
      <c r="A425" s="18">
        <v>1</v>
      </c>
      <c r="B425" s="18">
        <v>12</v>
      </c>
      <c r="C425" s="19" t="s">
        <v>1085</v>
      </c>
      <c r="D425" s="19" t="s">
        <v>1084</v>
      </c>
      <c r="E425" s="19" t="s">
        <v>65</v>
      </c>
      <c r="F425" s="8" t="s">
        <v>67</v>
      </c>
      <c r="G425" s="8" t="s">
        <v>68</v>
      </c>
      <c r="H425" s="19" t="s">
        <v>141</v>
      </c>
      <c r="I425" s="19" t="s">
        <v>1013</v>
      </c>
      <c r="J425" s="19" t="s">
        <v>316</v>
      </c>
    </row>
    <row r="426" ht="18" customHeight="1" outlineLevel="2" spans="1:10">
      <c r="A426" s="18">
        <v>7</v>
      </c>
      <c r="B426" s="18">
        <v>30</v>
      </c>
      <c r="C426" s="19" t="s">
        <v>1087</v>
      </c>
      <c r="D426" s="19" t="s">
        <v>1086</v>
      </c>
      <c r="E426" s="19" t="s">
        <v>65</v>
      </c>
      <c r="F426" s="8" t="s">
        <v>67</v>
      </c>
      <c r="G426" s="8" t="s">
        <v>68</v>
      </c>
      <c r="H426" s="19" t="s">
        <v>141</v>
      </c>
      <c r="I426" s="19" t="s">
        <v>1013</v>
      </c>
      <c r="J426" s="19" t="s">
        <v>319</v>
      </c>
    </row>
    <row r="427" ht="18" customHeight="1" outlineLevel="2" spans="1:10">
      <c r="A427" s="18">
        <v>7</v>
      </c>
      <c r="B427" s="18">
        <v>11</v>
      </c>
      <c r="C427" s="19" t="s">
        <v>1089</v>
      </c>
      <c r="D427" s="19" t="s">
        <v>1088</v>
      </c>
      <c r="E427" s="19" t="s">
        <v>65</v>
      </c>
      <c r="F427" s="8" t="s">
        <v>67</v>
      </c>
      <c r="G427" s="8" t="s">
        <v>68</v>
      </c>
      <c r="H427" s="19" t="s">
        <v>141</v>
      </c>
      <c r="I427" s="19" t="s">
        <v>1013</v>
      </c>
      <c r="J427" s="19" t="s">
        <v>322</v>
      </c>
    </row>
    <row r="428" ht="18" customHeight="1" outlineLevel="2" spans="1:10">
      <c r="A428" s="18">
        <v>5</v>
      </c>
      <c r="B428" s="18">
        <v>17</v>
      </c>
      <c r="C428" s="19" t="s">
        <v>1091</v>
      </c>
      <c r="D428" s="19" t="s">
        <v>1090</v>
      </c>
      <c r="E428" s="19" t="s">
        <v>65</v>
      </c>
      <c r="F428" s="8" t="s">
        <v>67</v>
      </c>
      <c r="G428" s="8" t="s">
        <v>68</v>
      </c>
      <c r="H428" s="19" t="s">
        <v>141</v>
      </c>
      <c r="I428" s="19" t="s">
        <v>1013</v>
      </c>
      <c r="J428" s="19" t="s">
        <v>325</v>
      </c>
    </row>
    <row r="429" ht="18" customHeight="1" outlineLevel="2" spans="1:10">
      <c r="A429" s="18">
        <v>7</v>
      </c>
      <c r="B429" s="18">
        <v>12</v>
      </c>
      <c r="C429" s="19" t="s">
        <v>1093</v>
      </c>
      <c r="D429" s="19" t="s">
        <v>1092</v>
      </c>
      <c r="E429" s="19" t="s">
        <v>65</v>
      </c>
      <c r="F429" s="8" t="s">
        <v>67</v>
      </c>
      <c r="G429" s="8" t="s">
        <v>68</v>
      </c>
      <c r="H429" s="19" t="s">
        <v>141</v>
      </c>
      <c r="I429" s="19" t="s">
        <v>1013</v>
      </c>
      <c r="J429" s="19" t="s">
        <v>328</v>
      </c>
    </row>
    <row r="430" ht="18" customHeight="1" outlineLevel="2" spans="1:10">
      <c r="A430" s="18">
        <v>9</v>
      </c>
      <c r="B430" s="18">
        <v>4</v>
      </c>
      <c r="C430" s="19" t="s">
        <v>1095</v>
      </c>
      <c r="D430" s="19" t="s">
        <v>1094</v>
      </c>
      <c r="E430" s="19" t="s">
        <v>65</v>
      </c>
      <c r="F430" s="8" t="s">
        <v>67</v>
      </c>
      <c r="G430" s="8" t="s">
        <v>68</v>
      </c>
      <c r="H430" s="19" t="s">
        <v>141</v>
      </c>
      <c r="I430" s="19" t="s">
        <v>1013</v>
      </c>
      <c r="J430" s="19" t="s">
        <v>331</v>
      </c>
    </row>
    <row r="431" ht="18" customHeight="1" outlineLevel="1" spans="1:10">
      <c r="A431" s="18"/>
      <c r="B431" s="18"/>
      <c r="C431" s="19">
        <f>SUBTOTAL(3,C390:C430)</f>
        <v>41</v>
      </c>
      <c r="D431" s="19"/>
      <c r="E431" s="19"/>
      <c r="F431" s="8"/>
      <c r="G431" s="8"/>
      <c r="H431" s="20" t="s">
        <v>1938</v>
      </c>
      <c r="I431" s="19"/>
      <c r="J431" s="19"/>
    </row>
    <row r="432" ht="18" customHeight="1" outlineLevel="2" spans="1:10">
      <c r="A432" s="18">
        <v>4</v>
      </c>
      <c r="B432" s="18">
        <v>17</v>
      </c>
      <c r="C432" s="19" t="s">
        <v>1097</v>
      </c>
      <c r="D432" s="19" t="s">
        <v>1096</v>
      </c>
      <c r="E432" s="19" t="s">
        <v>65</v>
      </c>
      <c r="F432" s="8" t="s">
        <v>67</v>
      </c>
      <c r="G432" s="8" t="s">
        <v>68</v>
      </c>
      <c r="H432" s="19" t="s">
        <v>145</v>
      </c>
      <c r="I432" s="19" t="s">
        <v>1098</v>
      </c>
      <c r="J432" s="19" t="s">
        <v>207</v>
      </c>
    </row>
    <row r="433" ht="18" customHeight="1" outlineLevel="2" spans="1:10">
      <c r="A433" s="18">
        <v>5</v>
      </c>
      <c r="B433" s="18">
        <v>21</v>
      </c>
      <c r="C433" s="19" t="s">
        <v>1100</v>
      </c>
      <c r="D433" s="19" t="s">
        <v>1099</v>
      </c>
      <c r="E433" s="19" t="s">
        <v>65</v>
      </c>
      <c r="F433" s="8" t="s">
        <v>67</v>
      </c>
      <c r="G433" s="8" t="s">
        <v>68</v>
      </c>
      <c r="H433" s="19" t="s">
        <v>145</v>
      </c>
      <c r="I433" s="19" t="s">
        <v>1098</v>
      </c>
      <c r="J433" s="19" t="s">
        <v>210</v>
      </c>
    </row>
    <row r="434" ht="18" customHeight="1" outlineLevel="2" spans="1:10">
      <c r="A434" s="18">
        <v>8</v>
      </c>
      <c r="B434" s="18">
        <v>37</v>
      </c>
      <c r="C434" s="19" t="s">
        <v>1102</v>
      </c>
      <c r="D434" s="19" t="s">
        <v>1101</v>
      </c>
      <c r="E434" s="19" t="s">
        <v>65</v>
      </c>
      <c r="F434" s="8" t="s">
        <v>67</v>
      </c>
      <c r="G434" s="8" t="s">
        <v>68</v>
      </c>
      <c r="H434" s="19" t="s">
        <v>145</v>
      </c>
      <c r="I434" s="19" t="s">
        <v>1098</v>
      </c>
      <c r="J434" s="19" t="s">
        <v>214</v>
      </c>
    </row>
    <row r="435" ht="18" customHeight="1" outlineLevel="2" spans="1:10">
      <c r="A435" s="18">
        <v>6</v>
      </c>
      <c r="B435" s="18">
        <v>2</v>
      </c>
      <c r="C435" s="19" t="s">
        <v>1104</v>
      </c>
      <c r="D435" s="19" t="s">
        <v>1103</v>
      </c>
      <c r="E435" s="19" t="s">
        <v>65</v>
      </c>
      <c r="F435" s="8" t="s">
        <v>67</v>
      </c>
      <c r="G435" s="8" t="s">
        <v>68</v>
      </c>
      <c r="H435" s="19" t="s">
        <v>145</v>
      </c>
      <c r="I435" s="19" t="s">
        <v>1098</v>
      </c>
      <c r="J435" s="19" t="s">
        <v>217</v>
      </c>
    </row>
    <row r="436" ht="18" customHeight="1" outlineLevel="2" spans="1:10">
      <c r="A436" s="18">
        <v>5</v>
      </c>
      <c r="B436" s="18">
        <v>27</v>
      </c>
      <c r="C436" s="19" t="s">
        <v>1106</v>
      </c>
      <c r="D436" s="19" t="s">
        <v>1105</v>
      </c>
      <c r="E436" s="19" t="s">
        <v>65</v>
      </c>
      <c r="F436" s="8" t="s">
        <v>67</v>
      </c>
      <c r="G436" s="8" t="s">
        <v>68</v>
      </c>
      <c r="H436" s="19" t="s">
        <v>145</v>
      </c>
      <c r="I436" s="19" t="s">
        <v>1098</v>
      </c>
      <c r="J436" s="19" t="s">
        <v>220</v>
      </c>
    </row>
    <row r="437" ht="18" customHeight="1" outlineLevel="2" spans="1:10">
      <c r="A437" s="18">
        <v>3</v>
      </c>
      <c r="B437" s="18">
        <v>43</v>
      </c>
      <c r="C437" s="19" t="s">
        <v>1108</v>
      </c>
      <c r="D437" s="19" t="s">
        <v>1107</v>
      </c>
      <c r="E437" s="19" t="s">
        <v>65</v>
      </c>
      <c r="F437" s="8" t="s">
        <v>67</v>
      </c>
      <c r="G437" s="8" t="s">
        <v>68</v>
      </c>
      <c r="H437" s="19" t="s">
        <v>145</v>
      </c>
      <c r="I437" s="19" t="s">
        <v>1098</v>
      </c>
      <c r="J437" s="19" t="s">
        <v>223</v>
      </c>
    </row>
    <row r="438" ht="18" customHeight="1" outlineLevel="2" spans="1:10">
      <c r="A438" s="18">
        <v>9</v>
      </c>
      <c r="B438" s="18">
        <v>10</v>
      </c>
      <c r="C438" s="19" t="s">
        <v>1110</v>
      </c>
      <c r="D438" s="19" t="s">
        <v>1109</v>
      </c>
      <c r="E438" s="19" t="s">
        <v>65</v>
      </c>
      <c r="F438" s="8" t="s">
        <v>67</v>
      </c>
      <c r="G438" s="8" t="s">
        <v>68</v>
      </c>
      <c r="H438" s="19" t="s">
        <v>145</v>
      </c>
      <c r="I438" s="19" t="s">
        <v>1098</v>
      </c>
      <c r="J438" s="19" t="s">
        <v>226</v>
      </c>
    </row>
    <row r="439" ht="18" customHeight="1" outlineLevel="2" spans="1:10">
      <c r="A439" s="18">
        <v>7</v>
      </c>
      <c r="B439" s="18">
        <v>28</v>
      </c>
      <c r="C439" s="19" t="s">
        <v>1112</v>
      </c>
      <c r="D439" s="19" t="s">
        <v>1111</v>
      </c>
      <c r="E439" s="19" t="s">
        <v>65</v>
      </c>
      <c r="F439" s="8" t="s">
        <v>67</v>
      </c>
      <c r="G439" s="8" t="s">
        <v>68</v>
      </c>
      <c r="H439" s="19" t="s">
        <v>145</v>
      </c>
      <c r="I439" s="19" t="s">
        <v>1098</v>
      </c>
      <c r="J439" s="19" t="s">
        <v>229</v>
      </c>
    </row>
    <row r="440" ht="18" customHeight="1" outlineLevel="2" spans="1:10">
      <c r="A440" s="18">
        <v>6</v>
      </c>
      <c r="B440" s="18">
        <v>18</v>
      </c>
      <c r="C440" s="19" t="s">
        <v>1114</v>
      </c>
      <c r="D440" s="19" t="s">
        <v>1113</v>
      </c>
      <c r="E440" s="19" t="s">
        <v>65</v>
      </c>
      <c r="F440" s="8" t="s">
        <v>67</v>
      </c>
      <c r="G440" s="8" t="s">
        <v>68</v>
      </c>
      <c r="H440" s="19" t="s">
        <v>145</v>
      </c>
      <c r="I440" s="19" t="s">
        <v>1098</v>
      </c>
      <c r="J440" s="19" t="s">
        <v>232</v>
      </c>
    </row>
    <row r="441" ht="18" customHeight="1" outlineLevel="2" spans="1:10">
      <c r="A441" s="18">
        <v>5</v>
      </c>
      <c r="B441" s="18">
        <v>50</v>
      </c>
      <c r="C441" s="19" t="s">
        <v>1116</v>
      </c>
      <c r="D441" s="19" t="s">
        <v>1115</v>
      </c>
      <c r="E441" s="19" t="s">
        <v>65</v>
      </c>
      <c r="F441" s="8" t="s">
        <v>67</v>
      </c>
      <c r="G441" s="8" t="s">
        <v>68</v>
      </c>
      <c r="H441" s="19" t="s">
        <v>145</v>
      </c>
      <c r="I441" s="19" t="s">
        <v>1098</v>
      </c>
      <c r="J441" s="19" t="s">
        <v>235</v>
      </c>
    </row>
    <row r="442" ht="18" customHeight="1" outlineLevel="2" spans="1:10">
      <c r="A442" s="18">
        <v>2</v>
      </c>
      <c r="B442" s="18">
        <v>45</v>
      </c>
      <c r="C442" s="19" t="s">
        <v>1118</v>
      </c>
      <c r="D442" s="19" t="s">
        <v>1117</v>
      </c>
      <c r="E442" s="19" t="s">
        <v>65</v>
      </c>
      <c r="F442" s="8" t="s">
        <v>67</v>
      </c>
      <c r="G442" s="8" t="s">
        <v>68</v>
      </c>
      <c r="H442" s="19" t="s">
        <v>145</v>
      </c>
      <c r="I442" s="19" t="s">
        <v>1098</v>
      </c>
      <c r="J442" s="19" t="s">
        <v>238</v>
      </c>
    </row>
    <row r="443" ht="18" customHeight="1" outlineLevel="2" spans="1:10">
      <c r="A443" s="18">
        <v>9</v>
      </c>
      <c r="B443" s="18">
        <v>7</v>
      </c>
      <c r="C443" s="19" t="s">
        <v>1120</v>
      </c>
      <c r="D443" s="19" t="s">
        <v>1119</v>
      </c>
      <c r="E443" s="19" t="s">
        <v>65</v>
      </c>
      <c r="F443" s="8" t="s">
        <v>67</v>
      </c>
      <c r="G443" s="8" t="s">
        <v>68</v>
      </c>
      <c r="H443" s="19" t="s">
        <v>145</v>
      </c>
      <c r="I443" s="19" t="s">
        <v>1098</v>
      </c>
      <c r="J443" s="19" t="s">
        <v>241</v>
      </c>
    </row>
    <row r="444" ht="18" customHeight="1" outlineLevel="2" spans="1:10">
      <c r="A444" s="18">
        <v>7</v>
      </c>
      <c r="B444" s="18">
        <v>17</v>
      </c>
      <c r="C444" s="19" t="s">
        <v>1122</v>
      </c>
      <c r="D444" s="19" t="s">
        <v>1121</v>
      </c>
      <c r="E444" s="19" t="s">
        <v>65</v>
      </c>
      <c r="F444" s="8" t="s">
        <v>67</v>
      </c>
      <c r="G444" s="8" t="s">
        <v>68</v>
      </c>
      <c r="H444" s="19" t="s">
        <v>145</v>
      </c>
      <c r="I444" s="19" t="s">
        <v>1098</v>
      </c>
      <c r="J444" s="19" t="s">
        <v>244</v>
      </c>
    </row>
    <row r="445" ht="18" customHeight="1" outlineLevel="2" spans="1:10">
      <c r="A445" s="18">
        <v>6</v>
      </c>
      <c r="B445" s="18">
        <v>26</v>
      </c>
      <c r="C445" s="19" t="s">
        <v>1124</v>
      </c>
      <c r="D445" s="19" t="s">
        <v>1123</v>
      </c>
      <c r="E445" s="19" t="s">
        <v>65</v>
      </c>
      <c r="F445" s="8" t="s">
        <v>67</v>
      </c>
      <c r="G445" s="8" t="s">
        <v>68</v>
      </c>
      <c r="H445" s="19" t="s">
        <v>145</v>
      </c>
      <c r="I445" s="19" t="s">
        <v>1098</v>
      </c>
      <c r="J445" s="19" t="s">
        <v>247</v>
      </c>
    </row>
    <row r="446" ht="18" customHeight="1" outlineLevel="2" spans="1:10">
      <c r="A446" s="18">
        <v>5</v>
      </c>
      <c r="B446" s="18">
        <v>42</v>
      </c>
      <c r="C446" s="19" t="s">
        <v>1126</v>
      </c>
      <c r="D446" s="19" t="s">
        <v>1125</v>
      </c>
      <c r="E446" s="19" t="s">
        <v>65</v>
      </c>
      <c r="F446" s="8" t="s">
        <v>67</v>
      </c>
      <c r="G446" s="8" t="s">
        <v>68</v>
      </c>
      <c r="H446" s="19" t="s">
        <v>145</v>
      </c>
      <c r="I446" s="19" t="s">
        <v>1098</v>
      </c>
      <c r="J446" s="19" t="s">
        <v>250</v>
      </c>
    </row>
    <row r="447" ht="18" customHeight="1" outlineLevel="2" spans="1:10">
      <c r="A447" s="18">
        <v>3</v>
      </c>
      <c r="B447" s="18">
        <v>17</v>
      </c>
      <c r="C447" s="19" t="s">
        <v>1128</v>
      </c>
      <c r="D447" s="19" t="s">
        <v>1127</v>
      </c>
      <c r="E447" s="19" t="s">
        <v>65</v>
      </c>
      <c r="F447" s="8" t="s">
        <v>67</v>
      </c>
      <c r="G447" s="8" t="s">
        <v>68</v>
      </c>
      <c r="H447" s="19" t="s">
        <v>145</v>
      </c>
      <c r="I447" s="19" t="s">
        <v>1098</v>
      </c>
      <c r="J447" s="19" t="s">
        <v>253</v>
      </c>
    </row>
    <row r="448" ht="18" customHeight="1" outlineLevel="2" spans="1:10">
      <c r="A448" s="18">
        <v>1</v>
      </c>
      <c r="B448" s="18">
        <v>3</v>
      </c>
      <c r="C448" s="19" t="s">
        <v>1130</v>
      </c>
      <c r="D448" s="19" t="s">
        <v>1129</v>
      </c>
      <c r="E448" s="19" t="s">
        <v>65</v>
      </c>
      <c r="F448" s="8" t="s">
        <v>67</v>
      </c>
      <c r="G448" s="8" t="s">
        <v>68</v>
      </c>
      <c r="H448" s="19" t="s">
        <v>145</v>
      </c>
      <c r="I448" s="19" t="s">
        <v>1098</v>
      </c>
      <c r="J448" s="19" t="s">
        <v>256</v>
      </c>
    </row>
    <row r="449" ht="18" customHeight="1" outlineLevel="2" spans="1:10">
      <c r="A449" s="18">
        <v>2</v>
      </c>
      <c r="B449" s="18">
        <v>29</v>
      </c>
      <c r="C449" s="19" t="s">
        <v>1132</v>
      </c>
      <c r="D449" s="19" t="s">
        <v>1131</v>
      </c>
      <c r="E449" s="19" t="s">
        <v>65</v>
      </c>
      <c r="F449" s="8" t="s">
        <v>67</v>
      </c>
      <c r="G449" s="8" t="s">
        <v>68</v>
      </c>
      <c r="H449" s="19" t="s">
        <v>145</v>
      </c>
      <c r="I449" s="19" t="s">
        <v>1098</v>
      </c>
      <c r="J449" s="19" t="s">
        <v>259</v>
      </c>
    </row>
    <row r="450" ht="18" customHeight="1" outlineLevel="2" spans="1:10">
      <c r="A450" s="18">
        <v>5</v>
      </c>
      <c r="B450" s="18">
        <v>45</v>
      </c>
      <c r="C450" s="19" t="s">
        <v>1134</v>
      </c>
      <c r="D450" s="19" t="s">
        <v>1133</v>
      </c>
      <c r="E450" s="19" t="s">
        <v>65</v>
      </c>
      <c r="F450" s="8" t="s">
        <v>67</v>
      </c>
      <c r="G450" s="8" t="s">
        <v>68</v>
      </c>
      <c r="H450" s="19" t="s">
        <v>145</v>
      </c>
      <c r="I450" s="19" t="s">
        <v>1098</v>
      </c>
      <c r="J450" s="19" t="s">
        <v>262</v>
      </c>
    </row>
    <row r="451" ht="18" customHeight="1" outlineLevel="2" spans="1:10">
      <c r="A451" s="18">
        <v>5</v>
      </c>
      <c r="B451" s="18">
        <v>29</v>
      </c>
      <c r="C451" s="19" t="s">
        <v>1136</v>
      </c>
      <c r="D451" s="19" t="s">
        <v>1135</v>
      </c>
      <c r="E451" s="19" t="s">
        <v>65</v>
      </c>
      <c r="F451" s="8" t="s">
        <v>67</v>
      </c>
      <c r="G451" s="8" t="s">
        <v>68</v>
      </c>
      <c r="H451" s="19" t="s">
        <v>145</v>
      </c>
      <c r="I451" s="19" t="s">
        <v>1098</v>
      </c>
      <c r="J451" s="19" t="s">
        <v>265</v>
      </c>
    </row>
    <row r="452" ht="18" customHeight="1" outlineLevel="2" spans="1:10">
      <c r="A452" s="18">
        <v>4</v>
      </c>
      <c r="B452" s="18">
        <v>38</v>
      </c>
      <c r="C452" s="19" t="s">
        <v>1138</v>
      </c>
      <c r="D452" s="19" t="s">
        <v>1137</v>
      </c>
      <c r="E452" s="19" t="s">
        <v>65</v>
      </c>
      <c r="F452" s="8" t="s">
        <v>67</v>
      </c>
      <c r="G452" s="8" t="s">
        <v>68</v>
      </c>
      <c r="H452" s="19" t="s">
        <v>145</v>
      </c>
      <c r="I452" s="19" t="s">
        <v>1098</v>
      </c>
      <c r="J452" s="19" t="s">
        <v>268</v>
      </c>
    </row>
    <row r="453" ht="18" customHeight="1" outlineLevel="2" spans="1:10">
      <c r="A453" s="18">
        <v>1</v>
      </c>
      <c r="B453" s="18">
        <v>31</v>
      </c>
      <c r="C453" s="19" t="s">
        <v>1140</v>
      </c>
      <c r="D453" s="19" t="s">
        <v>1139</v>
      </c>
      <c r="E453" s="19" t="s">
        <v>65</v>
      </c>
      <c r="F453" s="8" t="s">
        <v>67</v>
      </c>
      <c r="G453" s="8" t="s">
        <v>68</v>
      </c>
      <c r="H453" s="19" t="s">
        <v>145</v>
      </c>
      <c r="I453" s="19" t="s">
        <v>1098</v>
      </c>
      <c r="J453" s="19" t="s">
        <v>271</v>
      </c>
    </row>
    <row r="454" ht="18" customHeight="1" outlineLevel="2" spans="1:10">
      <c r="A454" s="18">
        <v>3</v>
      </c>
      <c r="B454" s="18">
        <v>36</v>
      </c>
      <c r="C454" s="19" t="s">
        <v>1142</v>
      </c>
      <c r="D454" s="19" t="s">
        <v>1141</v>
      </c>
      <c r="E454" s="19" t="s">
        <v>65</v>
      </c>
      <c r="F454" s="8" t="s">
        <v>67</v>
      </c>
      <c r="G454" s="8" t="s">
        <v>68</v>
      </c>
      <c r="H454" s="19" t="s">
        <v>145</v>
      </c>
      <c r="I454" s="19" t="s">
        <v>1098</v>
      </c>
      <c r="J454" s="19" t="s">
        <v>274</v>
      </c>
    </row>
    <row r="455" ht="18" customHeight="1" outlineLevel="2" spans="1:10">
      <c r="A455" s="18">
        <v>5</v>
      </c>
      <c r="B455" s="18">
        <v>2</v>
      </c>
      <c r="C455" s="19" t="s">
        <v>1144</v>
      </c>
      <c r="D455" s="19" t="s">
        <v>1143</v>
      </c>
      <c r="E455" s="19" t="s">
        <v>65</v>
      </c>
      <c r="F455" s="8" t="s">
        <v>67</v>
      </c>
      <c r="G455" s="8" t="s">
        <v>68</v>
      </c>
      <c r="H455" s="19" t="s">
        <v>145</v>
      </c>
      <c r="I455" s="19" t="s">
        <v>1098</v>
      </c>
      <c r="J455" s="19" t="s">
        <v>277</v>
      </c>
    </row>
    <row r="456" ht="18" customHeight="1" outlineLevel="2" spans="1:10">
      <c r="A456" s="18">
        <v>4</v>
      </c>
      <c r="B456" s="18">
        <v>41</v>
      </c>
      <c r="C456" s="19" t="s">
        <v>1146</v>
      </c>
      <c r="D456" s="19" t="s">
        <v>1145</v>
      </c>
      <c r="E456" s="19" t="s">
        <v>65</v>
      </c>
      <c r="F456" s="8" t="s">
        <v>67</v>
      </c>
      <c r="G456" s="8" t="s">
        <v>68</v>
      </c>
      <c r="H456" s="19" t="s">
        <v>145</v>
      </c>
      <c r="I456" s="19" t="s">
        <v>1098</v>
      </c>
      <c r="J456" s="19" t="s">
        <v>280</v>
      </c>
    </row>
    <row r="457" ht="18" customHeight="1" outlineLevel="2" spans="1:10">
      <c r="A457" s="18">
        <v>6</v>
      </c>
      <c r="B457" s="18">
        <v>40</v>
      </c>
      <c r="C457" s="19" t="s">
        <v>1148</v>
      </c>
      <c r="D457" s="19" t="s">
        <v>1147</v>
      </c>
      <c r="E457" s="19" t="s">
        <v>65</v>
      </c>
      <c r="F457" s="8" t="s">
        <v>67</v>
      </c>
      <c r="G457" s="8" t="s">
        <v>68</v>
      </c>
      <c r="H457" s="19" t="s">
        <v>145</v>
      </c>
      <c r="I457" s="19" t="s">
        <v>1098</v>
      </c>
      <c r="J457" s="19" t="s">
        <v>283</v>
      </c>
    </row>
    <row r="458" ht="18" customHeight="1" outlineLevel="2" spans="1:10">
      <c r="A458" s="18">
        <v>2</v>
      </c>
      <c r="B458" s="18">
        <v>25</v>
      </c>
      <c r="C458" s="19" t="s">
        <v>1150</v>
      </c>
      <c r="D458" s="19" t="s">
        <v>1149</v>
      </c>
      <c r="E458" s="19" t="s">
        <v>65</v>
      </c>
      <c r="F458" s="8" t="s">
        <v>67</v>
      </c>
      <c r="G458" s="8" t="s">
        <v>68</v>
      </c>
      <c r="H458" s="19" t="s">
        <v>145</v>
      </c>
      <c r="I458" s="19" t="s">
        <v>1098</v>
      </c>
      <c r="J458" s="19" t="s">
        <v>286</v>
      </c>
    </row>
    <row r="459" ht="18" customHeight="1" outlineLevel="2" spans="1:10">
      <c r="A459" s="18">
        <v>3</v>
      </c>
      <c r="B459" s="18">
        <v>24</v>
      </c>
      <c r="C459" s="19" t="s">
        <v>1152</v>
      </c>
      <c r="D459" s="19" t="s">
        <v>1151</v>
      </c>
      <c r="E459" s="19" t="s">
        <v>65</v>
      </c>
      <c r="F459" s="8" t="s">
        <v>67</v>
      </c>
      <c r="G459" s="8" t="s">
        <v>68</v>
      </c>
      <c r="H459" s="19" t="s">
        <v>145</v>
      </c>
      <c r="I459" s="19" t="s">
        <v>1098</v>
      </c>
      <c r="J459" s="19" t="s">
        <v>289</v>
      </c>
    </row>
    <row r="460" ht="18" customHeight="1" outlineLevel="2" spans="1:10">
      <c r="A460" s="18">
        <v>9</v>
      </c>
      <c r="B460" s="18">
        <v>28</v>
      </c>
      <c r="C460" s="19" t="s">
        <v>1154</v>
      </c>
      <c r="D460" s="19" t="s">
        <v>1153</v>
      </c>
      <c r="E460" s="19" t="s">
        <v>65</v>
      </c>
      <c r="F460" s="8" t="s">
        <v>67</v>
      </c>
      <c r="G460" s="8" t="s">
        <v>68</v>
      </c>
      <c r="H460" s="19" t="s">
        <v>145</v>
      </c>
      <c r="I460" s="19" t="s">
        <v>1098</v>
      </c>
      <c r="J460" s="19" t="s">
        <v>292</v>
      </c>
    </row>
    <row r="461" ht="18" customHeight="1" outlineLevel="2" spans="1:10">
      <c r="A461" s="18">
        <v>7</v>
      </c>
      <c r="B461" s="18">
        <v>37</v>
      </c>
      <c r="C461" s="19" t="s">
        <v>1156</v>
      </c>
      <c r="D461" s="19" t="s">
        <v>1155</v>
      </c>
      <c r="E461" s="19" t="s">
        <v>65</v>
      </c>
      <c r="F461" s="8" t="s">
        <v>67</v>
      </c>
      <c r="G461" s="8" t="s">
        <v>68</v>
      </c>
      <c r="H461" s="19" t="s">
        <v>145</v>
      </c>
      <c r="I461" s="19" t="s">
        <v>1098</v>
      </c>
      <c r="J461" s="19" t="s">
        <v>295</v>
      </c>
    </row>
    <row r="462" ht="18" customHeight="1" outlineLevel="2" spans="1:10">
      <c r="A462" s="18">
        <v>9</v>
      </c>
      <c r="B462" s="18">
        <v>34</v>
      </c>
      <c r="C462" s="19" t="s">
        <v>1158</v>
      </c>
      <c r="D462" s="19" t="s">
        <v>1157</v>
      </c>
      <c r="E462" s="19" t="s">
        <v>65</v>
      </c>
      <c r="F462" s="8" t="s">
        <v>67</v>
      </c>
      <c r="G462" s="8" t="s">
        <v>68</v>
      </c>
      <c r="H462" s="19" t="s">
        <v>145</v>
      </c>
      <c r="I462" s="19" t="s">
        <v>1098</v>
      </c>
      <c r="J462" s="19" t="s">
        <v>298</v>
      </c>
    </row>
    <row r="463" ht="18" customHeight="1" outlineLevel="2" spans="1:10">
      <c r="A463" s="18">
        <v>3</v>
      </c>
      <c r="B463" s="18">
        <v>25</v>
      </c>
      <c r="C463" s="19" t="s">
        <v>1160</v>
      </c>
      <c r="D463" s="19" t="s">
        <v>1159</v>
      </c>
      <c r="E463" s="19" t="s">
        <v>65</v>
      </c>
      <c r="F463" s="8" t="s">
        <v>67</v>
      </c>
      <c r="G463" s="8" t="s">
        <v>68</v>
      </c>
      <c r="H463" s="19" t="s">
        <v>145</v>
      </c>
      <c r="I463" s="19" t="s">
        <v>1098</v>
      </c>
      <c r="J463" s="19" t="s">
        <v>301</v>
      </c>
    </row>
    <row r="464" ht="18" customHeight="1" outlineLevel="2" spans="1:10">
      <c r="A464" s="18">
        <v>8</v>
      </c>
      <c r="B464" s="18">
        <v>12</v>
      </c>
      <c r="C464" s="19" t="s">
        <v>1162</v>
      </c>
      <c r="D464" s="19" t="s">
        <v>1161</v>
      </c>
      <c r="E464" s="19" t="s">
        <v>65</v>
      </c>
      <c r="F464" s="8" t="s">
        <v>67</v>
      </c>
      <c r="G464" s="8" t="s">
        <v>68</v>
      </c>
      <c r="H464" s="19" t="s">
        <v>145</v>
      </c>
      <c r="I464" s="19" t="s">
        <v>1098</v>
      </c>
      <c r="J464" s="19" t="s">
        <v>304</v>
      </c>
    </row>
    <row r="465" ht="18" customHeight="1" outlineLevel="2" spans="1:10">
      <c r="A465" s="18">
        <v>9</v>
      </c>
      <c r="B465" s="18">
        <v>24</v>
      </c>
      <c r="C465" s="19" t="s">
        <v>1164</v>
      </c>
      <c r="D465" s="19" t="s">
        <v>1163</v>
      </c>
      <c r="E465" s="19" t="s">
        <v>65</v>
      </c>
      <c r="F465" s="8" t="s">
        <v>67</v>
      </c>
      <c r="G465" s="8" t="s">
        <v>68</v>
      </c>
      <c r="H465" s="19" t="s">
        <v>145</v>
      </c>
      <c r="I465" s="19" t="s">
        <v>1098</v>
      </c>
      <c r="J465" s="19" t="s">
        <v>307</v>
      </c>
    </row>
    <row r="466" ht="18" customHeight="1" outlineLevel="2" spans="1:10">
      <c r="A466" s="18">
        <v>7</v>
      </c>
      <c r="B466" s="18">
        <v>33</v>
      </c>
      <c r="C466" s="19" t="s">
        <v>1166</v>
      </c>
      <c r="D466" s="19" t="s">
        <v>1165</v>
      </c>
      <c r="E466" s="19" t="s">
        <v>65</v>
      </c>
      <c r="F466" s="8" t="s">
        <v>67</v>
      </c>
      <c r="G466" s="8" t="s">
        <v>68</v>
      </c>
      <c r="H466" s="19" t="s">
        <v>145</v>
      </c>
      <c r="I466" s="19" t="s">
        <v>1098</v>
      </c>
      <c r="J466" s="19" t="s">
        <v>310</v>
      </c>
    </row>
    <row r="467" ht="18" customHeight="1" outlineLevel="2" spans="1:10">
      <c r="A467" s="18">
        <v>5</v>
      </c>
      <c r="B467" s="18">
        <v>48</v>
      </c>
      <c r="C467" s="19" t="s">
        <v>1168</v>
      </c>
      <c r="D467" s="19" t="s">
        <v>1167</v>
      </c>
      <c r="E467" s="19" t="s">
        <v>65</v>
      </c>
      <c r="F467" s="8" t="s">
        <v>67</v>
      </c>
      <c r="G467" s="8" t="s">
        <v>68</v>
      </c>
      <c r="H467" s="19" t="s">
        <v>145</v>
      </c>
      <c r="I467" s="19" t="s">
        <v>1098</v>
      </c>
      <c r="J467" s="19" t="s">
        <v>313</v>
      </c>
    </row>
    <row r="468" ht="18" customHeight="1" outlineLevel="2" spans="1:10">
      <c r="A468" s="18">
        <v>6</v>
      </c>
      <c r="B468" s="18">
        <v>51</v>
      </c>
      <c r="C468" s="19" t="s">
        <v>1170</v>
      </c>
      <c r="D468" s="19" t="s">
        <v>1169</v>
      </c>
      <c r="E468" s="19" t="s">
        <v>65</v>
      </c>
      <c r="F468" s="8" t="s">
        <v>67</v>
      </c>
      <c r="G468" s="8" t="s">
        <v>68</v>
      </c>
      <c r="H468" s="19" t="s">
        <v>145</v>
      </c>
      <c r="I468" s="19" t="s">
        <v>1098</v>
      </c>
      <c r="J468" s="19" t="s">
        <v>316</v>
      </c>
    </row>
    <row r="469" ht="18" customHeight="1" outlineLevel="2" spans="1:10">
      <c r="A469" s="18">
        <v>6</v>
      </c>
      <c r="B469" s="18">
        <v>32</v>
      </c>
      <c r="C469" s="19" t="s">
        <v>1172</v>
      </c>
      <c r="D469" s="19" t="s">
        <v>1171</v>
      </c>
      <c r="E469" s="19" t="s">
        <v>65</v>
      </c>
      <c r="F469" s="8" t="s">
        <v>67</v>
      </c>
      <c r="G469" s="8" t="s">
        <v>68</v>
      </c>
      <c r="H469" s="19" t="s">
        <v>145</v>
      </c>
      <c r="I469" s="19" t="s">
        <v>1098</v>
      </c>
      <c r="J469" s="19" t="s">
        <v>319</v>
      </c>
    </row>
    <row r="470" ht="18" customHeight="1" outlineLevel="2" spans="1:10">
      <c r="A470" s="18">
        <v>2</v>
      </c>
      <c r="B470" s="18">
        <v>9</v>
      </c>
      <c r="C470" s="19" t="s">
        <v>1174</v>
      </c>
      <c r="D470" s="19" t="s">
        <v>1173</v>
      </c>
      <c r="E470" s="19" t="s">
        <v>65</v>
      </c>
      <c r="F470" s="8" t="s">
        <v>67</v>
      </c>
      <c r="G470" s="8" t="s">
        <v>68</v>
      </c>
      <c r="H470" s="19" t="s">
        <v>145</v>
      </c>
      <c r="I470" s="19" t="s">
        <v>1098</v>
      </c>
      <c r="J470" s="19" t="s">
        <v>322</v>
      </c>
    </row>
    <row r="471" ht="18" customHeight="1" outlineLevel="2" spans="1:10">
      <c r="A471" s="18">
        <v>4</v>
      </c>
      <c r="B471" s="18">
        <v>46</v>
      </c>
      <c r="C471" s="19" t="s">
        <v>1176</v>
      </c>
      <c r="D471" s="19" t="s">
        <v>1175</v>
      </c>
      <c r="E471" s="19" t="s">
        <v>65</v>
      </c>
      <c r="F471" s="8" t="s">
        <v>67</v>
      </c>
      <c r="G471" s="8" t="s">
        <v>68</v>
      </c>
      <c r="H471" s="19" t="s">
        <v>145</v>
      </c>
      <c r="I471" s="19" t="s">
        <v>1098</v>
      </c>
      <c r="J471" s="19" t="s">
        <v>325</v>
      </c>
    </row>
    <row r="472" ht="18" customHeight="1" outlineLevel="2" spans="1:10">
      <c r="A472" s="18">
        <v>8</v>
      </c>
      <c r="B472" s="18">
        <v>45</v>
      </c>
      <c r="C472" s="19" t="s">
        <v>1178</v>
      </c>
      <c r="D472" s="19" t="s">
        <v>1177</v>
      </c>
      <c r="E472" s="19" t="s">
        <v>65</v>
      </c>
      <c r="F472" s="8" t="s">
        <v>67</v>
      </c>
      <c r="G472" s="8" t="s">
        <v>68</v>
      </c>
      <c r="H472" s="19" t="s">
        <v>145</v>
      </c>
      <c r="I472" s="19" t="s">
        <v>1098</v>
      </c>
      <c r="J472" s="19" t="s">
        <v>328</v>
      </c>
    </row>
    <row r="473" ht="18" customHeight="1" outlineLevel="2" spans="1:10">
      <c r="A473" s="18">
        <v>9</v>
      </c>
      <c r="B473" s="18">
        <v>41</v>
      </c>
      <c r="C473" s="19" t="s">
        <v>1180</v>
      </c>
      <c r="D473" s="19" t="s">
        <v>1179</v>
      </c>
      <c r="E473" s="19" t="s">
        <v>65</v>
      </c>
      <c r="F473" s="8" t="s">
        <v>67</v>
      </c>
      <c r="G473" s="8" t="s">
        <v>68</v>
      </c>
      <c r="H473" s="19" t="s">
        <v>145</v>
      </c>
      <c r="I473" s="19" t="s">
        <v>1098</v>
      </c>
      <c r="J473" s="19" t="s">
        <v>331</v>
      </c>
    </row>
    <row r="474" ht="18" customHeight="1" outlineLevel="1" spans="1:10">
      <c r="A474" s="18"/>
      <c r="B474" s="18"/>
      <c r="C474" s="19">
        <f>SUBTOTAL(3,C432:C473)</f>
        <v>42</v>
      </c>
      <c r="D474" s="19"/>
      <c r="E474" s="19"/>
      <c r="F474" s="8"/>
      <c r="G474" s="8"/>
      <c r="H474" s="20" t="s">
        <v>1939</v>
      </c>
      <c r="I474" s="19"/>
      <c r="J474" s="19"/>
    </row>
    <row r="475" ht="18" customHeight="1" outlineLevel="2" spans="1:10">
      <c r="A475" s="18">
        <v>11</v>
      </c>
      <c r="B475" s="18">
        <v>13</v>
      </c>
      <c r="C475" s="19" t="s">
        <v>1182</v>
      </c>
      <c r="D475" s="19" t="s">
        <v>1181</v>
      </c>
      <c r="E475" s="19" t="s">
        <v>65</v>
      </c>
      <c r="F475" s="8" t="s">
        <v>67</v>
      </c>
      <c r="G475" s="8" t="s">
        <v>69</v>
      </c>
      <c r="H475" s="19" t="s">
        <v>147</v>
      </c>
      <c r="I475" s="19" t="s">
        <v>1184</v>
      </c>
      <c r="J475" s="19" t="s">
        <v>207</v>
      </c>
    </row>
    <row r="476" ht="18" customHeight="1" outlineLevel="2" spans="1:10">
      <c r="A476" s="18">
        <v>10</v>
      </c>
      <c r="B476" s="18">
        <v>47</v>
      </c>
      <c r="C476" s="19" t="s">
        <v>1186</v>
      </c>
      <c r="D476" s="19" t="s">
        <v>1185</v>
      </c>
      <c r="E476" s="19" t="s">
        <v>65</v>
      </c>
      <c r="F476" s="8" t="s">
        <v>67</v>
      </c>
      <c r="G476" s="8" t="s">
        <v>69</v>
      </c>
      <c r="H476" s="19" t="s">
        <v>147</v>
      </c>
      <c r="I476" s="19" t="s">
        <v>1184</v>
      </c>
      <c r="J476" s="19" t="s">
        <v>210</v>
      </c>
    </row>
    <row r="477" ht="18" customHeight="1" outlineLevel="2" spans="1:10">
      <c r="A477" s="18">
        <v>11</v>
      </c>
      <c r="B477" s="18">
        <v>11</v>
      </c>
      <c r="C477" s="19" t="s">
        <v>1188</v>
      </c>
      <c r="D477" s="19" t="s">
        <v>1187</v>
      </c>
      <c r="E477" s="19" t="s">
        <v>65</v>
      </c>
      <c r="F477" s="8" t="s">
        <v>67</v>
      </c>
      <c r="G477" s="8" t="s">
        <v>69</v>
      </c>
      <c r="H477" s="19" t="s">
        <v>147</v>
      </c>
      <c r="I477" s="19" t="s">
        <v>1184</v>
      </c>
      <c r="J477" s="19" t="s">
        <v>214</v>
      </c>
    </row>
    <row r="478" ht="18" customHeight="1" outlineLevel="2" spans="1:10">
      <c r="A478" s="18">
        <v>10</v>
      </c>
      <c r="B478" s="18">
        <v>39</v>
      </c>
      <c r="C478" s="19" t="s">
        <v>1190</v>
      </c>
      <c r="D478" s="19" t="s">
        <v>1189</v>
      </c>
      <c r="E478" s="19" t="s">
        <v>65</v>
      </c>
      <c r="F478" s="8" t="s">
        <v>67</v>
      </c>
      <c r="G478" s="8" t="s">
        <v>69</v>
      </c>
      <c r="H478" s="19" t="s">
        <v>147</v>
      </c>
      <c r="I478" s="19" t="s">
        <v>1184</v>
      </c>
      <c r="J478" s="19" t="s">
        <v>217</v>
      </c>
    </row>
    <row r="479" ht="18" customHeight="1" outlineLevel="2" spans="1:10">
      <c r="A479" s="18">
        <v>10</v>
      </c>
      <c r="B479" s="18">
        <v>16</v>
      </c>
      <c r="C479" s="19" t="s">
        <v>1192</v>
      </c>
      <c r="D479" s="19" t="s">
        <v>1191</v>
      </c>
      <c r="E479" s="19" t="s">
        <v>65</v>
      </c>
      <c r="F479" s="8" t="s">
        <v>67</v>
      </c>
      <c r="G479" s="8" t="s">
        <v>69</v>
      </c>
      <c r="H479" s="19" t="s">
        <v>147</v>
      </c>
      <c r="I479" s="19" t="s">
        <v>1184</v>
      </c>
      <c r="J479" s="19" t="s">
        <v>220</v>
      </c>
    </row>
    <row r="480" ht="18" customHeight="1" outlineLevel="2" spans="1:10">
      <c r="A480" s="18">
        <v>10</v>
      </c>
      <c r="B480" s="18">
        <v>23</v>
      </c>
      <c r="C480" s="19" t="s">
        <v>1194</v>
      </c>
      <c r="D480" s="19" t="s">
        <v>1193</v>
      </c>
      <c r="E480" s="19" t="s">
        <v>65</v>
      </c>
      <c r="F480" s="8" t="s">
        <v>67</v>
      </c>
      <c r="G480" s="8" t="s">
        <v>69</v>
      </c>
      <c r="H480" s="19" t="s">
        <v>147</v>
      </c>
      <c r="I480" s="19" t="s">
        <v>1184</v>
      </c>
      <c r="J480" s="19" t="s">
        <v>223</v>
      </c>
    </row>
    <row r="481" ht="18" customHeight="1" outlineLevel="2" spans="1:10">
      <c r="A481" s="18">
        <v>10</v>
      </c>
      <c r="B481" s="18">
        <v>20</v>
      </c>
      <c r="C481" s="19" t="s">
        <v>1196</v>
      </c>
      <c r="D481" s="19" t="s">
        <v>1195</v>
      </c>
      <c r="E481" s="19" t="s">
        <v>65</v>
      </c>
      <c r="F481" s="8" t="s">
        <v>67</v>
      </c>
      <c r="G481" s="8" t="s">
        <v>69</v>
      </c>
      <c r="H481" s="19" t="s">
        <v>147</v>
      </c>
      <c r="I481" s="19" t="s">
        <v>1184</v>
      </c>
      <c r="J481" s="19" t="s">
        <v>226</v>
      </c>
    </row>
    <row r="482" ht="18" customHeight="1" outlineLevel="2" spans="1:10">
      <c r="A482" s="18">
        <v>11</v>
      </c>
      <c r="B482" s="18">
        <v>37</v>
      </c>
      <c r="C482" s="19" t="s">
        <v>1198</v>
      </c>
      <c r="D482" s="19" t="s">
        <v>1197</v>
      </c>
      <c r="E482" s="19" t="s">
        <v>65</v>
      </c>
      <c r="F482" s="8" t="s">
        <v>67</v>
      </c>
      <c r="G482" s="8" t="s">
        <v>69</v>
      </c>
      <c r="H482" s="19" t="s">
        <v>147</v>
      </c>
      <c r="I482" s="19" t="s">
        <v>1184</v>
      </c>
      <c r="J482" s="19" t="s">
        <v>229</v>
      </c>
    </row>
    <row r="483" ht="18" customHeight="1" outlineLevel="2" spans="1:10">
      <c r="A483" s="18">
        <v>11</v>
      </c>
      <c r="B483" s="18">
        <v>17</v>
      </c>
      <c r="C483" s="19" t="s">
        <v>566</v>
      </c>
      <c r="D483" s="19" t="s">
        <v>1199</v>
      </c>
      <c r="E483" s="19" t="s">
        <v>65</v>
      </c>
      <c r="F483" s="8" t="s">
        <v>67</v>
      </c>
      <c r="G483" s="8" t="s">
        <v>69</v>
      </c>
      <c r="H483" s="19" t="s">
        <v>147</v>
      </c>
      <c r="I483" s="19" t="s">
        <v>1184</v>
      </c>
      <c r="J483" s="19" t="s">
        <v>232</v>
      </c>
    </row>
    <row r="484" ht="18" customHeight="1" outlineLevel="2" spans="1:10">
      <c r="A484" s="18">
        <v>10</v>
      </c>
      <c r="B484" s="18">
        <v>6</v>
      </c>
      <c r="C484" s="19" t="s">
        <v>1201</v>
      </c>
      <c r="D484" s="19" t="s">
        <v>1200</v>
      </c>
      <c r="E484" s="19" t="s">
        <v>65</v>
      </c>
      <c r="F484" s="8" t="s">
        <v>67</v>
      </c>
      <c r="G484" s="8" t="s">
        <v>69</v>
      </c>
      <c r="H484" s="19" t="s">
        <v>147</v>
      </c>
      <c r="I484" s="19" t="s">
        <v>1184</v>
      </c>
      <c r="J484" s="19" t="s">
        <v>235</v>
      </c>
    </row>
    <row r="485" ht="18" customHeight="1" outlineLevel="2" spans="1:10">
      <c r="A485" s="18">
        <v>11</v>
      </c>
      <c r="B485" s="18">
        <v>34</v>
      </c>
      <c r="C485" s="19" t="s">
        <v>1203</v>
      </c>
      <c r="D485" s="19" t="s">
        <v>1202</v>
      </c>
      <c r="E485" s="19" t="s">
        <v>65</v>
      </c>
      <c r="F485" s="8" t="s">
        <v>67</v>
      </c>
      <c r="G485" s="8" t="s">
        <v>69</v>
      </c>
      <c r="H485" s="19" t="s">
        <v>147</v>
      </c>
      <c r="I485" s="19" t="s">
        <v>1184</v>
      </c>
      <c r="J485" s="19" t="s">
        <v>238</v>
      </c>
    </row>
    <row r="486" ht="18" customHeight="1" outlineLevel="2" spans="1:10">
      <c r="A486" s="18">
        <v>11</v>
      </c>
      <c r="B486" s="18">
        <v>36</v>
      </c>
      <c r="C486" s="19" t="s">
        <v>1205</v>
      </c>
      <c r="D486" s="19" t="s">
        <v>1204</v>
      </c>
      <c r="E486" s="19" t="s">
        <v>65</v>
      </c>
      <c r="F486" s="8" t="s">
        <v>67</v>
      </c>
      <c r="G486" s="8" t="s">
        <v>69</v>
      </c>
      <c r="H486" s="19" t="s">
        <v>147</v>
      </c>
      <c r="I486" s="19" t="s">
        <v>1184</v>
      </c>
      <c r="J486" s="19" t="s">
        <v>241</v>
      </c>
    </row>
    <row r="487" ht="18" customHeight="1" outlineLevel="2" spans="1:10">
      <c r="A487" s="18">
        <v>11</v>
      </c>
      <c r="B487" s="18">
        <v>29</v>
      </c>
      <c r="C487" s="19" t="s">
        <v>1207</v>
      </c>
      <c r="D487" s="19" t="s">
        <v>1206</v>
      </c>
      <c r="E487" s="19" t="s">
        <v>65</v>
      </c>
      <c r="F487" s="8" t="s">
        <v>67</v>
      </c>
      <c r="G487" s="8" t="s">
        <v>69</v>
      </c>
      <c r="H487" s="19" t="s">
        <v>147</v>
      </c>
      <c r="I487" s="19" t="s">
        <v>1184</v>
      </c>
      <c r="J487" s="19" t="s">
        <v>244</v>
      </c>
    </row>
    <row r="488" ht="18" customHeight="1" outlineLevel="2" spans="1:10">
      <c r="A488" s="18">
        <v>10</v>
      </c>
      <c r="B488" s="18">
        <v>28</v>
      </c>
      <c r="C488" s="19" t="s">
        <v>1209</v>
      </c>
      <c r="D488" s="19" t="s">
        <v>1208</v>
      </c>
      <c r="E488" s="19" t="s">
        <v>65</v>
      </c>
      <c r="F488" s="8" t="s">
        <v>67</v>
      </c>
      <c r="G488" s="8" t="s">
        <v>69</v>
      </c>
      <c r="H488" s="19" t="s">
        <v>147</v>
      </c>
      <c r="I488" s="19" t="s">
        <v>1184</v>
      </c>
      <c r="J488" s="19" t="s">
        <v>247</v>
      </c>
    </row>
    <row r="489" ht="18" customHeight="1" outlineLevel="2" spans="1:10">
      <c r="A489" s="18">
        <v>11</v>
      </c>
      <c r="B489" s="18">
        <v>46</v>
      </c>
      <c r="C489" s="19" t="s">
        <v>1211</v>
      </c>
      <c r="D489" s="19" t="s">
        <v>1210</v>
      </c>
      <c r="E489" s="19" t="s">
        <v>65</v>
      </c>
      <c r="F489" s="8" t="s">
        <v>67</v>
      </c>
      <c r="G489" s="8" t="s">
        <v>69</v>
      </c>
      <c r="H489" s="19" t="s">
        <v>147</v>
      </c>
      <c r="I489" s="19" t="s">
        <v>1184</v>
      </c>
      <c r="J489" s="19" t="s">
        <v>250</v>
      </c>
    </row>
    <row r="490" ht="18" customHeight="1" outlineLevel="2" spans="1:10">
      <c r="A490" s="18">
        <v>11</v>
      </c>
      <c r="B490" s="18">
        <v>25</v>
      </c>
      <c r="C490" s="19" t="s">
        <v>1213</v>
      </c>
      <c r="D490" s="19" t="s">
        <v>1212</v>
      </c>
      <c r="E490" s="19" t="s">
        <v>65</v>
      </c>
      <c r="F490" s="8" t="s">
        <v>67</v>
      </c>
      <c r="G490" s="8" t="s">
        <v>69</v>
      </c>
      <c r="H490" s="19" t="s">
        <v>147</v>
      </c>
      <c r="I490" s="19" t="s">
        <v>1184</v>
      </c>
      <c r="J490" s="19" t="s">
        <v>253</v>
      </c>
    </row>
    <row r="491" ht="18" customHeight="1" outlineLevel="2" spans="1:10">
      <c r="A491" s="18">
        <v>11</v>
      </c>
      <c r="B491" s="18">
        <v>47</v>
      </c>
      <c r="C491" s="19" t="s">
        <v>1215</v>
      </c>
      <c r="D491" s="19" t="s">
        <v>1214</v>
      </c>
      <c r="E491" s="19" t="s">
        <v>65</v>
      </c>
      <c r="F491" s="8" t="s">
        <v>67</v>
      </c>
      <c r="G491" s="8" t="s">
        <v>69</v>
      </c>
      <c r="H491" s="19" t="s">
        <v>147</v>
      </c>
      <c r="I491" s="19" t="s">
        <v>1184</v>
      </c>
      <c r="J491" s="19" t="s">
        <v>256</v>
      </c>
    </row>
    <row r="492" ht="18" customHeight="1" outlineLevel="2" spans="1:10">
      <c r="A492" s="18">
        <v>10</v>
      </c>
      <c r="B492" s="18">
        <v>48</v>
      </c>
      <c r="C492" s="19" t="s">
        <v>1217</v>
      </c>
      <c r="D492" s="19" t="s">
        <v>1216</v>
      </c>
      <c r="E492" s="19" t="s">
        <v>65</v>
      </c>
      <c r="F492" s="8" t="s">
        <v>67</v>
      </c>
      <c r="G492" s="8" t="s">
        <v>69</v>
      </c>
      <c r="H492" s="19" t="s">
        <v>147</v>
      </c>
      <c r="I492" s="19" t="s">
        <v>1184</v>
      </c>
      <c r="J492" s="19" t="s">
        <v>259</v>
      </c>
    </row>
    <row r="493" ht="18" customHeight="1" outlineLevel="2" spans="1:10">
      <c r="A493" s="18">
        <v>10</v>
      </c>
      <c r="B493" s="18">
        <v>27</v>
      </c>
      <c r="C493" s="19" t="s">
        <v>1219</v>
      </c>
      <c r="D493" s="19" t="s">
        <v>1218</v>
      </c>
      <c r="E493" s="19" t="s">
        <v>65</v>
      </c>
      <c r="F493" s="8" t="s">
        <v>67</v>
      </c>
      <c r="G493" s="8" t="s">
        <v>69</v>
      </c>
      <c r="H493" s="19" t="s">
        <v>147</v>
      </c>
      <c r="I493" s="19" t="s">
        <v>1184</v>
      </c>
      <c r="J493" s="19" t="s">
        <v>262</v>
      </c>
    </row>
    <row r="494" ht="18" customHeight="1" outlineLevel="2" spans="1:10">
      <c r="A494" s="18">
        <v>10</v>
      </c>
      <c r="B494" s="18">
        <v>4</v>
      </c>
      <c r="C494" s="19" t="s">
        <v>1221</v>
      </c>
      <c r="D494" s="19" t="s">
        <v>1220</v>
      </c>
      <c r="E494" s="19" t="s">
        <v>65</v>
      </c>
      <c r="F494" s="8" t="s">
        <v>67</v>
      </c>
      <c r="G494" s="8" t="s">
        <v>69</v>
      </c>
      <c r="H494" s="19" t="s">
        <v>147</v>
      </c>
      <c r="I494" s="19" t="s">
        <v>1184</v>
      </c>
      <c r="J494" s="19" t="s">
        <v>265</v>
      </c>
    </row>
    <row r="495" ht="18" customHeight="1" outlineLevel="2" spans="1:10">
      <c r="A495" s="18">
        <v>10</v>
      </c>
      <c r="B495" s="18">
        <v>52</v>
      </c>
      <c r="C495" s="19" t="s">
        <v>1223</v>
      </c>
      <c r="D495" s="19" t="s">
        <v>1222</v>
      </c>
      <c r="E495" s="19" t="s">
        <v>65</v>
      </c>
      <c r="F495" s="8" t="s">
        <v>67</v>
      </c>
      <c r="G495" s="8" t="s">
        <v>69</v>
      </c>
      <c r="H495" s="19" t="s">
        <v>147</v>
      </c>
      <c r="I495" s="19" t="s">
        <v>1184</v>
      </c>
      <c r="J495" s="19" t="s">
        <v>268</v>
      </c>
    </row>
    <row r="496" ht="18" customHeight="1" outlineLevel="2" spans="1:10">
      <c r="A496" s="18">
        <v>11</v>
      </c>
      <c r="B496" s="18">
        <v>52</v>
      </c>
      <c r="C496" s="19" t="s">
        <v>1225</v>
      </c>
      <c r="D496" s="19" t="s">
        <v>1224</v>
      </c>
      <c r="E496" s="19" t="s">
        <v>65</v>
      </c>
      <c r="F496" s="8" t="s">
        <v>67</v>
      </c>
      <c r="G496" s="8" t="s">
        <v>69</v>
      </c>
      <c r="H496" s="19" t="s">
        <v>147</v>
      </c>
      <c r="I496" s="19" t="s">
        <v>1184</v>
      </c>
      <c r="J496" s="19" t="s">
        <v>271</v>
      </c>
    </row>
    <row r="497" ht="18" customHeight="1" outlineLevel="2" spans="1:10">
      <c r="A497" s="18">
        <v>11</v>
      </c>
      <c r="B497" s="18">
        <v>45</v>
      </c>
      <c r="C497" s="19" t="s">
        <v>1227</v>
      </c>
      <c r="D497" s="19" t="s">
        <v>1226</v>
      </c>
      <c r="E497" s="19" t="s">
        <v>65</v>
      </c>
      <c r="F497" s="8" t="s">
        <v>67</v>
      </c>
      <c r="G497" s="8" t="s">
        <v>69</v>
      </c>
      <c r="H497" s="19" t="s">
        <v>147</v>
      </c>
      <c r="I497" s="19" t="s">
        <v>1184</v>
      </c>
      <c r="J497" s="19" t="s">
        <v>274</v>
      </c>
    </row>
    <row r="498" ht="18" customHeight="1" outlineLevel="2" spans="1:10">
      <c r="A498" s="18">
        <v>10</v>
      </c>
      <c r="B498" s="18">
        <v>46</v>
      </c>
      <c r="C498" s="19" t="s">
        <v>1229</v>
      </c>
      <c r="D498" s="19" t="s">
        <v>1228</v>
      </c>
      <c r="E498" s="19" t="s">
        <v>65</v>
      </c>
      <c r="F498" s="8" t="s">
        <v>67</v>
      </c>
      <c r="G498" s="8" t="s">
        <v>69</v>
      </c>
      <c r="H498" s="19" t="s">
        <v>147</v>
      </c>
      <c r="I498" s="19" t="s">
        <v>1184</v>
      </c>
      <c r="J498" s="19" t="s">
        <v>277</v>
      </c>
    </row>
    <row r="499" ht="18" customHeight="1" outlineLevel="2" spans="1:10">
      <c r="A499" s="18">
        <v>11</v>
      </c>
      <c r="B499" s="18">
        <v>35</v>
      </c>
      <c r="C499" s="19" t="s">
        <v>1231</v>
      </c>
      <c r="D499" s="19" t="s">
        <v>1230</v>
      </c>
      <c r="E499" s="19" t="s">
        <v>65</v>
      </c>
      <c r="F499" s="8" t="s">
        <v>67</v>
      </c>
      <c r="G499" s="8" t="s">
        <v>69</v>
      </c>
      <c r="H499" s="19" t="s">
        <v>147</v>
      </c>
      <c r="I499" s="19" t="s">
        <v>1184</v>
      </c>
      <c r="J499" s="19" t="s">
        <v>280</v>
      </c>
    </row>
    <row r="500" ht="18" customHeight="1" outlineLevel="2" spans="1:10">
      <c r="A500" s="18">
        <v>10</v>
      </c>
      <c r="B500" s="18">
        <v>9</v>
      </c>
      <c r="C500" s="19" t="s">
        <v>1233</v>
      </c>
      <c r="D500" s="19" t="s">
        <v>1232</v>
      </c>
      <c r="E500" s="19" t="s">
        <v>65</v>
      </c>
      <c r="F500" s="8" t="s">
        <v>67</v>
      </c>
      <c r="G500" s="8" t="s">
        <v>69</v>
      </c>
      <c r="H500" s="19" t="s">
        <v>147</v>
      </c>
      <c r="I500" s="19" t="s">
        <v>1184</v>
      </c>
      <c r="J500" s="19" t="s">
        <v>283</v>
      </c>
    </row>
    <row r="501" ht="18" customHeight="1" outlineLevel="2" spans="1:10">
      <c r="A501" s="18">
        <v>11</v>
      </c>
      <c r="B501" s="18">
        <v>10</v>
      </c>
      <c r="C501" s="19" t="s">
        <v>1235</v>
      </c>
      <c r="D501" s="19" t="s">
        <v>1234</v>
      </c>
      <c r="E501" s="19" t="s">
        <v>65</v>
      </c>
      <c r="F501" s="8" t="s">
        <v>67</v>
      </c>
      <c r="G501" s="8" t="s">
        <v>69</v>
      </c>
      <c r="H501" s="19" t="s">
        <v>147</v>
      </c>
      <c r="I501" s="19" t="s">
        <v>1184</v>
      </c>
      <c r="J501" s="19" t="s">
        <v>286</v>
      </c>
    </row>
    <row r="502" ht="18" customHeight="1" outlineLevel="2" spans="1:10">
      <c r="A502" s="18">
        <v>11</v>
      </c>
      <c r="B502" s="18">
        <v>22</v>
      </c>
      <c r="C502" s="19" t="s">
        <v>1237</v>
      </c>
      <c r="D502" s="19" t="s">
        <v>1236</v>
      </c>
      <c r="E502" s="19" t="s">
        <v>65</v>
      </c>
      <c r="F502" s="8" t="s">
        <v>67</v>
      </c>
      <c r="G502" s="8" t="s">
        <v>69</v>
      </c>
      <c r="H502" s="19" t="s">
        <v>147</v>
      </c>
      <c r="I502" s="19" t="s">
        <v>1184</v>
      </c>
      <c r="J502" s="19" t="s">
        <v>289</v>
      </c>
    </row>
    <row r="503" ht="18" customHeight="1" outlineLevel="2" spans="1:10">
      <c r="A503" s="18">
        <v>10</v>
      </c>
      <c r="B503" s="18">
        <v>36</v>
      </c>
      <c r="C503" s="19" t="s">
        <v>1239</v>
      </c>
      <c r="D503" s="19" t="s">
        <v>1238</v>
      </c>
      <c r="E503" s="19" t="s">
        <v>65</v>
      </c>
      <c r="F503" s="8" t="s">
        <v>67</v>
      </c>
      <c r="G503" s="8" t="s">
        <v>69</v>
      </c>
      <c r="H503" s="19" t="s">
        <v>147</v>
      </c>
      <c r="I503" s="19" t="s">
        <v>1184</v>
      </c>
      <c r="J503" s="19" t="s">
        <v>292</v>
      </c>
    </row>
    <row r="504" ht="18" customHeight="1" outlineLevel="2" spans="1:10">
      <c r="A504" s="18">
        <v>10</v>
      </c>
      <c r="B504" s="18">
        <v>19</v>
      </c>
      <c r="C504" s="19" t="s">
        <v>1241</v>
      </c>
      <c r="D504" s="19" t="s">
        <v>1240</v>
      </c>
      <c r="E504" s="19" t="s">
        <v>65</v>
      </c>
      <c r="F504" s="8" t="s">
        <v>67</v>
      </c>
      <c r="G504" s="8" t="s">
        <v>69</v>
      </c>
      <c r="H504" s="19" t="s">
        <v>147</v>
      </c>
      <c r="I504" s="19" t="s">
        <v>1184</v>
      </c>
      <c r="J504" s="19" t="s">
        <v>295</v>
      </c>
    </row>
    <row r="505" ht="18" customHeight="1" outlineLevel="2" spans="1:10">
      <c r="A505" s="18">
        <v>11</v>
      </c>
      <c r="B505" s="18">
        <v>31</v>
      </c>
      <c r="C505" s="19" t="s">
        <v>1243</v>
      </c>
      <c r="D505" s="19" t="s">
        <v>1242</v>
      </c>
      <c r="E505" s="19" t="s">
        <v>65</v>
      </c>
      <c r="F505" s="8" t="s">
        <v>67</v>
      </c>
      <c r="G505" s="8" t="s">
        <v>69</v>
      </c>
      <c r="H505" s="19" t="s">
        <v>147</v>
      </c>
      <c r="I505" s="19" t="s">
        <v>1184</v>
      </c>
      <c r="J505" s="19" t="s">
        <v>298</v>
      </c>
    </row>
    <row r="506" ht="18" customHeight="1" outlineLevel="2" spans="1:10">
      <c r="A506" s="18">
        <v>11</v>
      </c>
      <c r="B506" s="18">
        <v>33</v>
      </c>
      <c r="C506" s="19" t="s">
        <v>1245</v>
      </c>
      <c r="D506" s="19" t="s">
        <v>1244</v>
      </c>
      <c r="E506" s="19" t="s">
        <v>65</v>
      </c>
      <c r="F506" s="8" t="s">
        <v>67</v>
      </c>
      <c r="G506" s="8" t="s">
        <v>69</v>
      </c>
      <c r="H506" s="19" t="s">
        <v>147</v>
      </c>
      <c r="I506" s="19" t="s">
        <v>1184</v>
      </c>
      <c r="J506" s="19" t="s">
        <v>301</v>
      </c>
    </row>
    <row r="507" ht="18" customHeight="1" outlineLevel="2" spans="1:10">
      <c r="A507" s="18">
        <v>11</v>
      </c>
      <c r="B507" s="18">
        <v>6</v>
      </c>
      <c r="C507" s="19" t="s">
        <v>1247</v>
      </c>
      <c r="D507" s="19" t="s">
        <v>1246</v>
      </c>
      <c r="E507" s="19" t="s">
        <v>65</v>
      </c>
      <c r="F507" s="8" t="s">
        <v>67</v>
      </c>
      <c r="G507" s="8" t="s">
        <v>69</v>
      </c>
      <c r="H507" s="19" t="s">
        <v>147</v>
      </c>
      <c r="I507" s="19" t="s">
        <v>1184</v>
      </c>
      <c r="J507" s="19" t="s">
        <v>304</v>
      </c>
    </row>
    <row r="508" ht="18" customHeight="1" outlineLevel="2" spans="1:10">
      <c r="A508" s="18">
        <v>11</v>
      </c>
      <c r="B508" s="18">
        <v>49</v>
      </c>
      <c r="C508" s="19" t="s">
        <v>1249</v>
      </c>
      <c r="D508" s="19" t="s">
        <v>1248</v>
      </c>
      <c r="E508" s="19" t="s">
        <v>65</v>
      </c>
      <c r="F508" s="8" t="s">
        <v>67</v>
      </c>
      <c r="G508" s="8" t="s">
        <v>69</v>
      </c>
      <c r="H508" s="19" t="s">
        <v>147</v>
      </c>
      <c r="I508" s="19" t="s">
        <v>1184</v>
      </c>
      <c r="J508" s="19" t="s">
        <v>307</v>
      </c>
    </row>
    <row r="509" ht="18" customHeight="1" outlineLevel="2" spans="1:10">
      <c r="A509" s="18">
        <v>10</v>
      </c>
      <c r="B509" s="18">
        <v>37</v>
      </c>
      <c r="C509" s="19" t="s">
        <v>1251</v>
      </c>
      <c r="D509" s="19" t="s">
        <v>1250</v>
      </c>
      <c r="E509" s="19" t="s">
        <v>65</v>
      </c>
      <c r="F509" s="8" t="s">
        <v>67</v>
      </c>
      <c r="G509" s="8" t="s">
        <v>69</v>
      </c>
      <c r="H509" s="19" t="s">
        <v>147</v>
      </c>
      <c r="I509" s="19" t="s">
        <v>1184</v>
      </c>
      <c r="J509" s="19" t="s">
        <v>310</v>
      </c>
    </row>
    <row r="510" ht="18" customHeight="1" outlineLevel="2" spans="1:10">
      <c r="A510" s="18">
        <v>11</v>
      </c>
      <c r="B510" s="18">
        <v>20</v>
      </c>
      <c r="C510" s="19" t="s">
        <v>1253</v>
      </c>
      <c r="D510" s="19" t="s">
        <v>1252</v>
      </c>
      <c r="E510" s="19" t="s">
        <v>65</v>
      </c>
      <c r="F510" s="8" t="s">
        <v>67</v>
      </c>
      <c r="G510" s="8" t="s">
        <v>69</v>
      </c>
      <c r="H510" s="19" t="s">
        <v>147</v>
      </c>
      <c r="I510" s="19" t="s">
        <v>1184</v>
      </c>
      <c r="J510" s="19" t="s">
        <v>313</v>
      </c>
    </row>
    <row r="511" ht="18" customHeight="1" outlineLevel="2" spans="1:10">
      <c r="A511" s="18">
        <v>11</v>
      </c>
      <c r="B511" s="18">
        <v>53</v>
      </c>
      <c r="C511" s="19" t="s">
        <v>1255</v>
      </c>
      <c r="D511" s="19" t="s">
        <v>1254</v>
      </c>
      <c r="E511" s="19" t="s">
        <v>65</v>
      </c>
      <c r="F511" s="8" t="s">
        <v>67</v>
      </c>
      <c r="G511" s="8" t="s">
        <v>69</v>
      </c>
      <c r="H511" s="19" t="s">
        <v>147</v>
      </c>
      <c r="I511" s="19" t="s">
        <v>1184</v>
      </c>
      <c r="J511" s="19" t="s">
        <v>316</v>
      </c>
    </row>
    <row r="512" ht="18" customHeight="1" outlineLevel="2" spans="1:10">
      <c r="A512" s="18">
        <v>11</v>
      </c>
      <c r="B512" s="18">
        <v>38</v>
      </c>
      <c r="C512" s="19" t="s">
        <v>1257</v>
      </c>
      <c r="D512" s="19" t="s">
        <v>1256</v>
      </c>
      <c r="E512" s="19" t="s">
        <v>65</v>
      </c>
      <c r="F512" s="8" t="s">
        <v>67</v>
      </c>
      <c r="G512" s="8" t="s">
        <v>69</v>
      </c>
      <c r="H512" s="19" t="s">
        <v>147</v>
      </c>
      <c r="I512" s="19" t="s">
        <v>1184</v>
      </c>
      <c r="J512" s="19" t="s">
        <v>319</v>
      </c>
    </row>
    <row r="513" ht="18" customHeight="1" outlineLevel="2" spans="1:10">
      <c r="A513" s="18">
        <v>11</v>
      </c>
      <c r="B513" s="18">
        <v>18</v>
      </c>
      <c r="C513" s="19" t="s">
        <v>1259</v>
      </c>
      <c r="D513" s="19" t="s">
        <v>1258</v>
      </c>
      <c r="E513" s="19" t="s">
        <v>65</v>
      </c>
      <c r="F513" s="8" t="s">
        <v>67</v>
      </c>
      <c r="G513" s="8" t="s">
        <v>69</v>
      </c>
      <c r="H513" s="19" t="s">
        <v>147</v>
      </c>
      <c r="I513" s="19" t="s">
        <v>1184</v>
      </c>
      <c r="J513" s="19" t="s">
        <v>322</v>
      </c>
    </row>
    <row r="514" ht="18" customHeight="1" outlineLevel="2" spans="1:10">
      <c r="A514" s="18">
        <v>10</v>
      </c>
      <c r="B514" s="18">
        <v>51</v>
      </c>
      <c r="C514" s="19" t="s">
        <v>1261</v>
      </c>
      <c r="D514" s="19" t="s">
        <v>1260</v>
      </c>
      <c r="E514" s="19" t="s">
        <v>65</v>
      </c>
      <c r="F514" s="8" t="s">
        <v>67</v>
      </c>
      <c r="G514" s="8" t="s">
        <v>69</v>
      </c>
      <c r="H514" s="19" t="s">
        <v>147</v>
      </c>
      <c r="I514" s="19" t="s">
        <v>1184</v>
      </c>
      <c r="J514" s="19" t="s">
        <v>325</v>
      </c>
    </row>
    <row r="515" ht="18" customHeight="1" outlineLevel="2" spans="1:10">
      <c r="A515" s="18">
        <v>10</v>
      </c>
      <c r="B515" s="18">
        <v>26</v>
      </c>
      <c r="C515" s="19" t="s">
        <v>1263</v>
      </c>
      <c r="D515" s="19" t="s">
        <v>1262</v>
      </c>
      <c r="E515" s="19" t="s">
        <v>65</v>
      </c>
      <c r="F515" s="8" t="s">
        <v>67</v>
      </c>
      <c r="G515" s="8" t="s">
        <v>69</v>
      </c>
      <c r="H515" s="19" t="s">
        <v>147</v>
      </c>
      <c r="I515" s="19" t="s">
        <v>1184</v>
      </c>
      <c r="J515" s="19" t="s">
        <v>328</v>
      </c>
    </row>
    <row r="516" ht="18" customHeight="1" outlineLevel="2" spans="1:10">
      <c r="A516" s="18">
        <v>10</v>
      </c>
      <c r="B516" s="18">
        <v>11</v>
      </c>
      <c r="C516" s="19" t="s">
        <v>1265</v>
      </c>
      <c r="D516" s="19" t="s">
        <v>1264</v>
      </c>
      <c r="E516" s="19" t="s">
        <v>65</v>
      </c>
      <c r="F516" s="8" t="s">
        <v>67</v>
      </c>
      <c r="G516" s="8" t="s">
        <v>69</v>
      </c>
      <c r="H516" s="19" t="s">
        <v>147</v>
      </c>
      <c r="I516" s="19" t="s">
        <v>1184</v>
      </c>
      <c r="J516" s="19" t="s">
        <v>331</v>
      </c>
    </row>
    <row r="517" ht="18" customHeight="1" outlineLevel="1" spans="1:10">
      <c r="A517" s="18"/>
      <c r="B517" s="18"/>
      <c r="C517" s="19">
        <f>SUBTOTAL(3,C475:C516)</f>
        <v>42</v>
      </c>
      <c r="D517" s="19"/>
      <c r="E517" s="19"/>
      <c r="F517" s="8"/>
      <c r="G517" s="8"/>
      <c r="H517" s="20" t="s">
        <v>1940</v>
      </c>
      <c r="I517" s="19"/>
      <c r="J517" s="19"/>
    </row>
    <row r="518" ht="18" customHeight="1" outlineLevel="2" spans="1:10">
      <c r="A518" s="18">
        <v>10</v>
      </c>
      <c r="B518" s="18">
        <v>49</v>
      </c>
      <c r="C518" s="19" t="s">
        <v>1267</v>
      </c>
      <c r="D518" s="19" t="s">
        <v>1266</v>
      </c>
      <c r="E518" s="19" t="s">
        <v>65</v>
      </c>
      <c r="F518" s="8" t="s">
        <v>67</v>
      </c>
      <c r="G518" s="8" t="s">
        <v>69</v>
      </c>
      <c r="H518" s="19" t="s">
        <v>148</v>
      </c>
      <c r="I518" s="19" t="s">
        <v>1268</v>
      </c>
      <c r="J518" s="19" t="s">
        <v>207</v>
      </c>
    </row>
    <row r="519" ht="18" customHeight="1" outlineLevel="2" spans="1:10">
      <c r="A519" s="18">
        <v>10</v>
      </c>
      <c r="B519" s="18">
        <v>42</v>
      </c>
      <c r="C519" s="19" t="s">
        <v>1270</v>
      </c>
      <c r="D519" s="19" t="s">
        <v>1269</v>
      </c>
      <c r="E519" s="19" t="s">
        <v>65</v>
      </c>
      <c r="F519" s="8" t="s">
        <v>67</v>
      </c>
      <c r="G519" s="8" t="s">
        <v>69</v>
      </c>
      <c r="H519" s="19" t="s">
        <v>148</v>
      </c>
      <c r="I519" s="19" t="s">
        <v>1268</v>
      </c>
      <c r="J519" s="19" t="s">
        <v>210</v>
      </c>
    </row>
    <row r="520" ht="18" customHeight="1" outlineLevel="2" spans="1:10">
      <c r="A520" s="18">
        <v>10</v>
      </c>
      <c r="B520" s="18">
        <v>8</v>
      </c>
      <c r="C520" s="19" t="s">
        <v>1272</v>
      </c>
      <c r="D520" s="19" t="s">
        <v>1271</v>
      </c>
      <c r="E520" s="19" t="s">
        <v>65</v>
      </c>
      <c r="F520" s="8" t="s">
        <v>67</v>
      </c>
      <c r="G520" s="8" t="s">
        <v>69</v>
      </c>
      <c r="H520" s="19" t="s">
        <v>148</v>
      </c>
      <c r="I520" s="19" t="s">
        <v>1268</v>
      </c>
      <c r="J520" s="19" t="s">
        <v>214</v>
      </c>
    </row>
    <row r="521" ht="18" customHeight="1" outlineLevel="2" spans="1:10">
      <c r="A521" s="18">
        <v>11</v>
      </c>
      <c r="B521" s="18">
        <v>5</v>
      </c>
      <c r="C521" s="19" t="s">
        <v>1274</v>
      </c>
      <c r="D521" s="19" t="s">
        <v>1273</v>
      </c>
      <c r="E521" s="19" t="s">
        <v>65</v>
      </c>
      <c r="F521" s="8" t="s">
        <v>67</v>
      </c>
      <c r="G521" s="8" t="s">
        <v>69</v>
      </c>
      <c r="H521" s="19" t="s">
        <v>148</v>
      </c>
      <c r="I521" s="19" t="s">
        <v>1268</v>
      </c>
      <c r="J521" s="19" t="s">
        <v>217</v>
      </c>
    </row>
    <row r="522" ht="18" customHeight="1" outlineLevel="2" spans="1:10">
      <c r="A522" s="18">
        <v>10</v>
      </c>
      <c r="B522" s="18">
        <v>18</v>
      </c>
      <c r="C522" s="19" t="s">
        <v>1276</v>
      </c>
      <c r="D522" s="19" t="s">
        <v>1275</v>
      </c>
      <c r="E522" s="19" t="s">
        <v>65</v>
      </c>
      <c r="F522" s="8" t="s">
        <v>67</v>
      </c>
      <c r="G522" s="8" t="s">
        <v>69</v>
      </c>
      <c r="H522" s="19" t="s">
        <v>148</v>
      </c>
      <c r="I522" s="19" t="s">
        <v>1268</v>
      </c>
      <c r="J522" s="19" t="s">
        <v>220</v>
      </c>
    </row>
    <row r="523" ht="18" customHeight="1" outlineLevel="2" spans="1:10">
      <c r="A523" s="18">
        <v>11</v>
      </c>
      <c r="B523" s="18">
        <v>15</v>
      </c>
      <c r="C523" s="19" t="s">
        <v>1278</v>
      </c>
      <c r="D523" s="19" t="s">
        <v>1277</v>
      </c>
      <c r="E523" s="19" t="s">
        <v>65</v>
      </c>
      <c r="F523" s="8" t="s">
        <v>67</v>
      </c>
      <c r="G523" s="8" t="s">
        <v>69</v>
      </c>
      <c r="H523" s="19" t="s">
        <v>148</v>
      </c>
      <c r="I523" s="19" t="s">
        <v>1268</v>
      </c>
      <c r="J523" s="19" t="s">
        <v>223</v>
      </c>
    </row>
    <row r="524" ht="18" customHeight="1" outlineLevel="2" spans="1:10">
      <c r="A524" s="18">
        <v>10</v>
      </c>
      <c r="B524" s="18">
        <v>50</v>
      </c>
      <c r="C524" s="19" t="s">
        <v>1280</v>
      </c>
      <c r="D524" s="19" t="s">
        <v>1279</v>
      </c>
      <c r="E524" s="19" t="s">
        <v>65</v>
      </c>
      <c r="F524" s="8" t="s">
        <v>67</v>
      </c>
      <c r="G524" s="8" t="s">
        <v>69</v>
      </c>
      <c r="H524" s="19" t="s">
        <v>148</v>
      </c>
      <c r="I524" s="19" t="s">
        <v>1268</v>
      </c>
      <c r="J524" s="19" t="s">
        <v>226</v>
      </c>
    </row>
    <row r="525" ht="18" customHeight="1" outlineLevel="2" spans="1:10">
      <c r="A525" s="18">
        <v>10</v>
      </c>
      <c r="B525" s="18">
        <v>24</v>
      </c>
      <c r="C525" s="19" t="s">
        <v>1282</v>
      </c>
      <c r="D525" s="19" t="s">
        <v>1281</v>
      </c>
      <c r="E525" s="19" t="s">
        <v>65</v>
      </c>
      <c r="F525" s="8" t="s">
        <v>67</v>
      </c>
      <c r="G525" s="8" t="s">
        <v>69</v>
      </c>
      <c r="H525" s="19" t="s">
        <v>148</v>
      </c>
      <c r="I525" s="19" t="s">
        <v>1268</v>
      </c>
      <c r="J525" s="19" t="s">
        <v>229</v>
      </c>
    </row>
    <row r="526" ht="18" customHeight="1" outlineLevel="2" spans="1:10">
      <c r="A526" s="18">
        <v>10</v>
      </c>
      <c r="B526" s="18">
        <v>7</v>
      </c>
      <c r="C526" s="19" t="s">
        <v>1284</v>
      </c>
      <c r="D526" s="19" t="s">
        <v>1283</v>
      </c>
      <c r="E526" s="19" t="s">
        <v>65</v>
      </c>
      <c r="F526" s="8" t="s">
        <v>67</v>
      </c>
      <c r="G526" s="8" t="s">
        <v>69</v>
      </c>
      <c r="H526" s="19" t="s">
        <v>148</v>
      </c>
      <c r="I526" s="19" t="s">
        <v>1268</v>
      </c>
      <c r="J526" s="19" t="s">
        <v>232</v>
      </c>
    </row>
    <row r="527" ht="18" customHeight="1" outlineLevel="2" spans="1:10">
      <c r="A527" s="18">
        <v>10</v>
      </c>
      <c r="B527" s="18">
        <v>15</v>
      </c>
      <c r="C527" s="19" t="s">
        <v>1286</v>
      </c>
      <c r="D527" s="19" t="s">
        <v>1285</v>
      </c>
      <c r="E527" s="19" t="s">
        <v>65</v>
      </c>
      <c r="F527" s="8" t="s">
        <v>67</v>
      </c>
      <c r="G527" s="8" t="s">
        <v>69</v>
      </c>
      <c r="H527" s="19" t="s">
        <v>148</v>
      </c>
      <c r="I527" s="19" t="s">
        <v>1268</v>
      </c>
      <c r="J527" s="19" t="s">
        <v>235</v>
      </c>
    </row>
    <row r="528" ht="18" customHeight="1" outlineLevel="2" spans="1:10">
      <c r="A528" s="18">
        <v>10</v>
      </c>
      <c r="B528" s="18">
        <v>33</v>
      </c>
      <c r="C528" s="19" t="s">
        <v>1288</v>
      </c>
      <c r="D528" s="19" t="s">
        <v>1287</v>
      </c>
      <c r="E528" s="19" t="s">
        <v>65</v>
      </c>
      <c r="F528" s="8" t="s">
        <v>67</v>
      </c>
      <c r="G528" s="8" t="s">
        <v>69</v>
      </c>
      <c r="H528" s="19" t="s">
        <v>148</v>
      </c>
      <c r="I528" s="19" t="s">
        <v>1268</v>
      </c>
      <c r="J528" s="19" t="s">
        <v>238</v>
      </c>
    </row>
    <row r="529" ht="18" customHeight="1" outlineLevel="2" spans="1:10">
      <c r="A529" s="18">
        <v>10</v>
      </c>
      <c r="B529" s="18">
        <v>25</v>
      </c>
      <c r="C529" s="19" t="s">
        <v>1290</v>
      </c>
      <c r="D529" s="19" t="s">
        <v>1289</v>
      </c>
      <c r="E529" s="19" t="s">
        <v>65</v>
      </c>
      <c r="F529" s="8" t="s">
        <v>67</v>
      </c>
      <c r="G529" s="8" t="s">
        <v>69</v>
      </c>
      <c r="H529" s="19" t="s">
        <v>148</v>
      </c>
      <c r="I529" s="19" t="s">
        <v>1268</v>
      </c>
      <c r="J529" s="19" t="s">
        <v>241</v>
      </c>
    </row>
    <row r="530" ht="18" customHeight="1" outlineLevel="2" spans="1:10">
      <c r="A530" s="18">
        <v>10</v>
      </c>
      <c r="B530" s="18">
        <v>1</v>
      </c>
      <c r="C530" s="19" t="s">
        <v>1292</v>
      </c>
      <c r="D530" s="19" t="s">
        <v>1291</v>
      </c>
      <c r="E530" s="19" t="s">
        <v>65</v>
      </c>
      <c r="F530" s="8" t="s">
        <v>67</v>
      </c>
      <c r="G530" s="8" t="s">
        <v>69</v>
      </c>
      <c r="H530" s="19" t="s">
        <v>148</v>
      </c>
      <c r="I530" s="19" t="s">
        <v>1268</v>
      </c>
      <c r="J530" s="19" t="s">
        <v>244</v>
      </c>
    </row>
    <row r="531" ht="18" customHeight="1" outlineLevel="2" spans="1:10">
      <c r="A531" s="18">
        <v>11</v>
      </c>
      <c r="B531" s="18">
        <v>27</v>
      </c>
      <c r="C531" s="19" t="s">
        <v>1294</v>
      </c>
      <c r="D531" s="19" t="s">
        <v>1293</v>
      </c>
      <c r="E531" s="19" t="s">
        <v>65</v>
      </c>
      <c r="F531" s="8" t="s">
        <v>67</v>
      </c>
      <c r="G531" s="8" t="s">
        <v>69</v>
      </c>
      <c r="H531" s="19" t="s">
        <v>148</v>
      </c>
      <c r="I531" s="19" t="s">
        <v>1268</v>
      </c>
      <c r="J531" s="19" t="s">
        <v>247</v>
      </c>
    </row>
    <row r="532" ht="18" customHeight="1" outlineLevel="2" spans="1:10">
      <c r="A532" s="18">
        <v>11</v>
      </c>
      <c r="B532" s="18">
        <v>28</v>
      </c>
      <c r="C532" s="19" t="s">
        <v>1296</v>
      </c>
      <c r="D532" s="19" t="s">
        <v>1295</v>
      </c>
      <c r="E532" s="19" t="s">
        <v>65</v>
      </c>
      <c r="F532" s="8" t="s">
        <v>67</v>
      </c>
      <c r="G532" s="8" t="s">
        <v>69</v>
      </c>
      <c r="H532" s="19" t="s">
        <v>148</v>
      </c>
      <c r="I532" s="19" t="s">
        <v>1268</v>
      </c>
      <c r="J532" s="19" t="s">
        <v>250</v>
      </c>
    </row>
    <row r="533" ht="18" customHeight="1" outlineLevel="2" spans="1:10">
      <c r="A533" s="18">
        <v>10</v>
      </c>
      <c r="B533" s="18">
        <v>31</v>
      </c>
      <c r="C533" s="19" t="s">
        <v>1298</v>
      </c>
      <c r="D533" s="19" t="s">
        <v>1297</v>
      </c>
      <c r="E533" s="19" t="s">
        <v>65</v>
      </c>
      <c r="F533" s="8" t="s">
        <v>67</v>
      </c>
      <c r="G533" s="8" t="s">
        <v>69</v>
      </c>
      <c r="H533" s="19" t="s">
        <v>148</v>
      </c>
      <c r="I533" s="19" t="s">
        <v>1268</v>
      </c>
      <c r="J533" s="19" t="s">
        <v>253</v>
      </c>
    </row>
    <row r="534" ht="18" customHeight="1" outlineLevel="2" spans="1:10">
      <c r="A534" s="18">
        <v>10</v>
      </c>
      <c r="B534" s="18">
        <v>34</v>
      </c>
      <c r="C534" s="19" t="s">
        <v>1300</v>
      </c>
      <c r="D534" s="19" t="s">
        <v>1299</v>
      </c>
      <c r="E534" s="19" t="s">
        <v>65</v>
      </c>
      <c r="F534" s="8" t="s">
        <v>67</v>
      </c>
      <c r="G534" s="8" t="s">
        <v>69</v>
      </c>
      <c r="H534" s="19" t="s">
        <v>148</v>
      </c>
      <c r="I534" s="19" t="s">
        <v>1268</v>
      </c>
      <c r="J534" s="19" t="s">
        <v>256</v>
      </c>
    </row>
    <row r="535" ht="18" customHeight="1" outlineLevel="2" spans="1:10">
      <c r="A535" s="18">
        <v>10</v>
      </c>
      <c r="B535" s="18">
        <v>13</v>
      </c>
      <c r="C535" s="19" t="s">
        <v>1302</v>
      </c>
      <c r="D535" s="19" t="s">
        <v>1301</v>
      </c>
      <c r="E535" s="19" t="s">
        <v>65</v>
      </c>
      <c r="F535" s="8" t="s">
        <v>67</v>
      </c>
      <c r="G535" s="8" t="s">
        <v>69</v>
      </c>
      <c r="H535" s="19" t="s">
        <v>148</v>
      </c>
      <c r="I535" s="19" t="s">
        <v>1268</v>
      </c>
      <c r="J535" s="19" t="s">
        <v>259</v>
      </c>
    </row>
    <row r="536" ht="18" customHeight="1" outlineLevel="2" spans="1:10">
      <c r="A536" s="18">
        <v>10</v>
      </c>
      <c r="B536" s="18">
        <v>43</v>
      </c>
      <c r="C536" s="19" t="s">
        <v>1304</v>
      </c>
      <c r="D536" s="19" t="s">
        <v>1303</v>
      </c>
      <c r="E536" s="19" t="s">
        <v>65</v>
      </c>
      <c r="F536" s="8" t="s">
        <v>67</v>
      </c>
      <c r="G536" s="8" t="s">
        <v>69</v>
      </c>
      <c r="H536" s="19" t="s">
        <v>148</v>
      </c>
      <c r="I536" s="19" t="s">
        <v>1268</v>
      </c>
      <c r="J536" s="19" t="s">
        <v>262</v>
      </c>
    </row>
    <row r="537" ht="18" customHeight="1" outlineLevel="2" spans="1:10">
      <c r="A537" s="18">
        <v>11</v>
      </c>
      <c r="B537" s="18">
        <v>30</v>
      </c>
      <c r="C537" s="19" t="s">
        <v>1306</v>
      </c>
      <c r="D537" s="19" t="s">
        <v>1305</v>
      </c>
      <c r="E537" s="19" t="s">
        <v>65</v>
      </c>
      <c r="F537" s="8" t="s">
        <v>67</v>
      </c>
      <c r="G537" s="8" t="s">
        <v>69</v>
      </c>
      <c r="H537" s="19" t="s">
        <v>148</v>
      </c>
      <c r="I537" s="19" t="s">
        <v>1268</v>
      </c>
      <c r="J537" s="19" t="s">
        <v>265</v>
      </c>
    </row>
    <row r="538" ht="18" customHeight="1" outlineLevel="2" spans="1:10">
      <c r="A538" s="18">
        <v>11</v>
      </c>
      <c r="B538" s="18">
        <v>48</v>
      </c>
      <c r="C538" s="19" t="s">
        <v>1308</v>
      </c>
      <c r="D538" s="19" t="s">
        <v>1307</v>
      </c>
      <c r="E538" s="19" t="s">
        <v>65</v>
      </c>
      <c r="F538" s="8" t="s">
        <v>67</v>
      </c>
      <c r="G538" s="8" t="s">
        <v>69</v>
      </c>
      <c r="H538" s="19" t="s">
        <v>148</v>
      </c>
      <c r="I538" s="19" t="s">
        <v>1268</v>
      </c>
      <c r="J538" s="19" t="s">
        <v>268</v>
      </c>
    </row>
    <row r="539" ht="18" customHeight="1" outlineLevel="2" spans="1:10">
      <c r="A539" s="18">
        <v>11</v>
      </c>
      <c r="B539" s="18">
        <v>43</v>
      </c>
      <c r="C539" s="19" t="s">
        <v>1310</v>
      </c>
      <c r="D539" s="19" t="s">
        <v>1309</v>
      </c>
      <c r="E539" s="19" t="s">
        <v>65</v>
      </c>
      <c r="F539" s="8" t="s">
        <v>67</v>
      </c>
      <c r="G539" s="8" t="s">
        <v>69</v>
      </c>
      <c r="H539" s="19" t="s">
        <v>148</v>
      </c>
      <c r="I539" s="19" t="s">
        <v>1268</v>
      </c>
      <c r="J539" s="19" t="s">
        <v>271</v>
      </c>
    </row>
    <row r="540" ht="18" customHeight="1" outlineLevel="2" spans="1:10">
      <c r="A540" s="18">
        <v>10</v>
      </c>
      <c r="B540" s="18">
        <v>12</v>
      </c>
      <c r="C540" s="19" t="s">
        <v>1312</v>
      </c>
      <c r="D540" s="19" t="s">
        <v>1311</v>
      </c>
      <c r="E540" s="19" t="s">
        <v>65</v>
      </c>
      <c r="F540" s="8" t="s">
        <v>67</v>
      </c>
      <c r="G540" s="8" t="s">
        <v>69</v>
      </c>
      <c r="H540" s="19" t="s">
        <v>148</v>
      </c>
      <c r="I540" s="19" t="s">
        <v>1268</v>
      </c>
      <c r="J540" s="19" t="s">
        <v>274</v>
      </c>
    </row>
    <row r="541" ht="18" customHeight="1" outlineLevel="2" spans="1:10">
      <c r="A541" s="18">
        <v>11</v>
      </c>
      <c r="B541" s="18">
        <v>44</v>
      </c>
      <c r="C541" s="19" t="s">
        <v>1314</v>
      </c>
      <c r="D541" s="19" t="s">
        <v>1313</v>
      </c>
      <c r="E541" s="19" t="s">
        <v>65</v>
      </c>
      <c r="F541" s="8" t="s">
        <v>67</v>
      </c>
      <c r="G541" s="8" t="s">
        <v>69</v>
      </c>
      <c r="H541" s="19" t="s">
        <v>148</v>
      </c>
      <c r="I541" s="19" t="s">
        <v>1268</v>
      </c>
      <c r="J541" s="19" t="s">
        <v>277</v>
      </c>
    </row>
    <row r="542" ht="18" customHeight="1" outlineLevel="2" spans="1:10">
      <c r="A542" s="18">
        <v>10</v>
      </c>
      <c r="B542" s="18">
        <v>45</v>
      </c>
      <c r="C542" s="19" t="s">
        <v>1316</v>
      </c>
      <c r="D542" s="19" t="s">
        <v>1315</v>
      </c>
      <c r="E542" s="19" t="s">
        <v>65</v>
      </c>
      <c r="F542" s="8" t="s">
        <v>67</v>
      </c>
      <c r="G542" s="8" t="s">
        <v>69</v>
      </c>
      <c r="H542" s="19" t="s">
        <v>148</v>
      </c>
      <c r="I542" s="19" t="s">
        <v>1268</v>
      </c>
      <c r="J542" s="19" t="s">
        <v>280</v>
      </c>
    </row>
    <row r="543" ht="18" customHeight="1" outlineLevel="2" spans="1:10">
      <c r="A543" s="18">
        <v>10</v>
      </c>
      <c r="B543" s="18">
        <v>14</v>
      </c>
      <c r="C543" s="19" t="s">
        <v>1318</v>
      </c>
      <c r="D543" s="19" t="s">
        <v>1317</v>
      </c>
      <c r="E543" s="19" t="s">
        <v>65</v>
      </c>
      <c r="F543" s="8" t="s">
        <v>67</v>
      </c>
      <c r="G543" s="8" t="s">
        <v>69</v>
      </c>
      <c r="H543" s="19" t="s">
        <v>148</v>
      </c>
      <c r="I543" s="19" t="s">
        <v>1268</v>
      </c>
      <c r="J543" s="19" t="s">
        <v>283</v>
      </c>
    </row>
    <row r="544" ht="18" customHeight="1" outlineLevel="2" spans="1:10">
      <c r="A544" s="18">
        <v>11</v>
      </c>
      <c r="B544" s="18">
        <v>51</v>
      </c>
      <c r="C544" s="19" t="s">
        <v>1320</v>
      </c>
      <c r="D544" s="19" t="s">
        <v>1319</v>
      </c>
      <c r="E544" s="19" t="s">
        <v>65</v>
      </c>
      <c r="F544" s="8" t="s">
        <v>67</v>
      </c>
      <c r="G544" s="8" t="s">
        <v>69</v>
      </c>
      <c r="H544" s="19" t="s">
        <v>148</v>
      </c>
      <c r="I544" s="19" t="s">
        <v>1268</v>
      </c>
      <c r="J544" s="19" t="s">
        <v>286</v>
      </c>
    </row>
    <row r="545" ht="18" customHeight="1" outlineLevel="2" spans="1:10">
      <c r="A545" s="18">
        <v>10</v>
      </c>
      <c r="B545" s="18">
        <v>5</v>
      </c>
      <c r="C545" s="19" t="s">
        <v>1322</v>
      </c>
      <c r="D545" s="19" t="s">
        <v>1321</v>
      </c>
      <c r="E545" s="19" t="s">
        <v>65</v>
      </c>
      <c r="F545" s="8" t="s">
        <v>67</v>
      </c>
      <c r="G545" s="8" t="s">
        <v>69</v>
      </c>
      <c r="H545" s="19" t="s">
        <v>148</v>
      </c>
      <c r="I545" s="19" t="s">
        <v>1268</v>
      </c>
      <c r="J545" s="19" t="s">
        <v>289</v>
      </c>
    </row>
    <row r="546" ht="18" customHeight="1" outlineLevel="2" spans="1:10">
      <c r="A546" s="18">
        <v>10</v>
      </c>
      <c r="B546" s="18">
        <v>17</v>
      </c>
      <c r="C546" s="19" t="s">
        <v>1324</v>
      </c>
      <c r="D546" s="19" t="s">
        <v>1323</v>
      </c>
      <c r="E546" s="19" t="s">
        <v>65</v>
      </c>
      <c r="F546" s="8" t="s">
        <v>67</v>
      </c>
      <c r="G546" s="8" t="s">
        <v>69</v>
      </c>
      <c r="H546" s="19" t="s">
        <v>148</v>
      </c>
      <c r="I546" s="19" t="s">
        <v>1268</v>
      </c>
      <c r="J546" s="19" t="s">
        <v>292</v>
      </c>
    </row>
    <row r="547" ht="18" customHeight="1" outlineLevel="2" spans="1:10">
      <c r="A547" s="18">
        <v>10</v>
      </c>
      <c r="B547" s="18">
        <v>40</v>
      </c>
      <c r="C547" s="19" t="s">
        <v>1326</v>
      </c>
      <c r="D547" s="19" t="s">
        <v>1325</v>
      </c>
      <c r="E547" s="19" t="s">
        <v>65</v>
      </c>
      <c r="F547" s="8" t="s">
        <v>67</v>
      </c>
      <c r="G547" s="8" t="s">
        <v>69</v>
      </c>
      <c r="H547" s="19" t="s">
        <v>148</v>
      </c>
      <c r="I547" s="19" t="s">
        <v>1268</v>
      </c>
      <c r="J547" s="19" t="s">
        <v>295</v>
      </c>
    </row>
    <row r="548" ht="18" customHeight="1" outlineLevel="2" spans="1:10">
      <c r="A548" s="18">
        <v>10</v>
      </c>
      <c r="B548" s="18">
        <v>21</v>
      </c>
      <c r="C548" s="19" t="s">
        <v>1328</v>
      </c>
      <c r="D548" s="19" t="s">
        <v>1327</v>
      </c>
      <c r="E548" s="19" t="s">
        <v>65</v>
      </c>
      <c r="F548" s="8" t="s">
        <v>67</v>
      </c>
      <c r="G548" s="8" t="s">
        <v>69</v>
      </c>
      <c r="H548" s="19" t="s">
        <v>148</v>
      </c>
      <c r="I548" s="19" t="s">
        <v>1268</v>
      </c>
      <c r="J548" s="19" t="s">
        <v>298</v>
      </c>
    </row>
    <row r="549" ht="18" customHeight="1" outlineLevel="2" spans="1:10">
      <c r="A549" s="18">
        <v>11</v>
      </c>
      <c r="B549" s="18">
        <v>8</v>
      </c>
      <c r="C549" s="19" t="s">
        <v>1330</v>
      </c>
      <c r="D549" s="19" t="s">
        <v>1329</v>
      </c>
      <c r="E549" s="19" t="s">
        <v>65</v>
      </c>
      <c r="F549" s="8" t="s">
        <v>67</v>
      </c>
      <c r="G549" s="8" t="s">
        <v>69</v>
      </c>
      <c r="H549" s="19" t="s">
        <v>148</v>
      </c>
      <c r="I549" s="19" t="s">
        <v>1268</v>
      </c>
      <c r="J549" s="19" t="s">
        <v>301</v>
      </c>
    </row>
    <row r="550" ht="18" customHeight="1" outlineLevel="2" spans="1:10">
      <c r="A550" s="18">
        <v>10</v>
      </c>
      <c r="B550" s="18">
        <v>38</v>
      </c>
      <c r="C550" s="19" t="s">
        <v>1332</v>
      </c>
      <c r="D550" s="19" t="s">
        <v>1331</v>
      </c>
      <c r="E550" s="19" t="s">
        <v>65</v>
      </c>
      <c r="F550" s="8" t="s">
        <v>67</v>
      </c>
      <c r="G550" s="8" t="s">
        <v>69</v>
      </c>
      <c r="H550" s="19" t="s">
        <v>148</v>
      </c>
      <c r="I550" s="19" t="s">
        <v>1268</v>
      </c>
      <c r="J550" s="19" t="s">
        <v>304</v>
      </c>
    </row>
    <row r="551" ht="18" customHeight="1" outlineLevel="2" spans="1:10">
      <c r="A551" s="18">
        <v>11</v>
      </c>
      <c r="B551" s="18">
        <v>23</v>
      </c>
      <c r="C551" s="19" t="s">
        <v>1334</v>
      </c>
      <c r="D551" s="19" t="s">
        <v>1333</v>
      </c>
      <c r="E551" s="19" t="s">
        <v>65</v>
      </c>
      <c r="F551" s="8" t="s">
        <v>67</v>
      </c>
      <c r="G551" s="8" t="s">
        <v>69</v>
      </c>
      <c r="H551" s="19" t="s">
        <v>148</v>
      </c>
      <c r="I551" s="19" t="s">
        <v>1268</v>
      </c>
      <c r="J551" s="19" t="s">
        <v>307</v>
      </c>
    </row>
    <row r="552" ht="18" customHeight="1" outlineLevel="2" spans="1:10">
      <c r="A552" s="18">
        <v>10</v>
      </c>
      <c r="B552" s="18">
        <v>29</v>
      </c>
      <c r="C552" s="19" t="s">
        <v>1336</v>
      </c>
      <c r="D552" s="19" t="s">
        <v>1335</v>
      </c>
      <c r="E552" s="19" t="s">
        <v>65</v>
      </c>
      <c r="F552" s="8" t="s">
        <v>67</v>
      </c>
      <c r="G552" s="8" t="s">
        <v>69</v>
      </c>
      <c r="H552" s="19" t="s">
        <v>148</v>
      </c>
      <c r="I552" s="19" t="s">
        <v>1268</v>
      </c>
      <c r="J552" s="19" t="s">
        <v>310</v>
      </c>
    </row>
    <row r="553" ht="18" customHeight="1" outlineLevel="2" spans="1:10">
      <c r="A553" s="18">
        <v>10</v>
      </c>
      <c r="B553" s="18">
        <v>3</v>
      </c>
      <c r="C553" s="19" t="s">
        <v>1338</v>
      </c>
      <c r="D553" s="19" t="s">
        <v>1337</v>
      </c>
      <c r="E553" s="19" t="s">
        <v>65</v>
      </c>
      <c r="F553" s="8" t="s">
        <v>67</v>
      </c>
      <c r="G553" s="8" t="s">
        <v>69</v>
      </c>
      <c r="H553" s="19" t="s">
        <v>148</v>
      </c>
      <c r="I553" s="19" t="s">
        <v>1268</v>
      </c>
      <c r="J553" s="19" t="s">
        <v>313</v>
      </c>
    </row>
    <row r="554" ht="18" customHeight="1" outlineLevel="2" spans="1:10">
      <c r="A554" s="18">
        <v>11</v>
      </c>
      <c r="B554" s="18">
        <v>16</v>
      </c>
      <c r="C554" s="19" t="s">
        <v>1340</v>
      </c>
      <c r="D554" s="19" t="s">
        <v>1339</v>
      </c>
      <c r="E554" s="19" t="s">
        <v>65</v>
      </c>
      <c r="F554" s="8" t="s">
        <v>67</v>
      </c>
      <c r="G554" s="8" t="s">
        <v>69</v>
      </c>
      <c r="H554" s="19" t="s">
        <v>148</v>
      </c>
      <c r="I554" s="19" t="s">
        <v>1268</v>
      </c>
      <c r="J554" s="19" t="s">
        <v>316</v>
      </c>
    </row>
    <row r="555" ht="18" customHeight="1" outlineLevel="2" spans="1:10">
      <c r="A555" s="18">
        <v>10</v>
      </c>
      <c r="B555" s="18">
        <v>30</v>
      </c>
      <c r="C555" s="19" t="s">
        <v>1342</v>
      </c>
      <c r="D555" s="19" t="s">
        <v>1341</v>
      </c>
      <c r="E555" s="19" t="s">
        <v>65</v>
      </c>
      <c r="F555" s="8" t="s">
        <v>67</v>
      </c>
      <c r="G555" s="8" t="s">
        <v>69</v>
      </c>
      <c r="H555" s="19" t="s">
        <v>148</v>
      </c>
      <c r="I555" s="19" t="s">
        <v>1268</v>
      </c>
      <c r="J555" s="19" t="s">
        <v>319</v>
      </c>
    </row>
    <row r="556" ht="18" customHeight="1" outlineLevel="2" spans="1:10">
      <c r="A556" s="18">
        <v>11</v>
      </c>
      <c r="B556" s="18">
        <v>50</v>
      </c>
      <c r="C556" s="19" t="s">
        <v>1344</v>
      </c>
      <c r="D556" s="19" t="s">
        <v>1343</v>
      </c>
      <c r="E556" s="19" t="s">
        <v>65</v>
      </c>
      <c r="F556" s="8" t="s">
        <v>67</v>
      </c>
      <c r="G556" s="8" t="s">
        <v>69</v>
      </c>
      <c r="H556" s="19" t="s">
        <v>148</v>
      </c>
      <c r="I556" s="19" t="s">
        <v>1268</v>
      </c>
      <c r="J556" s="19" t="s">
        <v>322</v>
      </c>
    </row>
    <row r="557" ht="18" customHeight="1" outlineLevel="2" spans="1:10">
      <c r="A557" s="18">
        <v>11</v>
      </c>
      <c r="B557" s="18">
        <v>32</v>
      </c>
      <c r="C557" s="19" t="s">
        <v>1346</v>
      </c>
      <c r="D557" s="19" t="s">
        <v>1345</v>
      </c>
      <c r="E557" s="19" t="s">
        <v>65</v>
      </c>
      <c r="F557" s="8" t="s">
        <v>67</v>
      </c>
      <c r="G557" s="8" t="s">
        <v>69</v>
      </c>
      <c r="H557" s="19" t="s">
        <v>148</v>
      </c>
      <c r="I557" s="19" t="s">
        <v>1268</v>
      </c>
      <c r="J557" s="19" t="s">
        <v>325</v>
      </c>
    </row>
    <row r="558" ht="18" customHeight="1" outlineLevel="2" spans="1:10">
      <c r="A558" s="18">
        <v>11</v>
      </c>
      <c r="B558" s="18">
        <v>19</v>
      </c>
      <c r="C558" s="19" t="s">
        <v>1348</v>
      </c>
      <c r="D558" s="19" t="s">
        <v>1347</v>
      </c>
      <c r="E558" s="19" t="s">
        <v>65</v>
      </c>
      <c r="F558" s="8" t="s">
        <v>67</v>
      </c>
      <c r="G558" s="8" t="s">
        <v>69</v>
      </c>
      <c r="H558" s="19" t="s">
        <v>148</v>
      </c>
      <c r="I558" s="19" t="s">
        <v>1268</v>
      </c>
      <c r="J558" s="19" t="s">
        <v>328</v>
      </c>
    </row>
    <row r="559" ht="18" customHeight="1" outlineLevel="2" spans="1:10">
      <c r="A559" s="18">
        <v>10</v>
      </c>
      <c r="B559" s="18">
        <v>44</v>
      </c>
      <c r="C559" s="19" t="s">
        <v>1350</v>
      </c>
      <c r="D559" s="19" t="s">
        <v>1349</v>
      </c>
      <c r="E559" s="19" t="s">
        <v>65</v>
      </c>
      <c r="F559" s="8" t="s">
        <v>67</v>
      </c>
      <c r="G559" s="8" t="s">
        <v>69</v>
      </c>
      <c r="H559" s="19" t="s">
        <v>148</v>
      </c>
      <c r="I559" s="19" t="s">
        <v>1268</v>
      </c>
      <c r="J559" s="19" t="s">
        <v>331</v>
      </c>
    </row>
    <row r="560" ht="18" customHeight="1" outlineLevel="1" spans="1:10">
      <c r="A560" s="18"/>
      <c r="B560" s="18"/>
      <c r="C560" s="19">
        <f>SUBTOTAL(3,C518:C559)</f>
        <v>42</v>
      </c>
      <c r="D560" s="19"/>
      <c r="E560" s="19"/>
      <c r="F560" s="8"/>
      <c r="G560" s="8"/>
      <c r="H560" s="20" t="s">
        <v>1941</v>
      </c>
      <c r="I560" s="19"/>
      <c r="J560" s="19"/>
    </row>
    <row r="561" ht="18" customHeight="1" outlineLevel="2" spans="1:10">
      <c r="A561" s="18">
        <v>12</v>
      </c>
      <c r="B561" s="18">
        <v>48</v>
      </c>
      <c r="C561" s="19" t="s">
        <v>1352</v>
      </c>
      <c r="D561" s="19" t="s">
        <v>1351</v>
      </c>
      <c r="E561" s="19" t="s">
        <v>65</v>
      </c>
      <c r="F561" s="8" t="s">
        <v>67</v>
      </c>
      <c r="G561" s="8" t="s">
        <v>70</v>
      </c>
      <c r="H561" s="19" t="s">
        <v>149</v>
      </c>
      <c r="I561" s="19" t="s">
        <v>1354</v>
      </c>
      <c r="J561" s="19" t="s">
        <v>207</v>
      </c>
    </row>
    <row r="562" ht="18" customHeight="1" outlineLevel="2" spans="1:10">
      <c r="A562" s="18">
        <v>12</v>
      </c>
      <c r="B562" s="18">
        <v>33</v>
      </c>
      <c r="C562" s="19" t="s">
        <v>1356</v>
      </c>
      <c r="D562" s="19" t="s">
        <v>1355</v>
      </c>
      <c r="E562" s="19" t="s">
        <v>65</v>
      </c>
      <c r="F562" s="8" t="s">
        <v>67</v>
      </c>
      <c r="G562" s="8" t="s">
        <v>70</v>
      </c>
      <c r="H562" s="19" t="s">
        <v>149</v>
      </c>
      <c r="I562" s="19" t="s">
        <v>1354</v>
      </c>
      <c r="J562" s="19" t="s">
        <v>210</v>
      </c>
    </row>
    <row r="563" ht="18" customHeight="1" outlineLevel="2" spans="1:10">
      <c r="A563" s="18">
        <v>12</v>
      </c>
      <c r="B563" s="18">
        <v>27</v>
      </c>
      <c r="C563" s="19" t="s">
        <v>1358</v>
      </c>
      <c r="D563" s="19" t="s">
        <v>1357</v>
      </c>
      <c r="E563" s="19" t="s">
        <v>65</v>
      </c>
      <c r="F563" s="8" t="s">
        <v>67</v>
      </c>
      <c r="G563" s="8" t="s">
        <v>70</v>
      </c>
      <c r="H563" s="19" t="s">
        <v>149</v>
      </c>
      <c r="I563" s="19" t="s">
        <v>1354</v>
      </c>
      <c r="J563" s="19" t="s">
        <v>214</v>
      </c>
    </row>
    <row r="564" ht="18" customHeight="1" outlineLevel="2" spans="1:10">
      <c r="A564" s="18">
        <v>12</v>
      </c>
      <c r="B564" s="18">
        <v>13</v>
      </c>
      <c r="C564" s="19" t="s">
        <v>1360</v>
      </c>
      <c r="D564" s="19" t="s">
        <v>1359</v>
      </c>
      <c r="E564" s="19" t="s">
        <v>65</v>
      </c>
      <c r="F564" s="8" t="s">
        <v>67</v>
      </c>
      <c r="G564" s="8" t="s">
        <v>70</v>
      </c>
      <c r="H564" s="19" t="s">
        <v>149</v>
      </c>
      <c r="I564" s="19" t="s">
        <v>1354</v>
      </c>
      <c r="J564" s="19" t="s">
        <v>217</v>
      </c>
    </row>
    <row r="565" ht="18" customHeight="1" outlineLevel="2" spans="1:10">
      <c r="A565" s="18">
        <v>12</v>
      </c>
      <c r="B565" s="18">
        <v>36</v>
      </c>
      <c r="C565" s="19" t="s">
        <v>1362</v>
      </c>
      <c r="D565" s="19" t="s">
        <v>1361</v>
      </c>
      <c r="E565" s="19" t="s">
        <v>65</v>
      </c>
      <c r="F565" s="8" t="s">
        <v>67</v>
      </c>
      <c r="G565" s="8" t="s">
        <v>70</v>
      </c>
      <c r="H565" s="19" t="s">
        <v>149</v>
      </c>
      <c r="I565" s="19" t="s">
        <v>1354</v>
      </c>
      <c r="J565" s="19" t="s">
        <v>220</v>
      </c>
    </row>
    <row r="566" ht="18" customHeight="1" outlineLevel="2" spans="1:10">
      <c r="A566" s="18">
        <v>12</v>
      </c>
      <c r="B566" s="18">
        <v>55</v>
      </c>
      <c r="C566" s="19" t="s">
        <v>1364</v>
      </c>
      <c r="D566" s="19" t="s">
        <v>1363</v>
      </c>
      <c r="E566" s="19" t="s">
        <v>65</v>
      </c>
      <c r="F566" s="8" t="s">
        <v>67</v>
      </c>
      <c r="G566" s="8" t="s">
        <v>70</v>
      </c>
      <c r="H566" s="19" t="s">
        <v>149</v>
      </c>
      <c r="I566" s="19" t="s">
        <v>1354</v>
      </c>
      <c r="J566" s="19" t="s">
        <v>223</v>
      </c>
    </row>
    <row r="567" ht="18" customHeight="1" outlineLevel="2" spans="1:10">
      <c r="A567" s="18">
        <v>12</v>
      </c>
      <c r="B567" s="18">
        <v>7</v>
      </c>
      <c r="C567" s="19" t="s">
        <v>1366</v>
      </c>
      <c r="D567" s="19" t="s">
        <v>1365</v>
      </c>
      <c r="E567" s="19" t="s">
        <v>65</v>
      </c>
      <c r="F567" s="8" t="s">
        <v>67</v>
      </c>
      <c r="G567" s="8" t="s">
        <v>70</v>
      </c>
      <c r="H567" s="19" t="s">
        <v>149</v>
      </c>
      <c r="I567" s="19" t="s">
        <v>1354</v>
      </c>
      <c r="J567" s="19" t="s">
        <v>226</v>
      </c>
    </row>
    <row r="568" ht="18" customHeight="1" outlineLevel="2" spans="1:10">
      <c r="A568" s="18">
        <v>12</v>
      </c>
      <c r="B568" s="18">
        <v>18</v>
      </c>
      <c r="C568" s="19" t="s">
        <v>1368</v>
      </c>
      <c r="D568" s="19" t="s">
        <v>1367</v>
      </c>
      <c r="E568" s="19" t="s">
        <v>65</v>
      </c>
      <c r="F568" s="8" t="s">
        <v>67</v>
      </c>
      <c r="G568" s="8" t="s">
        <v>70</v>
      </c>
      <c r="H568" s="19" t="s">
        <v>149</v>
      </c>
      <c r="I568" s="19" t="s">
        <v>1354</v>
      </c>
      <c r="J568" s="19" t="s">
        <v>229</v>
      </c>
    </row>
    <row r="569" ht="18" customHeight="1" outlineLevel="2" spans="1:10">
      <c r="A569" s="18">
        <v>12</v>
      </c>
      <c r="B569" s="18">
        <v>37</v>
      </c>
      <c r="C569" s="19" t="s">
        <v>1370</v>
      </c>
      <c r="D569" s="19" t="s">
        <v>1369</v>
      </c>
      <c r="E569" s="19" t="s">
        <v>65</v>
      </c>
      <c r="F569" s="8" t="s">
        <v>67</v>
      </c>
      <c r="G569" s="8" t="s">
        <v>70</v>
      </c>
      <c r="H569" s="19" t="s">
        <v>149</v>
      </c>
      <c r="I569" s="19" t="s">
        <v>1354</v>
      </c>
      <c r="J569" s="19" t="s">
        <v>232</v>
      </c>
    </row>
    <row r="570" ht="18" customHeight="1" outlineLevel="2" spans="1:10">
      <c r="A570" s="18">
        <v>12</v>
      </c>
      <c r="B570" s="18">
        <v>53</v>
      </c>
      <c r="C570" s="19" t="s">
        <v>1372</v>
      </c>
      <c r="D570" s="19" t="s">
        <v>1371</v>
      </c>
      <c r="E570" s="19" t="s">
        <v>65</v>
      </c>
      <c r="F570" s="8" t="s">
        <v>67</v>
      </c>
      <c r="G570" s="8" t="s">
        <v>70</v>
      </c>
      <c r="H570" s="19" t="s">
        <v>149</v>
      </c>
      <c r="I570" s="19" t="s">
        <v>1354</v>
      </c>
      <c r="J570" s="19" t="s">
        <v>235</v>
      </c>
    </row>
    <row r="571" ht="18" customHeight="1" outlineLevel="2" spans="1:10">
      <c r="A571" s="18">
        <v>12</v>
      </c>
      <c r="B571" s="18">
        <v>31</v>
      </c>
      <c r="C571" s="19" t="s">
        <v>1374</v>
      </c>
      <c r="D571" s="19" t="s">
        <v>1373</v>
      </c>
      <c r="E571" s="19" t="s">
        <v>65</v>
      </c>
      <c r="F571" s="8" t="s">
        <v>67</v>
      </c>
      <c r="G571" s="8" t="s">
        <v>70</v>
      </c>
      <c r="H571" s="19" t="s">
        <v>149</v>
      </c>
      <c r="I571" s="19" t="s">
        <v>1354</v>
      </c>
      <c r="J571" s="19" t="s">
        <v>238</v>
      </c>
    </row>
    <row r="572" ht="18" customHeight="1" outlineLevel="2" spans="1:10">
      <c r="A572" s="18">
        <v>12</v>
      </c>
      <c r="B572" s="18">
        <v>16</v>
      </c>
      <c r="C572" s="19" t="s">
        <v>1376</v>
      </c>
      <c r="D572" s="19" t="s">
        <v>1375</v>
      </c>
      <c r="E572" s="19" t="s">
        <v>65</v>
      </c>
      <c r="F572" s="8" t="s">
        <v>67</v>
      </c>
      <c r="G572" s="8" t="s">
        <v>70</v>
      </c>
      <c r="H572" s="19" t="s">
        <v>149</v>
      </c>
      <c r="I572" s="19" t="s">
        <v>1354</v>
      </c>
      <c r="J572" s="19" t="s">
        <v>241</v>
      </c>
    </row>
    <row r="573" ht="18" customHeight="1" outlineLevel="2" spans="1:10">
      <c r="A573" s="18">
        <v>12</v>
      </c>
      <c r="B573" s="18">
        <v>49</v>
      </c>
      <c r="C573" s="19" t="s">
        <v>1378</v>
      </c>
      <c r="D573" s="19" t="s">
        <v>1377</v>
      </c>
      <c r="E573" s="19" t="s">
        <v>65</v>
      </c>
      <c r="F573" s="8" t="s">
        <v>67</v>
      </c>
      <c r="G573" s="8" t="s">
        <v>70</v>
      </c>
      <c r="H573" s="19" t="s">
        <v>149</v>
      </c>
      <c r="I573" s="19" t="s">
        <v>1354</v>
      </c>
      <c r="J573" s="19" t="s">
        <v>244</v>
      </c>
    </row>
    <row r="574" ht="18" customHeight="1" outlineLevel="2" spans="1:10">
      <c r="A574" s="18">
        <v>12</v>
      </c>
      <c r="B574" s="18">
        <v>44</v>
      </c>
      <c r="C574" s="19" t="s">
        <v>1380</v>
      </c>
      <c r="D574" s="19" t="s">
        <v>1379</v>
      </c>
      <c r="E574" s="19" t="s">
        <v>65</v>
      </c>
      <c r="F574" s="8" t="s">
        <v>67</v>
      </c>
      <c r="G574" s="8" t="s">
        <v>70</v>
      </c>
      <c r="H574" s="19" t="s">
        <v>149</v>
      </c>
      <c r="I574" s="19" t="s">
        <v>1354</v>
      </c>
      <c r="J574" s="19" t="s">
        <v>247</v>
      </c>
    </row>
    <row r="575" ht="18" customHeight="1" outlineLevel="2" spans="1:10">
      <c r="A575" s="18">
        <v>12</v>
      </c>
      <c r="B575" s="18">
        <v>46</v>
      </c>
      <c r="C575" s="19" t="s">
        <v>1382</v>
      </c>
      <c r="D575" s="19" t="s">
        <v>1381</v>
      </c>
      <c r="E575" s="19" t="s">
        <v>65</v>
      </c>
      <c r="F575" s="8" t="s">
        <v>67</v>
      </c>
      <c r="G575" s="8" t="s">
        <v>70</v>
      </c>
      <c r="H575" s="19" t="s">
        <v>149</v>
      </c>
      <c r="I575" s="19" t="s">
        <v>1354</v>
      </c>
      <c r="J575" s="19" t="s">
        <v>250</v>
      </c>
    </row>
    <row r="576" ht="18" customHeight="1" outlineLevel="2" spans="1:10">
      <c r="A576" s="18">
        <v>12</v>
      </c>
      <c r="B576" s="18">
        <v>23</v>
      </c>
      <c r="C576" s="19" t="s">
        <v>1384</v>
      </c>
      <c r="D576" s="19" t="s">
        <v>1383</v>
      </c>
      <c r="E576" s="19" t="s">
        <v>65</v>
      </c>
      <c r="F576" s="8" t="s">
        <v>67</v>
      </c>
      <c r="G576" s="8" t="s">
        <v>70</v>
      </c>
      <c r="H576" s="19" t="s">
        <v>149</v>
      </c>
      <c r="I576" s="19" t="s">
        <v>1354</v>
      </c>
      <c r="J576" s="19" t="s">
        <v>253</v>
      </c>
    </row>
    <row r="577" ht="18" customHeight="1" outlineLevel="2" spans="1:10">
      <c r="A577" s="18">
        <v>12</v>
      </c>
      <c r="B577" s="18">
        <v>54</v>
      </c>
      <c r="C577" s="19" t="s">
        <v>1386</v>
      </c>
      <c r="D577" s="19" t="s">
        <v>1385</v>
      </c>
      <c r="E577" s="19" t="s">
        <v>65</v>
      </c>
      <c r="F577" s="8" t="s">
        <v>67</v>
      </c>
      <c r="G577" s="8" t="s">
        <v>70</v>
      </c>
      <c r="H577" s="19" t="s">
        <v>149</v>
      </c>
      <c r="I577" s="19" t="s">
        <v>1354</v>
      </c>
      <c r="J577" s="19" t="s">
        <v>256</v>
      </c>
    </row>
    <row r="578" ht="18" customHeight="1" outlineLevel="2" spans="1:10">
      <c r="A578" s="18">
        <v>12</v>
      </c>
      <c r="B578" s="18">
        <v>45</v>
      </c>
      <c r="C578" s="19" t="s">
        <v>1388</v>
      </c>
      <c r="D578" s="19" t="s">
        <v>1387</v>
      </c>
      <c r="E578" s="19" t="s">
        <v>65</v>
      </c>
      <c r="F578" s="8" t="s">
        <v>67</v>
      </c>
      <c r="G578" s="8" t="s">
        <v>70</v>
      </c>
      <c r="H578" s="19" t="s">
        <v>149</v>
      </c>
      <c r="I578" s="19" t="s">
        <v>1354</v>
      </c>
      <c r="J578" s="19" t="s">
        <v>259</v>
      </c>
    </row>
    <row r="579" ht="18" customHeight="1" outlineLevel="2" spans="1:10">
      <c r="A579" s="18">
        <v>12</v>
      </c>
      <c r="B579" s="18">
        <v>34</v>
      </c>
      <c r="C579" s="19" t="s">
        <v>1390</v>
      </c>
      <c r="D579" s="19" t="s">
        <v>1389</v>
      </c>
      <c r="E579" s="19" t="s">
        <v>65</v>
      </c>
      <c r="F579" s="8" t="s">
        <v>67</v>
      </c>
      <c r="G579" s="8" t="s">
        <v>70</v>
      </c>
      <c r="H579" s="19" t="s">
        <v>149</v>
      </c>
      <c r="I579" s="19" t="s">
        <v>1354</v>
      </c>
      <c r="J579" s="19" t="s">
        <v>262</v>
      </c>
    </row>
    <row r="580" ht="18" customHeight="1" outlineLevel="2" spans="1:10">
      <c r="A580" s="18">
        <v>12</v>
      </c>
      <c r="B580" s="18">
        <v>12</v>
      </c>
      <c r="C580" s="19" t="s">
        <v>1392</v>
      </c>
      <c r="D580" s="19" t="s">
        <v>1391</v>
      </c>
      <c r="E580" s="19" t="s">
        <v>65</v>
      </c>
      <c r="F580" s="8" t="s">
        <v>67</v>
      </c>
      <c r="G580" s="8" t="s">
        <v>70</v>
      </c>
      <c r="H580" s="19" t="s">
        <v>149</v>
      </c>
      <c r="I580" s="19" t="s">
        <v>1354</v>
      </c>
      <c r="J580" s="19" t="s">
        <v>265</v>
      </c>
    </row>
    <row r="581" ht="18" customHeight="1" outlineLevel="2" spans="1:10">
      <c r="A581" s="18">
        <v>12</v>
      </c>
      <c r="B581" s="18">
        <v>43</v>
      </c>
      <c r="C581" s="19" t="s">
        <v>1394</v>
      </c>
      <c r="D581" s="19" t="s">
        <v>1393</v>
      </c>
      <c r="E581" s="19" t="s">
        <v>65</v>
      </c>
      <c r="F581" s="8" t="s">
        <v>67</v>
      </c>
      <c r="G581" s="8" t="s">
        <v>70</v>
      </c>
      <c r="H581" s="19" t="s">
        <v>149</v>
      </c>
      <c r="I581" s="19" t="s">
        <v>1354</v>
      </c>
      <c r="J581" s="19" t="s">
        <v>268</v>
      </c>
    </row>
    <row r="582" ht="18" customHeight="1" outlineLevel="2" spans="1:10">
      <c r="A582" s="18">
        <v>12</v>
      </c>
      <c r="B582" s="18">
        <v>14</v>
      </c>
      <c r="C582" s="19" t="s">
        <v>1396</v>
      </c>
      <c r="D582" s="19" t="s">
        <v>1395</v>
      </c>
      <c r="E582" s="19" t="s">
        <v>65</v>
      </c>
      <c r="F582" s="8" t="s">
        <v>67</v>
      </c>
      <c r="G582" s="8" t="s">
        <v>70</v>
      </c>
      <c r="H582" s="19" t="s">
        <v>149</v>
      </c>
      <c r="I582" s="19" t="s">
        <v>1354</v>
      </c>
      <c r="J582" s="19" t="s">
        <v>271</v>
      </c>
    </row>
    <row r="583" ht="18" customHeight="1" outlineLevel="2" spans="1:10">
      <c r="A583" s="18">
        <v>12</v>
      </c>
      <c r="B583" s="18">
        <v>20</v>
      </c>
      <c r="C583" s="19" t="s">
        <v>1398</v>
      </c>
      <c r="D583" s="19" t="s">
        <v>1397</v>
      </c>
      <c r="E583" s="19" t="s">
        <v>65</v>
      </c>
      <c r="F583" s="8" t="s">
        <v>67</v>
      </c>
      <c r="G583" s="8" t="s">
        <v>70</v>
      </c>
      <c r="H583" s="19" t="s">
        <v>149</v>
      </c>
      <c r="I583" s="19" t="s">
        <v>1354</v>
      </c>
      <c r="J583" s="19" t="s">
        <v>274</v>
      </c>
    </row>
    <row r="584" ht="18" customHeight="1" outlineLevel="2" spans="1:10">
      <c r="A584" s="18">
        <v>12</v>
      </c>
      <c r="B584" s="18">
        <v>5</v>
      </c>
      <c r="C584" s="19" t="s">
        <v>1400</v>
      </c>
      <c r="D584" s="19" t="s">
        <v>1399</v>
      </c>
      <c r="E584" s="19" t="s">
        <v>65</v>
      </c>
      <c r="F584" s="8" t="s">
        <v>67</v>
      </c>
      <c r="G584" s="8" t="s">
        <v>70</v>
      </c>
      <c r="H584" s="19" t="s">
        <v>149</v>
      </c>
      <c r="I584" s="19" t="s">
        <v>1354</v>
      </c>
      <c r="J584" s="19" t="s">
        <v>277</v>
      </c>
    </row>
    <row r="585" ht="18" customHeight="1" outlineLevel="2" spans="1:10">
      <c r="A585" s="18">
        <v>12</v>
      </c>
      <c r="B585" s="18">
        <v>38</v>
      </c>
      <c r="C585" s="19" t="s">
        <v>1402</v>
      </c>
      <c r="D585" s="19" t="s">
        <v>1401</v>
      </c>
      <c r="E585" s="19" t="s">
        <v>65</v>
      </c>
      <c r="F585" s="8" t="s">
        <v>67</v>
      </c>
      <c r="G585" s="8" t="s">
        <v>70</v>
      </c>
      <c r="H585" s="19" t="s">
        <v>149</v>
      </c>
      <c r="I585" s="19" t="s">
        <v>1354</v>
      </c>
      <c r="J585" s="19" t="s">
        <v>280</v>
      </c>
    </row>
    <row r="586" ht="18" customHeight="1" outlineLevel="2" spans="1:10">
      <c r="A586" s="18">
        <v>12</v>
      </c>
      <c r="B586" s="18">
        <v>39</v>
      </c>
      <c r="C586" s="19" t="s">
        <v>1404</v>
      </c>
      <c r="D586" s="19" t="s">
        <v>1403</v>
      </c>
      <c r="E586" s="19" t="s">
        <v>65</v>
      </c>
      <c r="F586" s="8" t="s">
        <v>67</v>
      </c>
      <c r="G586" s="8" t="s">
        <v>70</v>
      </c>
      <c r="H586" s="19" t="s">
        <v>149</v>
      </c>
      <c r="I586" s="19" t="s">
        <v>1354</v>
      </c>
      <c r="J586" s="19" t="s">
        <v>283</v>
      </c>
    </row>
    <row r="587" ht="18" customHeight="1" outlineLevel="2" spans="1:10">
      <c r="A587" s="18">
        <v>12</v>
      </c>
      <c r="B587" s="18">
        <v>42</v>
      </c>
      <c r="C587" s="19" t="s">
        <v>1406</v>
      </c>
      <c r="D587" s="19" t="s">
        <v>1405</v>
      </c>
      <c r="E587" s="19" t="s">
        <v>65</v>
      </c>
      <c r="F587" s="8" t="s">
        <v>67</v>
      </c>
      <c r="G587" s="8" t="s">
        <v>70</v>
      </c>
      <c r="H587" s="19" t="s">
        <v>149</v>
      </c>
      <c r="I587" s="19" t="s">
        <v>1354</v>
      </c>
      <c r="J587" s="19" t="s">
        <v>286</v>
      </c>
    </row>
    <row r="588" ht="18" customHeight="1" outlineLevel="2" spans="1:10">
      <c r="A588" s="18">
        <v>12</v>
      </c>
      <c r="B588" s="18">
        <v>19</v>
      </c>
      <c r="C588" s="19" t="s">
        <v>1408</v>
      </c>
      <c r="D588" s="19" t="s">
        <v>1407</v>
      </c>
      <c r="E588" s="19" t="s">
        <v>65</v>
      </c>
      <c r="F588" s="8" t="s">
        <v>67</v>
      </c>
      <c r="G588" s="8" t="s">
        <v>70</v>
      </c>
      <c r="H588" s="19" t="s">
        <v>149</v>
      </c>
      <c r="I588" s="19" t="s">
        <v>1354</v>
      </c>
      <c r="J588" s="19" t="s">
        <v>289</v>
      </c>
    </row>
    <row r="589" ht="18" customHeight="1" outlineLevel="2" spans="1:10">
      <c r="A589" s="18">
        <v>12</v>
      </c>
      <c r="B589" s="18">
        <v>21</v>
      </c>
      <c r="C589" s="19" t="s">
        <v>1410</v>
      </c>
      <c r="D589" s="19" t="s">
        <v>1409</v>
      </c>
      <c r="E589" s="19" t="s">
        <v>65</v>
      </c>
      <c r="F589" s="8" t="s">
        <v>67</v>
      </c>
      <c r="G589" s="8" t="s">
        <v>70</v>
      </c>
      <c r="H589" s="19" t="s">
        <v>149</v>
      </c>
      <c r="I589" s="19" t="s">
        <v>1354</v>
      </c>
      <c r="J589" s="19" t="s">
        <v>292</v>
      </c>
    </row>
    <row r="590" ht="18" customHeight="1" outlineLevel="2" spans="1:10">
      <c r="A590" s="18">
        <v>12</v>
      </c>
      <c r="B590" s="18">
        <v>26</v>
      </c>
      <c r="C590" s="19" t="s">
        <v>1412</v>
      </c>
      <c r="D590" s="19" t="s">
        <v>1411</v>
      </c>
      <c r="E590" s="19" t="s">
        <v>65</v>
      </c>
      <c r="F590" s="8" t="s">
        <v>67</v>
      </c>
      <c r="G590" s="8" t="s">
        <v>70</v>
      </c>
      <c r="H590" s="19" t="s">
        <v>149</v>
      </c>
      <c r="I590" s="19" t="s">
        <v>1354</v>
      </c>
      <c r="J590" s="19" t="s">
        <v>295</v>
      </c>
    </row>
    <row r="591" ht="18" customHeight="1" outlineLevel="2" spans="1:10">
      <c r="A591" s="18">
        <v>12</v>
      </c>
      <c r="B591" s="18">
        <v>50</v>
      </c>
      <c r="C591" s="19" t="s">
        <v>1414</v>
      </c>
      <c r="D591" s="19" t="s">
        <v>1413</v>
      </c>
      <c r="E591" s="19" t="s">
        <v>65</v>
      </c>
      <c r="F591" s="8" t="s">
        <v>67</v>
      </c>
      <c r="G591" s="8" t="s">
        <v>70</v>
      </c>
      <c r="H591" s="19" t="s">
        <v>149</v>
      </c>
      <c r="I591" s="19" t="s">
        <v>1354</v>
      </c>
      <c r="J591" s="19" t="s">
        <v>298</v>
      </c>
    </row>
    <row r="592" ht="18" customHeight="1" outlineLevel="2" spans="1:10">
      <c r="A592" s="18">
        <v>12</v>
      </c>
      <c r="B592" s="18">
        <v>8</v>
      </c>
      <c r="C592" s="19" t="s">
        <v>1416</v>
      </c>
      <c r="D592" s="19" t="s">
        <v>1415</v>
      </c>
      <c r="E592" s="19" t="s">
        <v>65</v>
      </c>
      <c r="F592" s="8" t="s">
        <v>67</v>
      </c>
      <c r="G592" s="8" t="s">
        <v>70</v>
      </c>
      <c r="H592" s="19" t="s">
        <v>149</v>
      </c>
      <c r="I592" s="19" t="s">
        <v>1354</v>
      </c>
      <c r="J592" s="19" t="s">
        <v>301</v>
      </c>
    </row>
    <row r="593" ht="18" customHeight="1" outlineLevel="2" spans="1:10">
      <c r="A593" s="18">
        <v>12</v>
      </c>
      <c r="B593" s="18">
        <v>29</v>
      </c>
      <c r="C593" s="19" t="s">
        <v>1418</v>
      </c>
      <c r="D593" s="19" t="s">
        <v>1417</v>
      </c>
      <c r="E593" s="19" t="s">
        <v>65</v>
      </c>
      <c r="F593" s="8" t="s">
        <v>67</v>
      </c>
      <c r="G593" s="8" t="s">
        <v>70</v>
      </c>
      <c r="H593" s="19" t="s">
        <v>149</v>
      </c>
      <c r="I593" s="19" t="s">
        <v>1354</v>
      </c>
      <c r="J593" s="19" t="s">
        <v>304</v>
      </c>
    </row>
    <row r="594" ht="18" customHeight="1" outlineLevel="2" spans="1:10">
      <c r="A594" s="18">
        <v>12</v>
      </c>
      <c r="B594" s="18">
        <v>3</v>
      </c>
      <c r="C594" s="19" t="s">
        <v>1420</v>
      </c>
      <c r="D594" s="19" t="s">
        <v>1419</v>
      </c>
      <c r="E594" s="19" t="s">
        <v>65</v>
      </c>
      <c r="F594" s="8" t="s">
        <v>67</v>
      </c>
      <c r="G594" s="8" t="s">
        <v>70</v>
      </c>
      <c r="H594" s="19" t="s">
        <v>149</v>
      </c>
      <c r="I594" s="19" t="s">
        <v>1354</v>
      </c>
      <c r="J594" s="19" t="s">
        <v>307</v>
      </c>
    </row>
    <row r="595" ht="18" customHeight="1" outlineLevel="2" spans="1:10">
      <c r="A595" s="18">
        <v>12</v>
      </c>
      <c r="B595" s="18">
        <v>15</v>
      </c>
      <c r="C595" s="19" t="s">
        <v>1422</v>
      </c>
      <c r="D595" s="19" t="s">
        <v>1421</v>
      </c>
      <c r="E595" s="19" t="s">
        <v>65</v>
      </c>
      <c r="F595" s="8" t="s">
        <v>67</v>
      </c>
      <c r="G595" s="8" t="s">
        <v>70</v>
      </c>
      <c r="H595" s="19" t="s">
        <v>149</v>
      </c>
      <c r="I595" s="19" t="s">
        <v>1354</v>
      </c>
      <c r="J595" s="19" t="s">
        <v>310</v>
      </c>
    </row>
    <row r="596" ht="18" customHeight="1" outlineLevel="2" spans="1:10">
      <c r="A596" s="18">
        <v>12</v>
      </c>
      <c r="B596" s="18">
        <v>1</v>
      </c>
      <c r="C596" s="19" t="s">
        <v>1424</v>
      </c>
      <c r="D596" s="19" t="s">
        <v>1423</v>
      </c>
      <c r="E596" s="19" t="s">
        <v>65</v>
      </c>
      <c r="F596" s="8" t="s">
        <v>67</v>
      </c>
      <c r="G596" s="8" t="s">
        <v>70</v>
      </c>
      <c r="H596" s="19" t="s">
        <v>149</v>
      </c>
      <c r="I596" s="19" t="s">
        <v>1354</v>
      </c>
      <c r="J596" s="19" t="s">
        <v>313</v>
      </c>
    </row>
    <row r="597" ht="18" customHeight="1" outlineLevel="2" spans="1:10">
      <c r="A597" s="18">
        <v>12</v>
      </c>
      <c r="B597" s="18">
        <v>30</v>
      </c>
      <c r="C597" s="19" t="s">
        <v>1426</v>
      </c>
      <c r="D597" s="19" t="s">
        <v>1425</v>
      </c>
      <c r="E597" s="19" t="s">
        <v>65</v>
      </c>
      <c r="F597" s="8" t="s">
        <v>67</v>
      </c>
      <c r="G597" s="8" t="s">
        <v>70</v>
      </c>
      <c r="H597" s="19" t="s">
        <v>149</v>
      </c>
      <c r="I597" s="19" t="s">
        <v>1354</v>
      </c>
      <c r="J597" s="19" t="s">
        <v>316</v>
      </c>
    </row>
    <row r="598" ht="18" customHeight="1" outlineLevel="2" spans="1:10">
      <c r="A598" s="18">
        <v>12</v>
      </c>
      <c r="B598" s="18">
        <v>52</v>
      </c>
      <c r="C598" s="19" t="s">
        <v>1428</v>
      </c>
      <c r="D598" s="19" t="s">
        <v>1427</v>
      </c>
      <c r="E598" s="19" t="s">
        <v>65</v>
      </c>
      <c r="F598" s="8" t="s">
        <v>67</v>
      </c>
      <c r="G598" s="8" t="s">
        <v>70</v>
      </c>
      <c r="H598" s="19" t="s">
        <v>149</v>
      </c>
      <c r="I598" s="19" t="s">
        <v>1354</v>
      </c>
      <c r="J598" s="19" t="s">
        <v>319</v>
      </c>
    </row>
    <row r="599" ht="18" customHeight="1" outlineLevel="2" spans="1:10">
      <c r="A599" s="18">
        <v>12</v>
      </c>
      <c r="B599" s="18">
        <v>17</v>
      </c>
      <c r="C599" s="19" t="s">
        <v>1430</v>
      </c>
      <c r="D599" s="19" t="s">
        <v>1429</v>
      </c>
      <c r="E599" s="19" t="s">
        <v>65</v>
      </c>
      <c r="F599" s="8" t="s">
        <v>67</v>
      </c>
      <c r="G599" s="8" t="s">
        <v>70</v>
      </c>
      <c r="H599" s="19" t="s">
        <v>149</v>
      </c>
      <c r="I599" s="19" t="s">
        <v>1354</v>
      </c>
      <c r="J599" s="19" t="s">
        <v>322</v>
      </c>
    </row>
    <row r="600" ht="18" customHeight="1" outlineLevel="2" spans="1:10">
      <c r="A600" s="18">
        <v>12</v>
      </c>
      <c r="B600" s="18">
        <v>51</v>
      </c>
      <c r="C600" s="19" t="s">
        <v>1432</v>
      </c>
      <c r="D600" s="19" t="s">
        <v>1431</v>
      </c>
      <c r="E600" s="19" t="s">
        <v>65</v>
      </c>
      <c r="F600" s="8" t="s">
        <v>67</v>
      </c>
      <c r="G600" s="8" t="s">
        <v>70</v>
      </c>
      <c r="H600" s="19" t="s">
        <v>149</v>
      </c>
      <c r="I600" s="19" t="s">
        <v>1354</v>
      </c>
      <c r="J600" s="19" t="s">
        <v>325</v>
      </c>
    </row>
    <row r="601" ht="18" customHeight="1" outlineLevel="2" spans="1:10">
      <c r="A601" s="18">
        <v>12</v>
      </c>
      <c r="B601" s="18">
        <v>4</v>
      </c>
      <c r="C601" s="19" t="s">
        <v>1434</v>
      </c>
      <c r="D601" s="19" t="s">
        <v>1433</v>
      </c>
      <c r="E601" s="19" t="s">
        <v>65</v>
      </c>
      <c r="F601" s="8" t="s">
        <v>67</v>
      </c>
      <c r="G601" s="8" t="s">
        <v>70</v>
      </c>
      <c r="H601" s="19" t="s">
        <v>149</v>
      </c>
      <c r="I601" s="19" t="s">
        <v>1354</v>
      </c>
      <c r="J601" s="19" t="s">
        <v>328</v>
      </c>
    </row>
    <row r="602" ht="18" customHeight="1" outlineLevel="2" spans="1:10">
      <c r="A602" s="18">
        <v>12</v>
      </c>
      <c r="B602" s="18">
        <v>11</v>
      </c>
      <c r="C602" s="19" t="s">
        <v>1436</v>
      </c>
      <c r="D602" s="19" t="s">
        <v>1435</v>
      </c>
      <c r="E602" s="19" t="s">
        <v>65</v>
      </c>
      <c r="F602" s="8" t="s">
        <v>67</v>
      </c>
      <c r="G602" s="8" t="s">
        <v>70</v>
      </c>
      <c r="H602" s="19" t="s">
        <v>149</v>
      </c>
      <c r="I602" s="19" t="s">
        <v>1354</v>
      </c>
      <c r="J602" s="19" t="s">
        <v>331</v>
      </c>
    </row>
    <row r="603" ht="18" customHeight="1" outlineLevel="1" spans="1:10">
      <c r="A603" s="18"/>
      <c r="B603" s="18"/>
      <c r="C603" s="19">
        <f>SUBTOTAL(3,C561:C602)</f>
        <v>42</v>
      </c>
      <c r="D603" s="19"/>
      <c r="E603" s="19"/>
      <c r="F603" s="8"/>
      <c r="G603" s="8"/>
      <c r="H603" s="20" t="s">
        <v>1942</v>
      </c>
      <c r="I603" s="19"/>
      <c r="J603" s="19"/>
    </row>
    <row r="604" ht="18" customHeight="1" outlineLevel="2" spans="1:10">
      <c r="A604" s="18">
        <v>13</v>
      </c>
      <c r="B604" s="18">
        <v>11</v>
      </c>
      <c r="C604" s="19" t="s">
        <v>1438</v>
      </c>
      <c r="D604" s="19" t="s">
        <v>1437</v>
      </c>
      <c r="E604" s="19" t="s">
        <v>66</v>
      </c>
      <c r="F604" s="8" t="s">
        <v>70</v>
      </c>
      <c r="G604" s="8" t="s">
        <v>69</v>
      </c>
      <c r="H604" s="19" t="s">
        <v>151</v>
      </c>
      <c r="I604" s="19" t="s">
        <v>1440</v>
      </c>
      <c r="J604" s="19" t="s">
        <v>207</v>
      </c>
    </row>
    <row r="605" ht="18" customHeight="1" outlineLevel="2" spans="1:10">
      <c r="A605" s="18">
        <v>15</v>
      </c>
      <c r="B605" s="18">
        <v>34</v>
      </c>
      <c r="C605" s="19" t="s">
        <v>1442</v>
      </c>
      <c r="D605" s="19" t="s">
        <v>1441</v>
      </c>
      <c r="E605" s="19" t="s">
        <v>66</v>
      </c>
      <c r="F605" s="8" t="s">
        <v>70</v>
      </c>
      <c r="G605" s="8" t="s">
        <v>69</v>
      </c>
      <c r="H605" s="19" t="s">
        <v>151</v>
      </c>
      <c r="I605" s="19" t="s">
        <v>1440</v>
      </c>
      <c r="J605" s="19" t="s">
        <v>210</v>
      </c>
    </row>
    <row r="606" ht="18" customHeight="1" outlineLevel="2" spans="1:10">
      <c r="A606" s="18">
        <v>15</v>
      </c>
      <c r="B606" s="18">
        <v>48</v>
      </c>
      <c r="C606" s="19" t="s">
        <v>1444</v>
      </c>
      <c r="D606" s="19" t="s">
        <v>1443</v>
      </c>
      <c r="E606" s="19" t="s">
        <v>66</v>
      </c>
      <c r="F606" s="8" t="s">
        <v>70</v>
      </c>
      <c r="G606" s="8" t="s">
        <v>69</v>
      </c>
      <c r="H606" s="19" t="s">
        <v>151</v>
      </c>
      <c r="I606" s="19" t="s">
        <v>1440</v>
      </c>
      <c r="J606" s="19" t="s">
        <v>214</v>
      </c>
    </row>
    <row r="607" ht="18" customHeight="1" outlineLevel="2" spans="1:10">
      <c r="A607" s="18">
        <v>13</v>
      </c>
      <c r="B607" s="18">
        <v>29</v>
      </c>
      <c r="C607" s="19" t="s">
        <v>1446</v>
      </c>
      <c r="D607" s="19" t="s">
        <v>1445</v>
      </c>
      <c r="E607" s="19" t="s">
        <v>66</v>
      </c>
      <c r="F607" s="8" t="s">
        <v>70</v>
      </c>
      <c r="G607" s="8" t="s">
        <v>69</v>
      </c>
      <c r="H607" s="19" t="s">
        <v>151</v>
      </c>
      <c r="I607" s="19" t="s">
        <v>1440</v>
      </c>
      <c r="J607" s="19" t="s">
        <v>217</v>
      </c>
    </row>
    <row r="608" ht="18" customHeight="1" outlineLevel="2" spans="1:10">
      <c r="A608" s="18">
        <v>14</v>
      </c>
      <c r="B608" s="18">
        <v>8</v>
      </c>
      <c r="C608" s="19" t="s">
        <v>1448</v>
      </c>
      <c r="D608" s="19" t="s">
        <v>1447</v>
      </c>
      <c r="E608" s="19" t="s">
        <v>66</v>
      </c>
      <c r="F608" s="8" t="s">
        <v>70</v>
      </c>
      <c r="G608" s="8" t="s">
        <v>69</v>
      </c>
      <c r="H608" s="19" t="s">
        <v>151</v>
      </c>
      <c r="I608" s="19" t="s">
        <v>1440</v>
      </c>
      <c r="J608" s="19" t="s">
        <v>220</v>
      </c>
    </row>
    <row r="609" ht="18" customHeight="1" outlineLevel="2" spans="1:10">
      <c r="A609" s="18">
        <v>16</v>
      </c>
      <c r="B609" s="18">
        <v>31</v>
      </c>
      <c r="C609" s="19" t="s">
        <v>1450</v>
      </c>
      <c r="D609" s="19" t="s">
        <v>1449</v>
      </c>
      <c r="E609" s="19" t="s">
        <v>66</v>
      </c>
      <c r="F609" s="8" t="s">
        <v>70</v>
      </c>
      <c r="G609" s="8" t="s">
        <v>69</v>
      </c>
      <c r="H609" s="19" t="s">
        <v>151</v>
      </c>
      <c r="I609" s="19" t="s">
        <v>1440</v>
      </c>
      <c r="J609" s="19" t="s">
        <v>223</v>
      </c>
    </row>
    <row r="610" ht="18" customHeight="1" outlineLevel="2" spans="1:10">
      <c r="A610" s="18">
        <v>13</v>
      </c>
      <c r="B610" s="18">
        <v>4</v>
      </c>
      <c r="C610" s="19" t="s">
        <v>1452</v>
      </c>
      <c r="D610" s="19" t="s">
        <v>1451</v>
      </c>
      <c r="E610" s="19" t="s">
        <v>66</v>
      </c>
      <c r="F610" s="8" t="s">
        <v>70</v>
      </c>
      <c r="G610" s="8" t="s">
        <v>69</v>
      </c>
      <c r="H610" s="19" t="s">
        <v>151</v>
      </c>
      <c r="I610" s="19" t="s">
        <v>1440</v>
      </c>
      <c r="J610" s="19" t="s">
        <v>226</v>
      </c>
    </row>
    <row r="611" ht="18" customHeight="1" outlineLevel="2" spans="1:10">
      <c r="A611" s="18">
        <v>13</v>
      </c>
      <c r="B611" s="18">
        <v>17</v>
      </c>
      <c r="C611" s="19" t="s">
        <v>1454</v>
      </c>
      <c r="D611" s="19" t="s">
        <v>1453</v>
      </c>
      <c r="E611" s="19" t="s">
        <v>66</v>
      </c>
      <c r="F611" s="8" t="s">
        <v>70</v>
      </c>
      <c r="G611" s="8" t="s">
        <v>69</v>
      </c>
      <c r="H611" s="19" t="s">
        <v>151</v>
      </c>
      <c r="I611" s="19" t="s">
        <v>1440</v>
      </c>
      <c r="J611" s="19" t="s">
        <v>229</v>
      </c>
    </row>
    <row r="612" ht="18" customHeight="1" outlineLevel="2" spans="1:10">
      <c r="A612" s="18">
        <v>13</v>
      </c>
      <c r="B612" s="18">
        <v>23</v>
      </c>
      <c r="C612" s="19" t="s">
        <v>1456</v>
      </c>
      <c r="D612" s="19" t="s">
        <v>1455</v>
      </c>
      <c r="E612" s="19" t="s">
        <v>66</v>
      </c>
      <c r="F612" s="8" t="s">
        <v>70</v>
      </c>
      <c r="G612" s="8" t="s">
        <v>69</v>
      </c>
      <c r="H612" s="19" t="s">
        <v>151</v>
      </c>
      <c r="I612" s="19" t="s">
        <v>1440</v>
      </c>
      <c r="J612" s="19" t="s">
        <v>232</v>
      </c>
    </row>
    <row r="613" ht="18" customHeight="1" outlineLevel="2" spans="1:10">
      <c r="A613" s="18">
        <v>15</v>
      </c>
      <c r="B613" s="18">
        <v>26</v>
      </c>
      <c r="C613" s="19" t="s">
        <v>1458</v>
      </c>
      <c r="D613" s="19" t="s">
        <v>1457</v>
      </c>
      <c r="E613" s="19" t="s">
        <v>66</v>
      </c>
      <c r="F613" s="8" t="s">
        <v>70</v>
      </c>
      <c r="G613" s="8" t="s">
        <v>69</v>
      </c>
      <c r="H613" s="19" t="s">
        <v>151</v>
      </c>
      <c r="I613" s="19" t="s">
        <v>1440</v>
      </c>
      <c r="J613" s="19" t="s">
        <v>235</v>
      </c>
    </row>
    <row r="614" ht="18" customHeight="1" outlineLevel="2" spans="1:10">
      <c r="A614" s="18">
        <v>15</v>
      </c>
      <c r="B614" s="18">
        <v>24</v>
      </c>
      <c r="C614" s="19" t="s">
        <v>1460</v>
      </c>
      <c r="D614" s="19" t="s">
        <v>1459</v>
      </c>
      <c r="E614" s="19" t="s">
        <v>66</v>
      </c>
      <c r="F614" s="8" t="s">
        <v>70</v>
      </c>
      <c r="G614" s="8" t="s">
        <v>69</v>
      </c>
      <c r="H614" s="19" t="s">
        <v>151</v>
      </c>
      <c r="I614" s="19" t="s">
        <v>1440</v>
      </c>
      <c r="J614" s="19" t="s">
        <v>238</v>
      </c>
    </row>
    <row r="615" ht="18" customHeight="1" outlineLevel="2" spans="1:10">
      <c r="A615" s="18">
        <v>13</v>
      </c>
      <c r="B615" s="18">
        <v>37</v>
      </c>
      <c r="C615" s="19" t="s">
        <v>1462</v>
      </c>
      <c r="D615" s="19" t="s">
        <v>1461</v>
      </c>
      <c r="E615" s="19" t="s">
        <v>66</v>
      </c>
      <c r="F615" s="8" t="s">
        <v>70</v>
      </c>
      <c r="G615" s="8" t="s">
        <v>69</v>
      </c>
      <c r="H615" s="19" t="s">
        <v>151</v>
      </c>
      <c r="I615" s="19" t="s">
        <v>1440</v>
      </c>
      <c r="J615" s="19" t="s">
        <v>241</v>
      </c>
    </row>
    <row r="616" ht="18" customHeight="1" outlineLevel="2" spans="1:10">
      <c r="A616" s="18">
        <v>15</v>
      </c>
      <c r="B616" s="18">
        <v>12</v>
      </c>
      <c r="C616" s="19" t="s">
        <v>1464</v>
      </c>
      <c r="D616" s="19" t="s">
        <v>1463</v>
      </c>
      <c r="E616" s="19" t="s">
        <v>66</v>
      </c>
      <c r="F616" s="8" t="s">
        <v>70</v>
      </c>
      <c r="G616" s="8" t="s">
        <v>69</v>
      </c>
      <c r="H616" s="19" t="s">
        <v>151</v>
      </c>
      <c r="I616" s="19" t="s">
        <v>1440</v>
      </c>
      <c r="J616" s="19" t="s">
        <v>244</v>
      </c>
    </row>
    <row r="617" ht="18" customHeight="1" outlineLevel="2" spans="1:10">
      <c r="A617" s="18">
        <v>15</v>
      </c>
      <c r="B617" s="18">
        <v>4</v>
      </c>
      <c r="C617" s="19" t="s">
        <v>1466</v>
      </c>
      <c r="D617" s="19" t="s">
        <v>1465</v>
      </c>
      <c r="E617" s="19" t="s">
        <v>66</v>
      </c>
      <c r="F617" s="8" t="s">
        <v>70</v>
      </c>
      <c r="G617" s="8" t="s">
        <v>69</v>
      </c>
      <c r="H617" s="19" t="s">
        <v>151</v>
      </c>
      <c r="I617" s="19" t="s">
        <v>1440</v>
      </c>
      <c r="J617" s="19" t="s">
        <v>247</v>
      </c>
    </row>
    <row r="618" ht="18" customHeight="1" outlineLevel="2" spans="1:10">
      <c r="A618" s="18">
        <v>16</v>
      </c>
      <c r="B618" s="18">
        <v>19</v>
      </c>
      <c r="C618" s="19" t="s">
        <v>1468</v>
      </c>
      <c r="D618" s="19" t="s">
        <v>1467</v>
      </c>
      <c r="E618" s="19" t="s">
        <v>66</v>
      </c>
      <c r="F618" s="8" t="s">
        <v>70</v>
      </c>
      <c r="G618" s="8" t="s">
        <v>69</v>
      </c>
      <c r="H618" s="19" t="s">
        <v>151</v>
      </c>
      <c r="I618" s="19" t="s">
        <v>1440</v>
      </c>
      <c r="J618" s="19" t="s">
        <v>250</v>
      </c>
    </row>
    <row r="619" ht="18" customHeight="1" outlineLevel="2" spans="1:10">
      <c r="A619" s="18">
        <v>15</v>
      </c>
      <c r="B619" s="18">
        <v>15</v>
      </c>
      <c r="C619" s="19" t="s">
        <v>1470</v>
      </c>
      <c r="D619" s="19" t="s">
        <v>1469</v>
      </c>
      <c r="E619" s="19" t="s">
        <v>66</v>
      </c>
      <c r="F619" s="8" t="s">
        <v>70</v>
      </c>
      <c r="G619" s="8" t="s">
        <v>69</v>
      </c>
      <c r="H619" s="19" t="s">
        <v>151</v>
      </c>
      <c r="I619" s="19" t="s">
        <v>1440</v>
      </c>
      <c r="J619" s="19" t="s">
        <v>253</v>
      </c>
    </row>
    <row r="620" ht="18" customHeight="1" outlineLevel="2" spans="1:10">
      <c r="A620" s="18">
        <v>13</v>
      </c>
      <c r="B620" s="18">
        <v>14</v>
      </c>
      <c r="C620" s="19" t="s">
        <v>1472</v>
      </c>
      <c r="D620" s="19" t="s">
        <v>1471</v>
      </c>
      <c r="E620" s="19" t="s">
        <v>66</v>
      </c>
      <c r="F620" s="8" t="s">
        <v>70</v>
      </c>
      <c r="G620" s="8" t="s">
        <v>69</v>
      </c>
      <c r="H620" s="19" t="s">
        <v>151</v>
      </c>
      <c r="I620" s="19" t="s">
        <v>1440</v>
      </c>
      <c r="J620" s="19" t="s">
        <v>256</v>
      </c>
    </row>
    <row r="621" ht="18" customHeight="1" outlineLevel="2" spans="1:10">
      <c r="A621" s="18">
        <v>16</v>
      </c>
      <c r="B621" s="18">
        <v>29</v>
      </c>
      <c r="C621" s="19" t="s">
        <v>1474</v>
      </c>
      <c r="D621" s="19" t="s">
        <v>1473</v>
      </c>
      <c r="E621" s="19" t="s">
        <v>66</v>
      </c>
      <c r="F621" s="8" t="s">
        <v>70</v>
      </c>
      <c r="G621" s="8" t="s">
        <v>69</v>
      </c>
      <c r="H621" s="19" t="s">
        <v>151</v>
      </c>
      <c r="I621" s="19" t="s">
        <v>1440</v>
      </c>
      <c r="J621" s="19" t="s">
        <v>259</v>
      </c>
    </row>
    <row r="622" ht="18" customHeight="1" outlineLevel="2" spans="1:10">
      <c r="A622" s="18">
        <v>14</v>
      </c>
      <c r="B622" s="18">
        <v>1</v>
      </c>
      <c r="C622" s="19" t="s">
        <v>1476</v>
      </c>
      <c r="D622" s="19" t="s">
        <v>1475</v>
      </c>
      <c r="E622" s="19" t="s">
        <v>66</v>
      </c>
      <c r="F622" s="8" t="s">
        <v>70</v>
      </c>
      <c r="G622" s="8" t="s">
        <v>69</v>
      </c>
      <c r="H622" s="19" t="s">
        <v>151</v>
      </c>
      <c r="I622" s="19" t="s">
        <v>1440</v>
      </c>
      <c r="J622" s="19" t="s">
        <v>262</v>
      </c>
    </row>
    <row r="623" ht="18" customHeight="1" outlineLevel="2" spans="1:10">
      <c r="A623" s="18">
        <v>16</v>
      </c>
      <c r="B623" s="18">
        <v>39</v>
      </c>
      <c r="C623" s="19" t="s">
        <v>1478</v>
      </c>
      <c r="D623" s="19" t="s">
        <v>1477</v>
      </c>
      <c r="E623" s="19" t="s">
        <v>66</v>
      </c>
      <c r="F623" s="8" t="s">
        <v>70</v>
      </c>
      <c r="G623" s="8" t="s">
        <v>69</v>
      </c>
      <c r="H623" s="19" t="s">
        <v>151</v>
      </c>
      <c r="I623" s="19" t="s">
        <v>1440</v>
      </c>
      <c r="J623" s="19" t="s">
        <v>265</v>
      </c>
    </row>
    <row r="624" ht="18" customHeight="1" outlineLevel="2" spans="1:10">
      <c r="A624" s="18">
        <v>15</v>
      </c>
      <c r="B624" s="18">
        <v>45</v>
      </c>
      <c r="C624" s="19" t="s">
        <v>1480</v>
      </c>
      <c r="D624" s="19" t="s">
        <v>1479</v>
      </c>
      <c r="E624" s="19" t="s">
        <v>66</v>
      </c>
      <c r="F624" s="8" t="s">
        <v>70</v>
      </c>
      <c r="G624" s="8" t="s">
        <v>69</v>
      </c>
      <c r="H624" s="19" t="s">
        <v>151</v>
      </c>
      <c r="I624" s="19" t="s">
        <v>1440</v>
      </c>
      <c r="J624" s="19" t="s">
        <v>268</v>
      </c>
    </row>
    <row r="625" ht="18" customHeight="1" outlineLevel="2" spans="1:10">
      <c r="A625" s="18">
        <v>16</v>
      </c>
      <c r="B625" s="18">
        <v>22</v>
      </c>
      <c r="C625" s="19" t="s">
        <v>1482</v>
      </c>
      <c r="D625" s="19" t="s">
        <v>1481</v>
      </c>
      <c r="E625" s="19" t="s">
        <v>66</v>
      </c>
      <c r="F625" s="8" t="s">
        <v>70</v>
      </c>
      <c r="G625" s="8" t="s">
        <v>69</v>
      </c>
      <c r="H625" s="19" t="s">
        <v>151</v>
      </c>
      <c r="I625" s="19" t="s">
        <v>1440</v>
      </c>
      <c r="J625" s="19" t="s">
        <v>271</v>
      </c>
    </row>
    <row r="626" ht="18" customHeight="1" outlineLevel="2" spans="1:10">
      <c r="A626" s="18">
        <v>14</v>
      </c>
      <c r="B626" s="18">
        <v>18</v>
      </c>
      <c r="C626" s="19" t="s">
        <v>1484</v>
      </c>
      <c r="D626" s="19" t="s">
        <v>1483</v>
      </c>
      <c r="E626" s="19" t="s">
        <v>66</v>
      </c>
      <c r="F626" s="8" t="s">
        <v>70</v>
      </c>
      <c r="G626" s="8" t="s">
        <v>69</v>
      </c>
      <c r="H626" s="19" t="s">
        <v>151</v>
      </c>
      <c r="I626" s="19" t="s">
        <v>1440</v>
      </c>
      <c r="J626" s="19" t="s">
        <v>274</v>
      </c>
    </row>
    <row r="627" ht="18" customHeight="1" outlineLevel="2" spans="1:10">
      <c r="A627" s="18">
        <v>14</v>
      </c>
      <c r="B627" s="18">
        <v>27</v>
      </c>
      <c r="C627" s="19" t="s">
        <v>1486</v>
      </c>
      <c r="D627" s="19" t="s">
        <v>1485</v>
      </c>
      <c r="E627" s="19" t="s">
        <v>66</v>
      </c>
      <c r="F627" s="8" t="s">
        <v>70</v>
      </c>
      <c r="G627" s="8" t="s">
        <v>69</v>
      </c>
      <c r="H627" s="19" t="s">
        <v>151</v>
      </c>
      <c r="I627" s="19" t="s">
        <v>1440</v>
      </c>
      <c r="J627" s="19" t="s">
        <v>277</v>
      </c>
    </row>
    <row r="628" ht="18" customHeight="1" outlineLevel="2" spans="1:10">
      <c r="A628" s="18">
        <v>13</v>
      </c>
      <c r="B628" s="18">
        <v>20</v>
      </c>
      <c r="C628" s="19" t="s">
        <v>1488</v>
      </c>
      <c r="D628" s="19" t="s">
        <v>1487</v>
      </c>
      <c r="E628" s="19" t="s">
        <v>66</v>
      </c>
      <c r="F628" s="8" t="s">
        <v>70</v>
      </c>
      <c r="G628" s="8" t="s">
        <v>69</v>
      </c>
      <c r="H628" s="19" t="s">
        <v>151</v>
      </c>
      <c r="I628" s="19" t="s">
        <v>1440</v>
      </c>
      <c r="J628" s="19" t="s">
        <v>280</v>
      </c>
    </row>
    <row r="629" ht="18" customHeight="1" outlineLevel="2" spans="1:10">
      <c r="A629" s="18">
        <v>15</v>
      </c>
      <c r="B629" s="18">
        <v>39</v>
      </c>
      <c r="C629" s="19" t="s">
        <v>1490</v>
      </c>
      <c r="D629" s="19" t="s">
        <v>1489</v>
      </c>
      <c r="E629" s="19" t="s">
        <v>66</v>
      </c>
      <c r="F629" s="8" t="s">
        <v>70</v>
      </c>
      <c r="G629" s="8" t="s">
        <v>69</v>
      </c>
      <c r="H629" s="19" t="s">
        <v>151</v>
      </c>
      <c r="I629" s="19" t="s">
        <v>1440</v>
      </c>
      <c r="J629" s="19" t="s">
        <v>283</v>
      </c>
    </row>
    <row r="630" ht="18" customHeight="1" outlineLevel="2" spans="1:10">
      <c r="A630" s="18">
        <v>14</v>
      </c>
      <c r="B630" s="18">
        <v>2</v>
      </c>
      <c r="C630" s="19" t="s">
        <v>1492</v>
      </c>
      <c r="D630" s="19" t="s">
        <v>1491</v>
      </c>
      <c r="E630" s="19" t="s">
        <v>66</v>
      </c>
      <c r="F630" s="8" t="s">
        <v>70</v>
      </c>
      <c r="G630" s="8" t="s">
        <v>69</v>
      </c>
      <c r="H630" s="19" t="s">
        <v>151</v>
      </c>
      <c r="I630" s="19" t="s">
        <v>1440</v>
      </c>
      <c r="J630" s="19" t="s">
        <v>286</v>
      </c>
    </row>
    <row r="631" ht="18" customHeight="1" outlineLevel="2" spans="1:10">
      <c r="A631" s="18">
        <v>15</v>
      </c>
      <c r="B631" s="18">
        <v>28</v>
      </c>
      <c r="C631" s="19" t="s">
        <v>1494</v>
      </c>
      <c r="D631" s="19" t="s">
        <v>1493</v>
      </c>
      <c r="E631" s="19" t="s">
        <v>66</v>
      </c>
      <c r="F631" s="8" t="s">
        <v>70</v>
      </c>
      <c r="G631" s="8" t="s">
        <v>69</v>
      </c>
      <c r="H631" s="19" t="s">
        <v>151</v>
      </c>
      <c r="I631" s="19" t="s">
        <v>1440</v>
      </c>
      <c r="J631" s="19" t="s">
        <v>289</v>
      </c>
    </row>
    <row r="632" ht="18" customHeight="1" outlineLevel="2" spans="1:10">
      <c r="A632" s="18">
        <v>16</v>
      </c>
      <c r="B632" s="18">
        <v>48</v>
      </c>
      <c r="C632" s="19" t="s">
        <v>1496</v>
      </c>
      <c r="D632" s="19" t="s">
        <v>1495</v>
      </c>
      <c r="E632" s="19" t="s">
        <v>66</v>
      </c>
      <c r="F632" s="8" t="s">
        <v>70</v>
      </c>
      <c r="G632" s="8" t="s">
        <v>69</v>
      </c>
      <c r="H632" s="19" t="s">
        <v>151</v>
      </c>
      <c r="I632" s="19" t="s">
        <v>1440</v>
      </c>
      <c r="J632" s="19" t="s">
        <v>292</v>
      </c>
    </row>
    <row r="633" ht="18" customHeight="1" outlineLevel="2" spans="1:10">
      <c r="A633" s="18">
        <v>15</v>
      </c>
      <c r="B633" s="18">
        <v>10</v>
      </c>
      <c r="C633" s="19" t="s">
        <v>1498</v>
      </c>
      <c r="D633" s="19" t="s">
        <v>1497</v>
      </c>
      <c r="E633" s="19" t="s">
        <v>66</v>
      </c>
      <c r="F633" s="8" t="s">
        <v>70</v>
      </c>
      <c r="G633" s="8" t="s">
        <v>69</v>
      </c>
      <c r="H633" s="19" t="s">
        <v>151</v>
      </c>
      <c r="I633" s="19" t="s">
        <v>1440</v>
      </c>
      <c r="J633" s="19" t="s">
        <v>295</v>
      </c>
    </row>
    <row r="634" ht="18" customHeight="1" outlineLevel="2" spans="1:10">
      <c r="A634" s="18">
        <v>16</v>
      </c>
      <c r="B634" s="18">
        <v>28</v>
      </c>
      <c r="C634" s="19" t="s">
        <v>1500</v>
      </c>
      <c r="D634" s="19" t="s">
        <v>1499</v>
      </c>
      <c r="E634" s="19" t="s">
        <v>66</v>
      </c>
      <c r="F634" s="8" t="s">
        <v>70</v>
      </c>
      <c r="G634" s="8" t="s">
        <v>69</v>
      </c>
      <c r="H634" s="19" t="s">
        <v>151</v>
      </c>
      <c r="I634" s="19" t="s">
        <v>1440</v>
      </c>
      <c r="J634" s="19" t="s">
        <v>298</v>
      </c>
    </row>
    <row r="635" ht="18" customHeight="1" outlineLevel="2" spans="1:10">
      <c r="A635" s="18">
        <v>13</v>
      </c>
      <c r="B635" s="18">
        <v>18</v>
      </c>
      <c r="C635" s="19" t="s">
        <v>1502</v>
      </c>
      <c r="D635" s="19" t="s">
        <v>1501</v>
      </c>
      <c r="E635" s="19" t="s">
        <v>66</v>
      </c>
      <c r="F635" s="8" t="s">
        <v>70</v>
      </c>
      <c r="G635" s="8" t="s">
        <v>69</v>
      </c>
      <c r="H635" s="19" t="s">
        <v>151</v>
      </c>
      <c r="I635" s="19" t="s">
        <v>1440</v>
      </c>
      <c r="J635" s="19" t="s">
        <v>301</v>
      </c>
    </row>
    <row r="636" ht="18" customHeight="1" outlineLevel="2" spans="1:10">
      <c r="A636" s="18">
        <v>13</v>
      </c>
      <c r="B636" s="18">
        <v>8</v>
      </c>
      <c r="C636" s="19" t="s">
        <v>1504</v>
      </c>
      <c r="D636" s="19" t="s">
        <v>1503</v>
      </c>
      <c r="E636" s="19" t="s">
        <v>66</v>
      </c>
      <c r="F636" s="8" t="s">
        <v>70</v>
      </c>
      <c r="G636" s="8" t="s">
        <v>69</v>
      </c>
      <c r="H636" s="19" t="s">
        <v>151</v>
      </c>
      <c r="I636" s="19" t="s">
        <v>1440</v>
      </c>
      <c r="J636" s="19" t="s">
        <v>304</v>
      </c>
    </row>
    <row r="637" ht="18" customHeight="1" outlineLevel="2" spans="1:10">
      <c r="A637" s="18">
        <v>16</v>
      </c>
      <c r="B637" s="18">
        <v>42</v>
      </c>
      <c r="C637" s="19" t="s">
        <v>1506</v>
      </c>
      <c r="D637" s="19" t="s">
        <v>1505</v>
      </c>
      <c r="E637" s="19" t="s">
        <v>66</v>
      </c>
      <c r="F637" s="8" t="s">
        <v>70</v>
      </c>
      <c r="G637" s="8" t="s">
        <v>69</v>
      </c>
      <c r="H637" s="19" t="s">
        <v>151</v>
      </c>
      <c r="I637" s="19" t="s">
        <v>1440</v>
      </c>
      <c r="J637" s="19" t="s">
        <v>307</v>
      </c>
    </row>
    <row r="638" ht="18" customHeight="1" outlineLevel="2" spans="1:10">
      <c r="A638" s="18">
        <v>16</v>
      </c>
      <c r="B638" s="18">
        <v>44</v>
      </c>
      <c r="C638" s="19" t="s">
        <v>1508</v>
      </c>
      <c r="D638" s="19" t="s">
        <v>1507</v>
      </c>
      <c r="E638" s="19" t="s">
        <v>66</v>
      </c>
      <c r="F638" s="8" t="s">
        <v>70</v>
      </c>
      <c r="G638" s="8" t="s">
        <v>69</v>
      </c>
      <c r="H638" s="19" t="s">
        <v>151</v>
      </c>
      <c r="I638" s="19" t="s">
        <v>1440</v>
      </c>
      <c r="J638" s="19" t="s">
        <v>310</v>
      </c>
    </row>
    <row r="639" ht="18" customHeight="1" outlineLevel="2" spans="1:10">
      <c r="A639" s="18">
        <v>13</v>
      </c>
      <c r="B639" s="18">
        <v>6</v>
      </c>
      <c r="C639" s="19" t="s">
        <v>1510</v>
      </c>
      <c r="D639" s="19" t="s">
        <v>1509</v>
      </c>
      <c r="E639" s="19" t="s">
        <v>66</v>
      </c>
      <c r="F639" s="8" t="s">
        <v>70</v>
      </c>
      <c r="G639" s="8" t="s">
        <v>69</v>
      </c>
      <c r="H639" s="19" t="s">
        <v>151</v>
      </c>
      <c r="I639" s="19" t="s">
        <v>1440</v>
      </c>
      <c r="J639" s="19" t="s">
        <v>313</v>
      </c>
    </row>
    <row r="640" ht="18" customHeight="1" outlineLevel="2" spans="1:10">
      <c r="A640" s="18">
        <v>14</v>
      </c>
      <c r="B640" s="18">
        <v>14</v>
      </c>
      <c r="C640" s="19" t="s">
        <v>1512</v>
      </c>
      <c r="D640" s="19" t="s">
        <v>1511</v>
      </c>
      <c r="E640" s="19" t="s">
        <v>66</v>
      </c>
      <c r="F640" s="8" t="s">
        <v>70</v>
      </c>
      <c r="G640" s="8" t="s">
        <v>69</v>
      </c>
      <c r="H640" s="19" t="s">
        <v>151</v>
      </c>
      <c r="I640" s="19" t="s">
        <v>1440</v>
      </c>
      <c r="J640" s="19" t="s">
        <v>316</v>
      </c>
    </row>
    <row r="641" ht="18" customHeight="1" outlineLevel="2" spans="1:10">
      <c r="A641" s="18">
        <v>13</v>
      </c>
      <c r="B641" s="18">
        <v>13</v>
      </c>
      <c r="C641" s="19" t="s">
        <v>1514</v>
      </c>
      <c r="D641" s="19" t="s">
        <v>1513</v>
      </c>
      <c r="E641" s="19" t="s">
        <v>66</v>
      </c>
      <c r="F641" s="8" t="s">
        <v>70</v>
      </c>
      <c r="G641" s="8" t="s">
        <v>69</v>
      </c>
      <c r="H641" s="19" t="s">
        <v>151</v>
      </c>
      <c r="I641" s="19" t="s">
        <v>1440</v>
      </c>
      <c r="J641" s="19" t="s">
        <v>319</v>
      </c>
    </row>
    <row r="642" ht="18" customHeight="1" outlineLevel="2" spans="1:10">
      <c r="A642" s="18">
        <v>13</v>
      </c>
      <c r="B642" s="18">
        <v>38</v>
      </c>
      <c r="C642" s="19" t="s">
        <v>1516</v>
      </c>
      <c r="D642" s="19" t="s">
        <v>1515</v>
      </c>
      <c r="E642" s="19" t="s">
        <v>66</v>
      </c>
      <c r="F642" s="8" t="s">
        <v>70</v>
      </c>
      <c r="G642" s="8" t="s">
        <v>69</v>
      </c>
      <c r="H642" s="19" t="s">
        <v>151</v>
      </c>
      <c r="I642" s="19" t="s">
        <v>1440</v>
      </c>
      <c r="J642" s="19" t="s">
        <v>322</v>
      </c>
    </row>
    <row r="643" ht="18" customHeight="1" outlineLevel="2" spans="1:10">
      <c r="A643" s="18">
        <v>14</v>
      </c>
      <c r="B643" s="18">
        <v>38</v>
      </c>
      <c r="C643" s="19" t="s">
        <v>1518</v>
      </c>
      <c r="D643" s="19" t="s">
        <v>1517</v>
      </c>
      <c r="E643" s="19" t="s">
        <v>66</v>
      </c>
      <c r="F643" s="8" t="s">
        <v>70</v>
      </c>
      <c r="G643" s="8" t="s">
        <v>69</v>
      </c>
      <c r="H643" s="19" t="s">
        <v>151</v>
      </c>
      <c r="I643" s="19" t="s">
        <v>1440</v>
      </c>
      <c r="J643" s="19" t="s">
        <v>325</v>
      </c>
    </row>
    <row r="644" ht="18" customHeight="1" outlineLevel="2" spans="1:10">
      <c r="A644" s="18">
        <v>16</v>
      </c>
      <c r="B644" s="18">
        <v>45</v>
      </c>
      <c r="C644" s="19" t="s">
        <v>1520</v>
      </c>
      <c r="D644" s="19" t="s">
        <v>1519</v>
      </c>
      <c r="E644" s="19" t="s">
        <v>66</v>
      </c>
      <c r="F644" s="8" t="s">
        <v>70</v>
      </c>
      <c r="G644" s="8" t="s">
        <v>69</v>
      </c>
      <c r="H644" s="19" t="s">
        <v>151</v>
      </c>
      <c r="I644" s="19" t="s">
        <v>1440</v>
      </c>
      <c r="J644" s="19" t="s">
        <v>328</v>
      </c>
    </row>
    <row r="645" ht="18" customHeight="1" outlineLevel="2" spans="1:10">
      <c r="A645" s="18">
        <v>14</v>
      </c>
      <c r="B645" s="18">
        <v>9</v>
      </c>
      <c r="C645" s="19" t="s">
        <v>1522</v>
      </c>
      <c r="D645" s="19" t="s">
        <v>1521</v>
      </c>
      <c r="E645" s="19" t="s">
        <v>66</v>
      </c>
      <c r="F645" s="8" t="s">
        <v>70</v>
      </c>
      <c r="G645" s="8" t="s">
        <v>69</v>
      </c>
      <c r="H645" s="19" t="s">
        <v>151</v>
      </c>
      <c r="I645" s="19" t="s">
        <v>1440</v>
      </c>
      <c r="J645" s="19" t="s">
        <v>331</v>
      </c>
    </row>
    <row r="646" ht="18" customHeight="1" outlineLevel="1" spans="1:10">
      <c r="A646" s="18"/>
      <c r="B646" s="18"/>
      <c r="C646" s="19">
        <f>SUBTOTAL(3,C604:C645)</f>
        <v>42</v>
      </c>
      <c r="D646" s="19"/>
      <c r="E646" s="19"/>
      <c r="F646" s="8"/>
      <c r="G646" s="8"/>
      <c r="H646" s="20" t="s">
        <v>1943</v>
      </c>
      <c r="I646" s="19"/>
      <c r="J646" s="19"/>
    </row>
    <row r="647" ht="18" customHeight="1" outlineLevel="2" spans="1:10">
      <c r="A647" s="18">
        <v>16</v>
      </c>
      <c r="B647" s="18">
        <v>49</v>
      </c>
      <c r="C647" s="19" t="s">
        <v>1458</v>
      </c>
      <c r="D647" s="19" t="s">
        <v>1523</v>
      </c>
      <c r="E647" s="19" t="s">
        <v>66</v>
      </c>
      <c r="F647" s="8" t="s">
        <v>70</v>
      </c>
      <c r="G647" s="8" t="s">
        <v>69</v>
      </c>
      <c r="H647" s="19" t="s">
        <v>152</v>
      </c>
      <c r="I647" s="19" t="s">
        <v>1524</v>
      </c>
      <c r="J647" s="19" t="s">
        <v>207</v>
      </c>
    </row>
    <row r="648" ht="18" customHeight="1" outlineLevel="2" spans="1:10">
      <c r="A648" s="18">
        <v>14</v>
      </c>
      <c r="B648" s="18">
        <v>46</v>
      </c>
      <c r="C648" s="19" t="s">
        <v>1526</v>
      </c>
      <c r="D648" s="19" t="s">
        <v>1525</v>
      </c>
      <c r="E648" s="19" t="s">
        <v>66</v>
      </c>
      <c r="F648" s="8" t="s">
        <v>70</v>
      </c>
      <c r="G648" s="8" t="s">
        <v>69</v>
      </c>
      <c r="H648" s="19" t="s">
        <v>152</v>
      </c>
      <c r="I648" s="19" t="s">
        <v>1524</v>
      </c>
      <c r="J648" s="19" t="s">
        <v>210</v>
      </c>
    </row>
    <row r="649" ht="18" customHeight="1" outlineLevel="2" spans="1:10">
      <c r="A649" s="18">
        <v>16</v>
      </c>
      <c r="B649" s="18">
        <v>35</v>
      </c>
      <c r="C649" s="19" t="s">
        <v>1528</v>
      </c>
      <c r="D649" s="19" t="s">
        <v>1527</v>
      </c>
      <c r="E649" s="19" t="s">
        <v>66</v>
      </c>
      <c r="F649" s="8" t="s">
        <v>70</v>
      </c>
      <c r="G649" s="8" t="s">
        <v>69</v>
      </c>
      <c r="H649" s="19" t="s">
        <v>152</v>
      </c>
      <c r="I649" s="19" t="s">
        <v>1524</v>
      </c>
      <c r="J649" s="19" t="s">
        <v>214</v>
      </c>
    </row>
    <row r="650" ht="18" customHeight="1" outlineLevel="2" spans="1:10">
      <c r="A650" s="18">
        <v>15</v>
      </c>
      <c r="B650" s="18">
        <v>21</v>
      </c>
      <c r="C650" s="19" t="s">
        <v>1530</v>
      </c>
      <c r="D650" s="19" t="s">
        <v>1529</v>
      </c>
      <c r="E650" s="19" t="s">
        <v>66</v>
      </c>
      <c r="F650" s="8" t="s">
        <v>70</v>
      </c>
      <c r="G650" s="8" t="s">
        <v>69</v>
      </c>
      <c r="H650" s="19" t="s">
        <v>152</v>
      </c>
      <c r="I650" s="19" t="s">
        <v>1524</v>
      </c>
      <c r="J650" s="19" t="s">
        <v>217</v>
      </c>
    </row>
    <row r="651" ht="18" customHeight="1" outlineLevel="2" spans="1:10">
      <c r="A651" s="18">
        <v>14</v>
      </c>
      <c r="B651" s="18">
        <v>29</v>
      </c>
      <c r="C651" s="19" t="s">
        <v>1532</v>
      </c>
      <c r="D651" s="19" t="s">
        <v>1531</v>
      </c>
      <c r="E651" s="19" t="s">
        <v>66</v>
      </c>
      <c r="F651" s="8" t="s">
        <v>70</v>
      </c>
      <c r="G651" s="8" t="s">
        <v>69</v>
      </c>
      <c r="H651" s="19" t="s">
        <v>152</v>
      </c>
      <c r="I651" s="19" t="s">
        <v>1524</v>
      </c>
      <c r="J651" s="19" t="s">
        <v>220</v>
      </c>
    </row>
    <row r="652" ht="18" customHeight="1" outlineLevel="2" spans="1:10">
      <c r="A652" s="18">
        <v>15</v>
      </c>
      <c r="B652" s="18">
        <v>30</v>
      </c>
      <c r="C652" s="19" t="s">
        <v>1534</v>
      </c>
      <c r="D652" s="19" t="s">
        <v>1533</v>
      </c>
      <c r="E652" s="19" t="s">
        <v>66</v>
      </c>
      <c r="F652" s="8" t="s">
        <v>70</v>
      </c>
      <c r="G652" s="8" t="s">
        <v>69</v>
      </c>
      <c r="H652" s="19" t="s">
        <v>152</v>
      </c>
      <c r="I652" s="19" t="s">
        <v>1524</v>
      </c>
      <c r="J652" s="19" t="s">
        <v>223</v>
      </c>
    </row>
    <row r="653" ht="18" customHeight="1" outlineLevel="2" spans="1:10">
      <c r="A653" s="18">
        <v>14</v>
      </c>
      <c r="B653" s="18">
        <v>43</v>
      </c>
      <c r="C653" s="19" t="s">
        <v>1536</v>
      </c>
      <c r="D653" s="19" t="s">
        <v>1535</v>
      </c>
      <c r="E653" s="19" t="s">
        <v>66</v>
      </c>
      <c r="F653" s="8" t="s">
        <v>70</v>
      </c>
      <c r="G653" s="8" t="s">
        <v>69</v>
      </c>
      <c r="H653" s="19" t="s">
        <v>152</v>
      </c>
      <c r="I653" s="19" t="s">
        <v>1524</v>
      </c>
      <c r="J653" s="19" t="s">
        <v>226</v>
      </c>
    </row>
    <row r="654" ht="18" customHeight="1" outlineLevel="2" spans="1:10">
      <c r="A654" s="18">
        <v>15</v>
      </c>
      <c r="B654" s="18">
        <v>31</v>
      </c>
      <c r="C654" s="19" t="s">
        <v>1538</v>
      </c>
      <c r="D654" s="19" t="s">
        <v>1537</v>
      </c>
      <c r="E654" s="19" t="s">
        <v>66</v>
      </c>
      <c r="F654" s="8" t="s">
        <v>70</v>
      </c>
      <c r="G654" s="8" t="s">
        <v>69</v>
      </c>
      <c r="H654" s="19" t="s">
        <v>152</v>
      </c>
      <c r="I654" s="19" t="s">
        <v>1524</v>
      </c>
      <c r="J654" s="19" t="s">
        <v>229</v>
      </c>
    </row>
    <row r="655" ht="18" customHeight="1" outlineLevel="2" spans="1:10">
      <c r="A655" s="18">
        <v>13</v>
      </c>
      <c r="B655" s="18">
        <v>2</v>
      </c>
      <c r="C655" s="19" t="s">
        <v>1540</v>
      </c>
      <c r="D655" s="19" t="s">
        <v>1539</v>
      </c>
      <c r="E655" s="19" t="s">
        <v>66</v>
      </c>
      <c r="F655" s="8" t="s">
        <v>70</v>
      </c>
      <c r="G655" s="8" t="s">
        <v>69</v>
      </c>
      <c r="H655" s="19" t="s">
        <v>152</v>
      </c>
      <c r="I655" s="19" t="s">
        <v>1524</v>
      </c>
      <c r="J655" s="19" t="s">
        <v>232</v>
      </c>
    </row>
    <row r="656" ht="18" customHeight="1" outlineLevel="2" spans="1:10">
      <c r="A656" s="18">
        <v>16</v>
      </c>
      <c r="B656" s="18">
        <v>30</v>
      </c>
      <c r="C656" s="19" t="s">
        <v>1542</v>
      </c>
      <c r="D656" s="19" t="s">
        <v>1541</v>
      </c>
      <c r="E656" s="19" t="s">
        <v>66</v>
      </c>
      <c r="F656" s="8" t="s">
        <v>70</v>
      </c>
      <c r="G656" s="8" t="s">
        <v>69</v>
      </c>
      <c r="H656" s="19" t="s">
        <v>152</v>
      </c>
      <c r="I656" s="19" t="s">
        <v>1524</v>
      </c>
      <c r="J656" s="19" t="s">
        <v>235</v>
      </c>
    </row>
    <row r="657" ht="18" customHeight="1" outlineLevel="2" spans="1:10">
      <c r="A657" s="18">
        <v>15</v>
      </c>
      <c r="B657" s="18">
        <v>20</v>
      </c>
      <c r="C657" s="19" t="s">
        <v>1544</v>
      </c>
      <c r="D657" s="19" t="s">
        <v>1543</v>
      </c>
      <c r="E657" s="19" t="s">
        <v>66</v>
      </c>
      <c r="F657" s="8" t="s">
        <v>70</v>
      </c>
      <c r="G657" s="8" t="s">
        <v>69</v>
      </c>
      <c r="H657" s="19" t="s">
        <v>152</v>
      </c>
      <c r="I657" s="19" t="s">
        <v>1524</v>
      </c>
      <c r="J657" s="19" t="s">
        <v>238</v>
      </c>
    </row>
    <row r="658" ht="18" customHeight="1" outlineLevel="2" spans="1:10">
      <c r="A658" s="18">
        <v>16</v>
      </c>
      <c r="B658" s="18">
        <v>7</v>
      </c>
      <c r="C658" s="19" t="s">
        <v>1546</v>
      </c>
      <c r="D658" s="19" t="s">
        <v>1545</v>
      </c>
      <c r="E658" s="19" t="s">
        <v>66</v>
      </c>
      <c r="F658" s="8" t="s">
        <v>70</v>
      </c>
      <c r="G658" s="8" t="s">
        <v>69</v>
      </c>
      <c r="H658" s="19" t="s">
        <v>152</v>
      </c>
      <c r="I658" s="19" t="s">
        <v>1524</v>
      </c>
      <c r="J658" s="19" t="s">
        <v>241</v>
      </c>
    </row>
    <row r="659" ht="18" customHeight="1" outlineLevel="2" spans="1:10">
      <c r="A659" s="18">
        <v>16</v>
      </c>
      <c r="B659" s="18">
        <v>21</v>
      </c>
      <c r="C659" s="19" t="s">
        <v>1548</v>
      </c>
      <c r="D659" s="19" t="s">
        <v>1547</v>
      </c>
      <c r="E659" s="19" t="s">
        <v>66</v>
      </c>
      <c r="F659" s="8" t="s">
        <v>70</v>
      </c>
      <c r="G659" s="8" t="s">
        <v>69</v>
      </c>
      <c r="H659" s="19" t="s">
        <v>152</v>
      </c>
      <c r="I659" s="19" t="s">
        <v>1524</v>
      </c>
      <c r="J659" s="19" t="s">
        <v>244</v>
      </c>
    </row>
    <row r="660" ht="18" customHeight="1" outlineLevel="2" spans="1:10">
      <c r="A660" s="18">
        <v>13</v>
      </c>
      <c r="B660" s="18">
        <v>27</v>
      </c>
      <c r="C660" s="19" t="s">
        <v>1550</v>
      </c>
      <c r="D660" s="19" t="s">
        <v>1549</v>
      </c>
      <c r="E660" s="19" t="s">
        <v>66</v>
      </c>
      <c r="F660" s="8" t="s">
        <v>70</v>
      </c>
      <c r="G660" s="8" t="s">
        <v>69</v>
      </c>
      <c r="H660" s="19" t="s">
        <v>152</v>
      </c>
      <c r="I660" s="19" t="s">
        <v>1524</v>
      </c>
      <c r="J660" s="19" t="s">
        <v>247</v>
      </c>
    </row>
    <row r="661" ht="18" customHeight="1" outlineLevel="2" spans="1:10">
      <c r="A661" s="18">
        <v>15</v>
      </c>
      <c r="B661" s="18">
        <v>16</v>
      </c>
      <c r="C661" s="19" t="s">
        <v>1552</v>
      </c>
      <c r="D661" s="19" t="s">
        <v>1551</v>
      </c>
      <c r="E661" s="19" t="s">
        <v>66</v>
      </c>
      <c r="F661" s="8" t="s">
        <v>70</v>
      </c>
      <c r="G661" s="8" t="s">
        <v>69</v>
      </c>
      <c r="H661" s="19" t="s">
        <v>152</v>
      </c>
      <c r="I661" s="19" t="s">
        <v>1524</v>
      </c>
      <c r="J661" s="19" t="s">
        <v>250</v>
      </c>
    </row>
    <row r="662" ht="18" customHeight="1" outlineLevel="2" spans="1:10">
      <c r="A662" s="18">
        <v>15</v>
      </c>
      <c r="B662" s="18">
        <v>38</v>
      </c>
      <c r="C662" s="19" t="s">
        <v>1554</v>
      </c>
      <c r="D662" s="19" t="s">
        <v>1553</v>
      </c>
      <c r="E662" s="19" t="s">
        <v>66</v>
      </c>
      <c r="F662" s="8" t="s">
        <v>70</v>
      </c>
      <c r="G662" s="8" t="s">
        <v>69</v>
      </c>
      <c r="H662" s="19" t="s">
        <v>152</v>
      </c>
      <c r="I662" s="19" t="s">
        <v>1524</v>
      </c>
      <c r="J662" s="19" t="s">
        <v>253</v>
      </c>
    </row>
    <row r="663" ht="18" customHeight="1" outlineLevel="2" spans="1:10">
      <c r="A663" s="18">
        <v>13</v>
      </c>
      <c r="B663" s="18">
        <v>33</v>
      </c>
      <c r="C663" s="19" t="s">
        <v>1556</v>
      </c>
      <c r="D663" s="19" t="s">
        <v>1555</v>
      </c>
      <c r="E663" s="19" t="s">
        <v>66</v>
      </c>
      <c r="F663" s="8" t="s">
        <v>70</v>
      </c>
      <c r="G663" s="8" t="s">
        <v>69</v>
      </c>
      <c r="H663" s="19" t="s">
        <v>152</v>
      </c>
      <c r="I663" s="19" t="s">
        <v>1524</v>
      </c>
      <c r="J663" s="19" t="s">
        <v>256</v>
      </c>
    </row>
    <row r="664" ht="18" customHeight="1" outlineLevel="2" spans="1:10">
      <c r="A664" s="18">
        <v>16</v>
      </c>
      <c r="B664" s="18">
        <v>13</v>
      </c>
      <c r="C664" s="19" t="s">
        <v>1558</v>
      </c>
      <c r="D664" s="19" t="s">
        <v>1557</v>
      </c>
      <c r="E664" s="19" t="s">
        <v>66</v>
      </c>
      <c r="F664" s="8" t="s">
        <v>70</v>
      </c>
      <c r="G664" s="8" t="s">
        <v>69</v>
      </c>
      <c r="H664" s="19" t="s">
        <v>152</v>
      </c>
      <c r="I664" s="19" t="s">
        <v>1524</v>
      </c>
      <c r="J664" s="19" t="s">
        <v>259</v>
      </c>
    </row>
    <row r="665" ht="18" customHeight="1" outlineLevel="2" spans="1:10">
      <c r="A665" s="18">
        <v>13</v>
      </c>
      <c r="B665" s="18">
        <v>9</v>
      </c>
      <c r="C665" s="19" t="s">
        <v>1560</v>
      </c>
      <c r="D665" s="19" t="s">
        <v>1559</v>
      </c>
      <c r="E665" s="19" t="s">
        <v>66</v>
      </c>
      <c r="F665" s="8" t="s">
        <v>70</v>
      </c>
      <c r="G665" s="8" t="s">
        <v>69</v>
      </c>
      <c r="H665" s="19" t="s">
        <v>152</v>
      </c>
      <c r="I665" s="19" t="s">
        <v>1524</v>
      </c>
      <c r="J665" s="19" t="s">
        <v>262</v>
      </c>
    </row>
    <row r="666" ht="18" customHeight="1" outlineLevel="2" spans="1:10">
      <c r="A666" s="18">
        <v>13</v>
      </c>
      <c r="B666" s="18">
        <v>28</v>
      </c>
      <c r="C666" s="19" t="s">
        <v>1562</v>
      </c>
      <c r="D666" s="19" t="s">
        <v>1561</v>
      </c>
      <c r="E666" s="19" t="s">
        <v>66</v>
      </c>
      <c r="F666" s="8" t="s">
        <v>70</v>
      </c>
      <c r="G666" s="8" t="s">
        <v>69</v>
      </c>
      <c r="H666" s="19" t="s">
        <v>152</v>
      </c>
      <c r="I666" s="19" t="s">
        <v>1524</v>
      </c>
      <c r="J666" s="19" t="s">
        <v>265</v>
      </c>
    </row>
    <row r="667" ht="18" customHeight="1" outlineLevel="2" spans="1:10">
      <c r="A667" s="18">
        <v>15</v>
      </c>
      <c r="B667" s="18">
        <v>23</v>
      </c>
      <c r="C667" s="19" t="s">
        <v>1564</v>
      </c>
      <c r="D667" s="19" t="s">
        <v>1563</v>
      </c>
      <c r="E667" s="19" t="s">
        <v>66</v>
      </c>
      <c r="F667" s="8" t="s">
        <v>70</v>
      </c>
      <c r="G667" s="8" t="s">
        <v>69</v>
      </c>
      <c r="H667" s="19" t="s">
        <v>152</v>
      </c>
      <c r="I667" s="19" t="s">
        <v>1524</v>
      </c>
      <c r="J667" s="19" t="s">
        <v>268</v>
      </c>
    </row>
    <row r="668" ht="18" customHeight="1" outlineLevel="2" spans="1:10">
      <c r="A668" s="18">
        <v>14</v>
      </c>
      <c r="B668" s="18">
        <v>24</v>
      </c>
      <c r="C668" s="19" t="s">
        <v>1566</v>
      </c>
      <c r="D668" s="19" t="s">
        <v>1565</v>
      </c>
      <c r="E668" s="19" t="s">
        <v>66</v>
      </c>
      <c r="F668" s="8" t="s">
        <v>70</v>
      </c>
      <c r="G668" s="8" t="s">
        <v>69</v>
      </c>
      <c r="H668" s="19" t="s">
        <v>152</v>
      </c>
      <c r="I668" s="19" t="s">
        <v>1524</v>
      </c>
      <c r="J668" s="19" t="s">
        <v>271</v>
      </c>
    </row>
    <row r="669" ht="18" customHeight="1" outlineLevel="2" spans="1:10">
      <c r="A669" s="18">
        <v>16</v>
      </c>
      <c r="B669" s="18">
        <v>17</v>
      </c>
      <c r="C669" s="19" t="s">
        <v>1568</v>
      </c>
      <c r="D669" s="19" t="s">
        <v>1567</v>
      </c>
      <c r="E669" s="19" t="s">
        <v>66</v>
      </c>
      <c r="F669" s="8" t="s">
        <v>70</v>
      </c>
      <c r="G669" s="8" t="s">
        <v>69</v>
      </c>
      <c r="H669" s="19" t="s">
        <v>152</v>
      </c>
      <c r="I669" s="19" t="s">
        <v>1524</v>
      </c>
      <c r="J669" s="19" t="s">
        <v>274</v>
      </c>
    </row>
    <row r="670" ht="18" customHeight="1" outlineLevel="2" spans="1:10">
      <c r="A670" s="18">
        <v>13</v>
      </c>
      <c r="B670" s="18">
        <v>16</v>
      </c>
      <c r="C670" s="19" t="s">
        <v>1570</v>
      </c>
      <c r="D670" s="19" t="s">
        <v>1569</v>
      </c>
      <c r="E670" s="19" t="s">
        <v>66</v>
      </c>
      <c r="F670" s="8" t="s">
        <v>70</v>
      </c>
      <c r="G670" s="8" t="s">
        <v>69</v>
      </c>
      <c r="H670" s="19" t="s">
        <v>152</v>
      </c>
      <c r="I670" s="19" t="s">
        <v>1524</v>
      </c>
      <c r="J670" s="19" t="s">
        <v>277</v>
      </c>
    </row>
    <row r="671" ht="18" customHeight="1" outlineLevel="2" spans="1:10">
      <c r="A671" s="18">
        <v>15</v>
      </c>
      <c r="B671" s="18">
        <v>11</v>
      </c>
      <c r="C671" s="19" t="s">
        <v>1572</v>
      </c>
      <c r="D671" s="19" t="s">
        <v>1571</v>
      </c>
      <c r="E671" s="19" t="s">
        <v>66</v>
      </c>
      <c r="F671" s="8" t="s">
        <v>70</v>
      </c>
      <c r="G671" s="8" t="s">
        <v>69</v>
      </c>
      <c r="H671" s="19" t="s">
        <v>152</v>
      </c>
      <c r="I671" s="19" t="s">
        <v>1524</v>
      </c>
      <c r="J671" s="19" t="s">
        <v>280</v>
      </c>
    </row>
    <row r="672" ht="18" customHeight="1" outlineLevel="2" spans="1:10">
      <c r="A672" s="18">
        <v>14</v>
      </c>
      <c r="B672" s="18">
        <v>49</v>
      </c>
      <c r="C672" s="19" t="s">
        <v>1574</v>
      </c>
      <c r="D672" s="19" t="s">
        <v>1573</v>
      </c>
      <c r="E672" s="19" t="s">
        <v>66</v>
      </c>
      <c r="F672" s="8" t="s">
        <v>70</v>
      </c>
      <c r="G672" s="8" t="s">
        <v>69</v>
      </c>
      <c r="H672" s="19" t="s">
        <v>152</v>
      </c>
      <c r="I672" s="19" t="s">
        <v>1524</v>
      </c>
      <c r="J672" s="19" t="s">
        <v>283</v>
      </c>
    </row>
    <row r="673" ht="18" customHeight="1" outlineLevel="2" spans="1:10">
      <c r="A673" s="18">
        <v>16</v>
      </c>
      <c r="B673" s="18">
        <v>14</v>
      </c>
      <c r="C673" s="19" t="s">
        <v>1576</v>
      </c>
      <c r="D673" s="19" t="s">
        <v>1575</v>
      </c>
      <c r="E673" s="19" t="s">
        <v>66</v>
      </c>
      <c r="F673" s="8" t="s">
        <v>70</v>
      </c>
      <c r="G673" s="8" t="s">
        <v>69</v>
      </c>
      <c r="H673" s="19" t="s">
        <v>152</v>
      </c>
      <c r="I673" s="19" t="s">
        <v>1524</v>
      </c>
      <c r="J673" s="19" t="s">
        <v>286</v>
      </c>
    </row>
    <row r="674" ht="18" customHeight="1" outlineLevel="2" spans="1:10">
      <c r="A674" s="18">
        <v>16</v>
      </c>
      <c r="B674" s="18">
        <v>3</v>
      </c>
      <c r="C674" s="19" t="s">
        <v>1578</v>
      </c>
      <c r="D674" s="19" t="s">
        <v>1577</v>
      </c>
      <c r="E674" s="19" t="s">
        <v>66</v>
      </c>
      <c r="F674" s="8" t="s">
        <v>70</v>
      </c>
      <c r="G674" s="8" t="s">
        <v>69</v>
      </c>
      <c r="H674" s="19" t="s">
        <v>152</v>
      </c>
      <c r="I674" s="19" t="s">
        <v>1524</v>
      </c>
      <c r="J674" s="19" t="s">
        <v>289</v>
      </c>
    </row>
    <row r="675" ht="18" customHeight="1" outlineLevel="2" spans="1:10">
      <c r="A675" s="18">
        <v>16</v>
      </c>
      <c r="B675" s="18">
        <v>9</v>
      </c>
      <c r="C675" s="19" t="s">
        <v>1580</v>
      </c>
      <c r="D675" s="19" t="s">
        <v>1579</v>
      </c>
      <c r="E675" s="19" t="s">
        <v>66</v>
      </c>
      <c r="F675" s="8" t="s">
        <v>70</v>
      </c>
      <c r="G675" s="8" t="s">
        <v>69</v>
      </c>
      <c r="H675" s="19" t="s">
        <v>152</v>
      </c>
      <c r="I675" s="19" t="s">
        <v>1524</v>
      </c>
      <c r="J675" s="19" t="s">
        <v>292</v>
      </c>
    </row>
    <row r="676" ht="18" customHeight="1" outlineLevel="2" spans="1:10">
      <c r="A676" s="18">
        <v>14</v>
      </c>
      <c r="B676" s="18">
        <v>40</v>
      </c>
      <c r="C676" s="19" t="s">
        <v>1582</v>
      </c>
      <c r="D676" s="19" t="s">
        <v>1581</v>
      </c>
      <c r="E676" s="19" t="s">
        <v>66</v>
      </c>
      <c r="F676" s="8" t="s">
        <v>70</v>
      </c>
      <c r="G676" s="8" t="s">
        <v>69</v>
      </c>
      <c r="H676" s="19" t="s">
        <v>152</v>
      </c>
      <c r="I676" s="19" t="s">
        <v>1524</v>
      </c>
      <c r="J676" s="19" t="s">
        <v>295</v>
      </c>
    </row>
    <row r="677" ht="18" customHeight="1" outlineLevel="2" spans="1:10">
      <c r="A677" s="18">
        <v>15</v>
      </c>
      <c r="B677" s="18">
        <v>3</v>
      </c>
      <c r="C677" s="19" t="s">
        <v>1584</v>
      </c>
      <c r="D677" s="19" t="s">
        <v>1583</v>
      </c>
      <c r="E677" s="19" t="s">
        <v>66</v>
      </c>
      <c r="F677" s="8" t="s">
        <v>70</v>
      </c>
      <c r="G677" s="8" t="s">
        <v>69</v>
      </c>
      <c r="H677" s="19" t="s">
        <v>152</v>
      </c>
      <c r="I677" s="19" t="s">
        <v>1524</v>
      </c>
      <c r="J677" s="19" t="s">
        <v>298</v>
      </c>
    </row>
    <row r="678" ht="18" customHeight="1" outlineLevel="2" spans="1:10">
      <c r="A678" s="18">
        <v>15</v>
      </c>
      <c r="B678" s="18">
        <v>2</v>
      </c>
      <c r="C678" s="19" t="s">
        <v>1586</v>
      </c>
      <c r="D678" s="19" t="s">
        <v>1585</v>
      </c>
      <c r="E678" s="19" t="s">
        <v>66</v>
      </c>
      <c r="F678" s="8" t="s">
        <v>70</v>
      </c>
      <c r="G678" s="8" t="s">
        <v>69</v>
      </c>
      <c r="H678" s="19" t="s">
        <v>152</v>
      </c>
      <c r="I678" s="19" t="s">
        <v>1524</v>
      </c>
      <c r="J678" s="19" t="s">
        <v>301</v>
      </c>
    </row>
    <row r="679" ht="18" customHeight="1" outlineLevel="2" spans="1:10">
      <c r="A679" s="18">
        <v>15</v>
      </c>
      <c r="B679" s="18">
        <v>43</v>
      </c>
      <c r="C679" s="19" t="s">
        <v>1588</v>
      </c>
      <c r="D679" s="19" t="s">
        <v>1587</v>
      </c>
      <c r="E679" s="19" t="s">
        <v>66</v>
      </c>
      <c r="F679" s="8" t="s">
        <v>70</v>
      </c>
      <c r="G679" s="8" t="s">
        <v>69</v>
      </c>
      <c r="H679" s="19" t="s">
        <v>152</v>
      </c>
      <c r="I679" s="19" t="s">
        <v>1524</v>
      </c>
      <c r="J679" s="19" t="s">
        <v>304</v>
      </c>
    </row>
    <row r="680" ht="18" customHeight="1" outlineLevel="2" spans="1:10">
      <c r="A680" s="18">
        <v>16</v>
      </c>
      <c r="B680" s="18">
        <v>10</v>
      </c>
      <c r="C680" s="19" t="s">
        <v>1590</v>
      </c>
      <c r="D680" s="19" t="s">
        <v>1589</v>
      </c>
      <c r="E680" s="19" t="s">
        <v>66</v>
      </c>
      <c r="F680" s="8" t="s">
        <v>70</v>
      </c>
      <c r="G680" s="8" t="s">
        <v>69</v>
      </c>
      <c r="H680" s="19" t="s">
        <v>152</v>
      </c>
      <c r="I680" s="19" t="s">
        <v>1524</v>
      </c>
      <c r="J680" s="19" t="s">
        <v>307</v>
      </c>
    </row>
    <row r="681" ht="18" customHeight="1" outlineLevel="2" spans="1:10">
      <c r="A681" s="18">
        <v>13</v>
      </c>
      <c r="B681" s="18">
        <v>24</v>
      </c>
      <c r="C681" s="19" t="s">
        <v>1592</v>
      </c>
      <c r="D681" s="19" t="s">
        <v>1591</v>
      </c>
      <c r="E681" s="19" t="s">
        <v>66</v>
      </c>
      <c r="F681" s="8" t="s">
        <v>70</v>
      </c>
      <c r="G681" s="8" t="s">
        <v>69</v>
      </c>
      <c r="H681" s="19" t="s">
        <v>152</v>
      </c>
      <c r="I681" s="19" t="s">
        <v>1524</v>
      </c>
      <c r="J681" s="19" t="s">
        <v>310</v>
      </c>
    </row>
    <row r="682" ht="18" customHeight="1" outlineLevel="2" spans="1:10">
      <c r="A682" s="18">
        <v>16</v>
      </c>
      <c r="B682" s="18">
        <v>40</v>
      </c>
      <c r="C682" s="19" t="s">
        <v>1594</v>
      </c>
      <c r="D682" s="19" t="s">
        <v>1593</v>
      </c>
      <c r="E682" s="19" t="s">
        <v>66</v>
      </c>
      <c r="F682" s="8" t="s">
        <v>70</v>
      </c>
      <c r="G682" s="8" t="s">
        <v>69</v>
      </c>
      <c r="H682" s="19" t="s">
        <v>152</v>
      </c>
      <c r="I682" s="19" t="s">
        <v>1524</v>
      </c>
      <c r="J682" s="19" t="s">
        <v>313</v>
      </c>
    </row>
    <row r="683" ht="18" customHeight="1" outlineLevel="2" spans="1:10">
      <c r="A683" s="18">
        <v>16</v>
      </c>
      <c r="B683" s="18">
        <v>47</v>
      </c>
      <c r="C683" s="19" t="s">
        <v>1596</v>
      </c>
      <c r="D683" s="19" t="s">
        <v>1595</v>
      </c>
      <c r="E683" s="19" t="s">
        <v>66</v>
      </c>
      <c r="F683" s="8" t="s">
        <v>70</v>
      </c>
      <c r="G683" s="8" t="s">
        <v>69</v>
      </c>
      <c r="H683" s="19" t="s">
        <v>152</v>
      </c>
      <c r="I683" s="19" t="s">
        <v>1524</v>
      </c>
      <c r="J683" s="19" t="s">
        <v>316</v>
      </c>
    </row>
    <row r="684" ht="18" customHeight="1" outlineLevel="2" spans="1:10">
      <c r="A684" s="18">
        <v>14</v>
      </c>
      <c r="B684" s="18">
        <v>3</v>
      </c>
      <c r="C684" s="19" t="s">
        <v>1598</v>
      </c>
      <c r="D684" s="19" t="s">
        <v>1597</v>
      </c>
      <c r="E684" s="19" t="s">
        <v>66</v>
      </c>
      <c r="F684" s="8" t="s">
        <v>70</v>
      </c>
      <c r="G684" s="8" t="s">
        <v>69</v>
      </c>
      <c r="H684" s="19" t="s">
        <v>152</v>
      </c>
      <c r="I684" s="19" t="s">
        <v>1524</v>
      </c>
      <c r="J684" s="19" t="s">
        <v>319</v>
      </c>
    </row>
    <row r="685" ht="18" customHeight="1" outlineLevel="2" spans="1:10">
      <c r="A685" s="18">
        <v>16</v>
      </c>
      <c r="B685" s="18">
        <v>43</v>
      </c>
      <c r="C685" s="19" t="s">
        <v>1600</v>
      </c>
      <c r="D685" s="19" t="s">
        <v>1599</v>
      </c>
      <c r="E685" s="19" t="s">
        <v>66</v>
      </c>
      <c r="F685" s="8" t="s">
        <v>70</v>
      </c>
      <c r="G685" s="8" t="s">
        <v>69</v>
      </c>
      <c r="H685" s="19" t="s">
        <v>152</v>
      </c>
      <c r="I685" s="19" t="s">
        <v>1524</v>
      </c>
      <c r="J685" s="19" t="s">
        <v>322</v>
      </c>
    </row>
    <row r="686" ht="18" customHeight="1" outlineLevel="2" spans="1:10">
      <c r="A686" s="18">
        <v>13</v>
      </c>
      <c r="B686" s="18">
        <v>47</v>
      </c>
      <c r="C686" s="19" t="s">
        <v>1602</v>
      </c>
      <c r="D686" s="19" t="s">
        <v>1601</v>
      </c>
      <c r="E686" s="19" t="s">
        <v>66</v>
      </c>
      <c r="F686" s="8" t="s">
        <v>70</v>
      </c>
      <c r="G686" s="8" t="s">
        <v>69</v>
      </c>
      <c r="H686" s="19" t="s">
        <v>152</v>
      </c>
      <c r="I686" s="19" t="s">
        <v>1524</v>
      </c>
      <c r="J686" s="19" t="s">
        <v>325</v>
      </c>
    </row>
    <row r="687" ht="18" customHeight="1" outlineLevel="2" spans="1:10">
      <c r="A687" s="18">
        <v>14</v>
      </c>
      <c r="B687" s="18">
        <v>35</v>
      </c>
      <c r="C687" s="19" t="s">
        <v>1604</v>
      </c>
      <c r="D687" s="19" t="s">
        <v>1603</v>
      </c>
      <c r="E687" s="19" t="s">
        <v>66</v>
      </c>
      <c r="F687" s="8" t="s">
        <v>70</v>
      </c>
      <c r="G687" s="8" t="s">
        <v>69</v>
      </c>
      <c r="H687" s="19" t="s">
        <v>152</v>
      </c>
      <c r="I687" s="19" t="s">
        <v>1524</v>
      </c>
      <c r="J687" s="19" t="s">
        <v>328</v>
      </c>
    </row>
    <row r="688" ht="18" customHeight="1" outlineLevel="2" spans="1:10">
      <c r="A688" s="18">
        <v>14</v>
      </c>
      <c r="B688" s="18">
        <v>30</v>
      </c>
      <c r="C688" s="19" t="s">
        <v>1606</v>
      </c>
      <c r="D688" s="19" t="s">
        <v>1605</v>
      </c>
      <c r="E688" s="19" t="s">
        <v>66</v>
      </c>
      <c r="F688" s="8" t="s">
        <v>70</v>
      </c>
      <c r="G688" s="8" t="s">
        <v>69</v>
      </c>
      <c r="H688" s="19" t="s">
        <v>152</v>
      </c>
      <c r="I688" s="19" t="s">
        <v>1524</v>
      </c>
      <c r="J688" s="19" t="s">
        <v>331</v>
      </c>
    </row>
    <row r="689" ht="18" customHeight="1" outlineLevel="1" spans="1:10">
      <c r="A689" s="18"/>
      <c r="B689" s="18"/>
      <c r="C689" s="19">
        <f>SUBTOTAL(3,C647:C688)</f>
        <v>42</v>
      </c>
      <c r="D689" s="19"/>
      <c r="E689" s="19"/>
      <c r="F689" s="8"/>
      <c r="G689" s="8"/>
      <c r="H689" s="20" t="s">
        <v>1944</v>
      </c>
      <c r="I689" s="19"/>
      <c r="J689" s="19"/>
    </row>
    <row r="690" ht="18" customHeight="1" outlineLevel="2" spans="1:10">
      <c r="A690" s="18">
        <v>14</v>
      </c>
      <c r="B690" s="18">
        <v>32</v>
      </c>
      <c r="C690" s="19" t="s">
        <v>1608</v>
      </c>
      <c r="D690" s="19" t="s">
        <v>1607</v>
      </c>
      <c r="E690" s="19" t="s">
        <v>66</v>
      </c>
      <c r="F690" s="8" t="s">
        <v>70</v>
      </c>
      <c r="G690" s="8" t="s">
        <v>69</v>
      </c>
      <c r="H690" s="19" t="s">
        <v>153</v>
      </c>
      <c r="I690" s="19" t="s">
        <v>1609</v>
      </c>
      <c r="J690" s="7" t="s">
        <v>207</v>
      </c>
    </row>
    <row r="691" ht="18" customHeight="1" outlineLevel="2" spans="1:10">
      <c r="A691" s="18">
        <v>14</v>
      </c>
      <c r="B691" s="18">
        <v>42</v>
      </c>
      <c r="C691" s="19" t="s">
        <v>1611</v>
      </c>
      <c r="D691" s="19" t="s">
        <v>1610</v>
      </c>
      <c r="E691" s="19" t="s">
        <v>66</v>
      </c>
      <c r="F691" s="8" t="s">
        <v>70</v>
      </c>
      <c r="G691" s="8" t="s">
        <v>69</v>
      </c>
      <c r="H691" s="19" t="s">
        <v>153</v>
      </c>
      <c r="I691" s="19" t="s">
        <v>1609</v>
      </c>
      <c r="J691" s="7" t="s">
        <v>210</v>
      </c>
    </row>
    <row r="692" ht="18" customHeight="1" outlineLevel="2" spans="1:10">
      <c r="A692" s="18">
        <v>16</v>
      </c>
      <c r="B692" s="18">
        <v>36</v>
      </c>
      <c r="C692" s="19" t="s">
        <v>1613</v>
      </c>
      <c r="D692" s="19" t="s">
        <v>1612</v>
      </c>
      <c r="E692" s="19" t="s">
        <v>66</v>
      </c>
      <c r="F692" s="8" t="s">
        <v>70</v>
      </c>
      <c r="G692" s="8" t="s">
        <v>69</v>
      </c>
      <c r="H692" s="19" t="s">
        <v>153</v>
      </c>
      <c r="I692" s="19" t="s">
        <v>1609</v>
      </c>
      <c r="J692" s="7" t="s">
        <v>214</v>
      </c>
    </row>
    <row r="693" ht="18" customHeight="1" outlineLevel="2" spans="1:10">
      <c r="A693" s="18">
        <v>14</v>
      </c>
      <c r="B693" s="18">
        <v>12</v>
      </c>
      <c r="C693" s="19" t="s">
        <v>1615</v>
      </c>
      <c r="D693" s="19" t="s">
        <v>1614</v>
      </c>
      <c r="E693" s="19" t="s">
        <v>66</v>
      </c>
      <c r="F693" s="8" t="s">
        <v>70</v>
      </c>
      <c r="G693" s="8" t="s">
        <v>69</v>
      </c>
      <c r="H693" s="19" t="s">
        <v>153</v>
      </c>
      <c r="I693" s="19" t="s">
        <v>1609</v>
      </c>
      <c r="J693" s="7" t="s">
        <v>217</v>
      </c>
    </row>
    <row r="694" ht="18" customHeight="1" outlineLevel="2" spans="1:10">
      <c r="A694" s="18">
        <v>13</v>
      </c>
      <c r="B694" s="18">
        <v>21</v>
      </c>
      <c r="C694" s="19" t="s">
        <v>1617</v>
      </c>
      <c r="D694" s="19" t="s">
        <v>1616</v>
      </c>
      <c r="E694" s="19" t="s">
        <v>66</v>
      </c>
      <c r="F694" s="8" t="s">
        <v>70</v>
      </c>
      <c r="G694" s="8" t="s">
        <v>69</v>
      </c>
      <c r="H694" s="19" t="s">
        <v>153</v>
      </c>
      <c r="I694" s="19" t="s">
        <v>1609</v>
      </c>
      <c r="J694" s="7" t="s">
        <v>220</v>
      </c>
    </row>
    <row r="695" ht="18" customHeight="1" outlineLevel="2" spans="1:10">
      <c r="A695" s="18">
        <v>16</v>
      </c>
      <c r="B695" s="18">
        <v>24</v>
      </c>
      <c r="C695" s="19" t="s">
        <v>1619</v>
      </c>
      <c r="D695" s="19" t="s">
        <v>1618</v>
      </c>
      <c r="E695" s="19" t="s">
        <v>66</v>
      </c>
      <c r="F695" s="8" t="s">
        <v>70</v>
      </c>
      <c r="G695" s="8" t="s">
        <v>69</v>
      </c>
      <c r="H695" s="19" t="s">
        <v>153</v>
      </c>
      <c r="I695" s="19" t="s">
        <v>1609</v>
      </c>
      <c r="J695" s="7" t="s">
        <v>223</v>
      </c>
    </row>
    <row r="696" ht="18" customHeight="1" outlineLevel="2" spans="1:10">
      <c r="A696" s="18">
        <v>15</v>
      </c>
      <c r="B696" s="18">
        <v>19</v>
      </c>
      <c r="C696" s="19" t="s">
        <v>1621</v>
      </c>
      <c r="D696" s="19" t="s">
        <v>1620</v>
      </c>
      <c r="E696" s="19" t="s">
        <v>66</v>
      </c>
      <c r="F696" s="8" t="s">
        <v>70</v>
      </c>
      <c r="G696" s="8" t="s">
        <v>69</v>
      </c>
      <c r="H696" s="19" t="s">
        <v>153</v>
      </c>
      <c r="I696" s="19" t="s">
        <v>1609</v>
      </c>
      <c r="J696" s="7" t="s">
        <v>226</v>
      </c>
    </row>
    <row r="697" ht="18" customHeight="1" outlineLevel="2" spans="1:10">
      <c r="A697" s="18">
        <v>15</v>
      </c>
      <c r="B697" s="18">
        <v>14</v>
      </c>
      <c r="C697" s="19" t="s">
        <v>1623</v>
      </c>
      <c r="D697" s="19" t="s">
        <v>1622</v>
      </c>
      <c r="E697" s="19" t="s">
        <v>66</v>
      </c>
      <c r="F697" s="8" t="s">
        <v>70</v>
      </c>
      <c r="G697" s="8" t="s">
        <v>69</v>
      </c>
      <c r="H697" s="19" t="s">
        <v>153</v>
      </c>
      <c r="I697" s="19" t="s">
        <v>1609</v>
      </c>
      <c r="J697" s="7" t="s">
        <v>229</v>
      </c>
    </row>
    <row r="698" ht="18" customHeight="1" outlineLevel="2" spans="1:10">
      <c r="A698" s="18">
        <v>13</v>
      </c>
      <c r="B698" s="18">
        <v>45</v>
      </c>
      <c r="C698" s="19" t="s">
        <v>1625</v>
      </c>
      <c r="D698" s="19" t="s">
        <v>1624</v>
      </c>
      <c r="E698" s="19" t="s">
        <v>66</v>
      </c>
      <c r="F698" s="8" t="s">
        <v>70</v>
      </c>
      <c r="G698" s="8" t="s">
        <v>69</v>
      </c>
      <c r="H698" s="19" t="s">
        <v>153</v>
      </c>
      <c r="I698" s="19" t="s">
        <v>1609</v>
      </c>
      <c r="J698" s="7" t="s">
        <v>232</v>
      </c>
    </row>
    <row r="699" ht="18" customHeight="1" outlineLevel="2" spans="1:10">
      <c r="A699" s="18">
        <v>16</v>
      </c>
      <c r="B699" s="18">
        <v>12</v>
      </c>
      <c r="C699" s="19" t="s">
        <v>1627</v>
      </c>
      <c r="D699" s="19" t="s">
        <v>1626</v>
      </c>
      <c r="E699" s="19" t="s">
        <v>66</v>
      </c>
      <c r="F699" s="8" t="s">
        <v>70</v>
      </c>
      <c r="G699" s="8" t="s">
        <v>69</v>
      </c>
      <c r="H699" s="19" t="s">
        <v>153</v>
      </c>
      <c r="I699" s="19" t="s">
        <v>1609</v>
      </c>
      <c r="J699" s="7" t="s">
        <v>235</v>
      </c>
    </row>
    <row r="700" ht="18" customHeight="1" outlineLevel="2" spans="1:10">
      <c r="A700" s="18">
        <v>16</v>
      </c>
      <c r="B700" s="18">
        <v>27</v>
      </c>
      <c r="C700" s="19" t="s">
        <v>1629</v>
      </c>
      <c r="D700" s="19" t="s">
        <v>1628</v>
      </c>
      <c r="E700" s="19" t="s">
        <v>66</v>
      </c>
      <c r="F700" s="8" t="s">
        <v>70</v>
      </c>
      <c r="G700" s="8" t="s">
        <v>69</v>
      </c>
      <c r="H700" s="19" t="s">
        <v>153</v>
      </c>
      <c r="I700" s="19" t="s">
        <v>1609</v>
      </c>
      <c r="J700" s="7" t="s">
        <v>238</v>
      </c>
    </row>
    <row r="701" ht="18" customHeight="1" outlineLevel="2" spans="1:10">
      <c r="A701" s="18">
        <v>15</v>
      </c>
      <c r="B701" s="18">
        <v>7</v>
      </c>
      <c r="C701" s="19" t="s">
        <v>1631</v>
      </c>
      <c r="D701" s="19" t="s">
        <v>1630</v>
      </c>
      <c r="E701" s="19" t="s">
        <v>66</v>
      </c>
      <c r="F701" s="8" t="s">
        <v>70</v>
      </c>
      <c r="G701" s="8" t="s">
        <v>69</v>
      </c>
      <c r="H701" s="19" t="s">
        <v>153</v>
      </c>
      <c r="I701" s="19" t="s">
        <v>1609</v>
      </c>
      <c r="J701" s="7" t="s">
        <v>241</v>
      </c>
    </row>
    <row r="702" ht="18" customHeight="1" outlineLevel="2" spans="1:10">
      <c r="A702" s="18">
        <v>13</v>
      </c>
      <c r="B702" s="18">
        <v>48</v>
      </c>
      <c r="C702" s="19" t="s">
        <v>1633</v>
      </c>
      <c r="D702" s="19" t="s">
        <v>1632</v>
      </c>
      <c r="E702" s="19" t="s">
        <v>66</v>
      </c>
      <c r="F702" s="8" t="s">
        <v>70</v>
      </c>
      <c r="G702" s="8" t="s">
        <v>69</v>
      </c>
      <c r="H702" s="19" t="s">
        <v>153</v>
      </c>
      <c r="I702" s="19" t="s">
        <v>1609</v>
      </c>
      <c r="J702" s="7" t="s">
        <v>244</v>
      </c>
    </row>
    <row r="703" ht="18" customHeight="1" outlineLevel="2" spans="1:10">
      <c r="A703" s="18">
        <v>14</v>
      </c>
      <c r="B703" s="18">
        <v>48</v>
      </c>
      <c r="C703" s="19" t="s">
        <v>1635</v>
      </c>
      <c r="D703" s="19" t="s">
        <v>1634</v>
      </c>
      <c r="E703" s="19" t="s">
        <v>66</v>
      </c>
      <c r="F703" s="8" t="s">
        <v>70</v>
      </c>
      <c r="G703" s="8" t="s">
        <v>69</v>
      </c>
      <c r="H703" s="19" t="s">
        <v>153</v>
      </c>
      <c r="I703" s="19" t="s">
        <v>1609</v>
      </c>
      <c r="J703" s="7" t="s">
        <v>247</v>
      </c>
    </row>
    <row r="704" ht="18" customHeight="1" outlineLevel="2" spans="1:10">
      <c r="A704" s="18">
        <v>14</v>
      </c>
      <c r="B704" s="18">
        <v>13</v>
      </c>
      <c r="C704" s="19" t="s">
        <v>1637</v>
      </c>
      <c r="D704" s="19" t="s">
        <v>1636</v>
      </c>
      <c r="E704" s="19" t="s">
        <v>66</v>
      </c>
      <c r="F704" s="8" t="s">
        <v>70</v>
      </c>
      <c r="G704" s="8" t="s">
        <v>69</v>
      </c>
      <c r="H704" s="19" t="s">
        <v>153</v>
      </c>
      <c r="I704" s="19" t="s">
        <v>1609</v>
      </c>
      <c r="J704" s="7" t="s">
        <v>250</v>
      </c>
    </row>
    <row r="705" ht="18" customHeight="1" outlineLevel="2" spans="1:10">
      <c r="A705" s="18">
        <v>16</v>
      </c>
      <c r="B705" s="18">
        <v>25</v>
      </c>
      <c r="C705" s="19" t="s">
        <v>1639</v>
      </c>
      <c r="D705" s="19" t="s">
        <v>1638</v>
      </c>
      <c r="E705" s="19" t="s">
        <v>66</v>
      </c>
      <c r="F705" s="8" t="s">
        <v>70</v>
      </c>
      <c r="G705" s="8" t="s">
        <v>69</v>
      </c>
      <c r="H705" s="19" t="s">
        <v>153</v>
      </c>
      <c r="I705" s="19" t="s">
        <v>1609</v>
      </c>
      <c r="J705" s="7" t="s">
        <v>253</v>
      </c>
    </row>
    <row r="706" ht="18" customHeight="1" outlineLevel="2" spans="1:10">
      <c r="A706" s="18">
        <v>15</v>
      </c>
      <c r="B706" s="18">
        <v>27</v>
      </c>
      <c r="C706" s="19" t="s">
        <v>1641</v>
      </c>
      <c r="D706" s="19" t="s">
        <v>1640</v>
      </c>
      <c r="E706" s="19" t="s">
        <v>66</v>
      </c>
      <c r="F706" s="8" t="s">
        <v>70</v>
      </c>
      <c r="G706" s="8" t="s">
        <v>69</v>
      </c>
      <c r="H706" s="19" t="s">
        <v>153</v>
      </c>
      <c r="I706" s="19" t="s">
        <v>1609</v>
      </c>
      <c r="J706" s="7" t="s">
        <v>256</v>
      </c>
    </row>
    <row r="707" ht="18" customHeight="1" outlineLevel="2" spans="1:10">
      <c r="A707" s="18">
        <v>16</v>
      </c>
      <c r="B707" s="18">
        <v>38</v>
      </c>
      <c r="C707" s="19" t="s">
        <v>1643</v>
      </c>
      <c r="D707" s="19" t="s">
        <v>1642</v>
      </c>
      <c r="E707" s="19" t="s">
        <v>66</v>
      </c>
      <c r="F707" s="8" t="s">
        <v>70</v>
      </c>
      <c r="G707" s="8" t="s">
        <v>69</v>
      </c>
      <c r="H707" s="19" t="s">
        <v>153</v>
      </c>
      <c r="I707" s="19" t="s">
        <v>1609</v>
      </c>
      <c r="J707" s="7" t="s">
        <v>259</v>
      </c>
    </row>
    <row r="708" ht="18" customHeight="1" outlineLevel="2" spans="1:10">
      <c r="A708" s="18">
        <v>15</v>
      </c>
      <c r="B708" s="18">
        <v>22</v>
      </c>
      <c r="C708" s="19" t="s">
        <v>1645</v>
      </c>
      <c r="D708" s="19" t="s">
        <v>1644</v>
      </c>
      <c r="E708" s="19" t="s">
        <v>66</v>
      </c>
      <c r="F708" s="8" t="s">
        <v>70</v>
      </c>
      <c r="G708" s="8" t="s">
        <v>69</v>
      </c>
      <c r="H708" s="19" t="s">
        <v>153</v>
      </c>
      <c r="I708" s="19" t="s">
        <v>1609</v>
      </c>
      <c r="J708" s="7" t="s">
        <v>262</v>
      </c>
    </row>
    <row r="709" ht="18" customHeight="1" outlineLevel="2" spans="1:10">
      <c r="A709" s="18">
        <v>16</v>
      </c>
      <c r="B709" s="18">
        <v>41</v>
      </c>
      <c r="C709" s="19" t="s">
        <v>1647</v>
      </c>
      <c r="D709" s="19" t="s">
        <v>1646</v>
      </c>
      <c r="E709" s="19" t="s">
        <v>66</v>
      </c>
      <c r="F709" s="8" t="s">
        <v>70</v>
      </c>
      <c r="G709" s="8" t="s">
        <v>69</v>
      </c>
      <c r="H709" s="19" t="s">
        <v>153</v>
      </c>
      <c r="I709" s="19" t="s">
        <v>1609</v>
      </c>
      <c r="J709" s="7" t="s">
        <v>265</v>
      </c>
    </row>
    <row r="710" ht="18" customHeight="1" outlineLevel="2" spans="1:10">
      <c r="A710" s="18">
        <v>13</v>
      </c>
      <c r="B710" s="18">
        <v>39</v>
      </c>
      <c r="C710" s="19" t="s">
        <v>1649</v>
      </c>
      <c r="D710" s="19" t="s">
        <v>1648</v>
      </c>
      <c r="E710" s="19" t="s">
        <v>66</v>
      </c>
      <c r="F710" s="8" t="s">
        <v>70</v>
      </c>
      <c r="G710" s="8" t="s">
        <v>69</v>
      </c>
      <c r="H710" s="19" t="s">
        <v>153</v>
      </c>
      <c r="I710" s="19" t="s">
        <v>1609</v>
      </c>
      <c r="J710" s="7" t="s">
        <v>268</v>
      </c>
    </row>
    <row r="711" ht="18" customHeight="1" outlineLevel="2" spans="1:10">
      <c r="A711" s="18">
        <v>13</v>
      </c>
      <c r="B711" s="18">
        <v>19</v>
      </c>
      <c r="C711" s="19" t="s">
        <v>1651</v>
      </c>
      <c r="D711" s="19" t="s">
        <v>1650</v>
      </c>
      <c r="E711" s="19" t="s">
        <v>66</v>
      </c>
      <c r="F711" s="8" t="s">
        <v>70</v>
      </c>
      <c r="G711" s="8" t="s">
        <v>69</v>
      </c>
      <c r="H711" s="19" t="s">
        <v>153</v>
      </c>
      <c r="I711" s="19" t="s">
        <v>1609</v>
      </c>
      <c r="J711" s="7" t="s">
        <v>271</v>
      </c>
    </row>
    <row r="712" ht="18" customHeight="1" outlineLevel="2" spans="1:10">
      <c r="A712" s="18">
        <v>16</v>
      </c>
      <c r="B712" s="18">
        <v>23</v>
      </c>
      <c r="C712" s="19" t="s">
        <v>1653</v>
      </c>
      <c r="D712" s="19" t="s">
        <v>1652</v>
      </c>
      <c r="E712" s="19" t="s">
        <v>66</v>
      </c>
      <c r="F712" s="8" t="s">
        <v>70</v>
      </c>
      <c r="G712" s="8" t="s">
        <v>69</v>
      </c>
      <c r="H712" s="19" t="s">
        <v>153</v>
      </c>
      <c r="I712" s="19" t="s">
        <v>1609</v>
      </c>
      <c r="J712" s="7" t="s">
        <v>274</v>
      </c>
    </row>
    <row r="713" ht="18" customHeight="1" outlineLevel="2" spans="1:10">
      <c r="A713" s="18">
        <v>14</v>
      </c>
      <c r="B713" s="18">
        <v>44</v>
      </c>
      <c r="C713" s="19" t="s">
        <v>1655</v>
      </c>
      <c r="D713" s="19" t="s">
        <v>1654</v>
      </c>
      <c r="E713" s="19" t="s">
        <v>66</v>
      </c>
      <c r="F713" s="8" t="s">
        <v>70</v>
      </c>
      <c r="G713" s="8" t="s">
        <v>69</v>
      </c>
      <c r="H713" s="19" t="s">
        <v>153</v>
      </c>
      <c r="I713" s="19" t="s">
        <v>1609</v>
      </c>
      <c r="J713" s="7" t="s">
        <v>277</v>
      </c>
    </row>
    <row r="714" ht="18" customHeight="1" outlineLevel="2" spans="1:10">
      <c r="A714" s="18">
        <v>13</v>
      </c>
      <c r="B714" s="18">
        <v>7</v>
      </c>
      <c r="C714" s="19" t="s">
        <v>1657</v>
      </c>
      <c r="D714" s="19" t="s">
        <v>1656</v>
      </c>
      <c r="E714" s="19" t="s">
        <v>66</v>
      </c>
      <c r="F714" s="8" t="s">
        <v>70</v>
      </c>
      <c r="G714" s="8" t="s">
        <v>69</v>
      </c>
      <c r="H714" s="19" t="s">
        <v>153</v>
      </c>
      <c r="I714" s="19" t="s">
        <v>1609</v>
      </c>
      <c r="J714" s="7" t="s">
        <v>280</v>
      </c>
    </row>
    <row r="715" ht="18" customHeight="1" outlineLevel="2" spans="1:10">
      <c r="A715" s="18">
        <v>16</v>
      </c>
      <c r="B715" s="18">
        <v>20</v>
      </c>
      <c r="C715" s="19" t="s">
        <v>1659</v>
      </c>
      <c r="D715" s="19" t="s">
        <v>1658</v>
      </c>
      <c r="E715" s="19" t="s">
        <v>66</v>
      </c>
      <c r="F715" s="8" t="s">
        <v>70</v>
      </c>
      <c r="G715" s="8" t="s">
        <v>69</v>
      </c>
      <c r="H715" s="19" t="s">
        <v>153</v>
      </c>
      <c r="I715" s="19" t="s">
        <v>1609</v>
      </c>
      <c r="J715" s="7" t="s">
        <v>283</v>
      </c>
    </row>
    <row r="716" ht="18" customHeight="1" outlineLevel="2" spans="1:10">
      <c r="A716" s="18">
        <v>15</v>
      </c>
      <c r="B716" s="18">
        <v>35</v>
      </c>
      <c r="C716" s="19" t="s">
        <v>1661</v>
      </c>
      <c r="D716" s="19" t="s">
        <v>1660</v>
      </c>
      <c r="E716" s="19" t="s">
        <v>66</v>
      </c>
      <c r="F716" s="8" t="s">
        <v>70</v>
      </c>
      <c r="G716" s="8" t="s">
        <v>69</v>
      </c>
      <c r="H716" s="19" t="s">
        <v>153</v>
      </c>
      <c r="I716" s="19" t="s">
        <v>1609</v>
      </c>
      <c r="J716" s="7" t="s">
        <v>286</v>
      </c>
    </row>
    <row r="717" ht="18" customHeight="1" outlineLevel="2" spans="1:10">
      <c r="A717" s="18">
        <v>15</v>
      </c>
      <c r="B717" s="18">
        <v>13</v>
      </c>
      <c r="C717" s="19" t="s">
        <v>1663</v>
      </c>
      <c r="D717" s="19" t="s">
        <v>1662</v>
      </c>
      <c r="E717" s="19" t="s">
        <v>66</v>
      </c>
      <c r="F717" s="8" t="s">
        <v>70</v>
      </c>
      <c r="G717" s="8" t="s">
        <v>69</v>
      </c>
      <c r="H717" s="19" t="s">
        <v>153</v>
      </c>
      <c r="I717" s="19" t="s">
        <v>1609</v>
      </c>
      <c r="J717" s="7" t="s">
        <v>289</v>
      </c>
    </row>
    <row r="718" ht="18" customHeight="1" outlineLevel="2" spans="1:10">
      <c r="A718" s="18">
        <v>16</v>
      </c>
      <c r="B718" s="18">
        <v>33</v>
      </c>
      <c r="C718" s="19" t="s">
        <v>1665</v>
      </c>
      <c r="D718" s="19" t="s">
        <v>1664</v>
      </c>
      <c r="E718" s="19" t="s">
        <v>66</v>
      </c>
      <c r="F718" s="8" t="s">
        <v>70</v>
      </c>
      <c r="G718" s="8" t="s">
        <v>69</v>
      </c>
      <c r="H718" s="19" t="s">
        <v>153</v>
      </c>
      <c r="I718" s="19" t="s">
        <v>1609</v>
      </c>
      <c r="J718" s="7" t="s">
        <v>292</v>
      </c>
    </row>
    <row r="719" ht="18" customHeight="1" outlineLevel="2" spans="1:10">
      <c r="A719" s="18">
        <v>13</v>
      </c>
      <c r="B719" s="18">
        <v>41</v>
      </c>
      <c r="C719" s="19" t="s">
        <v>1667</v>
      </c>
      <c r="D719" s="19" t="s">
        <v>1666</v>
      </c>
      <c r="E719" s="19" t="s">
        <v>66</v>
      </c>
      <c r="F719" s="8" t="s">
        <v>70</v>
      </c>
      <c r="G719" s="8" t="s">
        <v>69</v>
      </c>
      <c r="H719" s="19" t="s">
        <v>153</v>
      </c>
      <c r="I719" s="19" t="s">
        <v>1609</v>
      </c>
      <c r="J719" s="7" t="s">
        <v>295</v>
      </c>
    </row>
    <row r="720" ht="18" customHeight="1" outlineLevel="2" spans="1:10">
      <c r="A720" s="18">
        <v>15</v>
      </c>
      <c r="B720" s="18">
        <v>6</v>
      </c>
      <c r="C720" s="19" t="s">
        <v>1669</v>
      </c>
      <c r="D720" s="19" t="s">
        <v>1668</v>
      </c>
      <c r="E720" s="19" t="s">
        <v>66</v>
      </c>
      <c r="F720" s="8" t="s">
        <v>70</v>
      </c>
      <c r="G720" s="8" t="s">
        <v>69</v>
      </c>
      <c r="H720" s="19" t="s">
        <v>153</v>
      </c>
      <c r="I720" s="19" t="s">
        <v>1609</v>
      </c>
      <c r="J720" s="7" t="s">
        <v>298</v>
      </c>
    </row>
    <row r="721" ht="18" customHeight="1" outlineLevel="2" spans="1:10">
      <c r="A721" s="18">
        <v>16</v>
      </c>
      <c r="B721" s="18">
        <v>34</v>
      </c>
      <c r="C721" s="19" t="s">
        <v>1671</v>
      </c>
      <c r="D721" s="19" t="s">
        <v>1670</v>
      </c>
      <c r="E721" s="19" t="s">
        <v>66</v>
      </c>
      <c r="F721" s="8" t="s">
        <v>70</v>
      </c>
      <c r="G721" s="8" t="s">
        <v>69</v>
      </c>
      <c r="H721" s="19" t="s">
        <v>153</v>
      </c>
      <c r="I721" s="19" t="s">
        <v>1609</v>
      </c>
      <c r="J721" s="7" t="s">
        <v>301</v>
      </c>
    </row>
    <row r="722" ht="18" customHeight="1" outlineLevel="2" spans="1:10">
      <c r="A722" s="18">
        <v>13</v>
      </c>
      <c r="B722" s="18">
        <v>35</v>
      </c>
      <c r="C722" s="19" t="s">
        <v>1673</v>
      </c>
      <c r="D722" s="19" t="s">
        <v>1672</v>
      </c>
      <c r="E722" s="19" t="s">
        <v>66</v>
      </c>
      <c r="F722" s="8" t="s">
        <v>70</v>
      </c>
      <c r="G722" s="8" t="s">
        <v>69</v>
      </c>
      <c r="H722" s="19" t="s">
        <v>153</v>
      </c>
      <c r="I722" s="19" t="s">
        <v>1609</v>
      </c>
      <c r="J722" s="7" t="s">
        <v>304</v>
      </c>
    </row>
    <row r="723" ht="18" customHeight="1" outlineLevel="2" spans="1:10">
      <c r="A723" s="18">
        <v>16</v>
      </c>
      <c r="B723" s="18">
        <v>5</v>
      </c>
      <c r="C723" s="19" t="s">
        <v>1675</v>
      </c>
      <c r="D723" s="19" t="s">
        <v>1674</v>
      </c>
      <c r="E723" s="19" t="s">
        <v>66</v>
      </c>
      <c r="F723" s="8" t="s">
        <v>70</v>
      </c>
      <c r="G723" s="8" t="s">
        <v>69</v>
      </c>
      <c r="H723" s="19" t="s">
        <v>153</v>
      </c>
      <c r="I723" s="19" t="s">
        <v>1609</v>
      </c>
      <c r="J723" s="7" t="s">
        <v>307</v>
      </c>
    </row>
    <row r="724" ht="18" customHeight="1" outlineLevel="2" spans="1:10">
      <c r="A724" s="18">
        <v>15</v>
      </c>
      <c r="B724" s="18">
        <v>17</v>
      </c>
      <c r="C724" s="19" t="s">
        <v>1677</v>
      </c>
      <c r="D724" s="19" t="s">
        <v>1676</v>
      </c>
      <c r="E724" s="19" t="s">
        <v>66</v>
      </c>
      <c r="F724" s="8" t="s">
        <v>70</v>
      </c>
      <c r="G724" s="8" t="s">
        <v>69</v>
      </c>
      <c r="H724" s="19" t="s">
        <v>153</v>
      </c>
      <c r="I724" s="19" t="s">
        <v>1609</v>
      </c>
      <c r="J724" s="7" t="s">
        <v>310</v>
      </c>
    </row>
    <row r="725" ht="18" customHeight="1" outlineLevel="2" spans="1:10">
      <c r="A725" s="18">
        <v>13</v>
      </c>
      <c r="B725" s="18">
        <v>44</v>
      </c>
      <c r="C725" s="19" t="s">
        <v>1679</v>
      </c>
      <c r="D725" s="19" t="s">
        <v>1678</v>
      </c>
      <c r="E725" s="19" t="s">
        <v>66</v>
      </c>
      <c r="F725" s="8" t="s">
        <v>70</v>
      </c>
      <c r="G725" s="8" t="s">
        <v>69</v>
      </c>
      <c r="H725" s="19" t="s">
        <v>153</v>
      </c>
      <c r="I725" s="19" t="s">
        <v>1609</v>
      </c>
      <c r="J725" s="7" t="s">
        <v>313</v>
      </c>
    </row>
    <row r="726" ht="18" customHeight="1" outlineLevel="2" spans="1:10">
      <c r="A726" s="18">
        <v>16</v>
      </c>
      <c r="B726" s="18">
        <v>15</v>
      </c>
      <c r="C726" s="19" t="s">
        <v>1681</v>
      </c>
      <c r="D726" s="19" t="s">
        <v>1680</v>
      </c>
      <c r="E726" s="19" t="s">
        <v>66</v>
      </c>
      <c r="F726" s="8" t="s">
        <v>70</v>
      </c>
      <c r="G726" s="8" t="s">
        <v>69</v>
      </c>
      <c r="H726" s="19" t="s">
        <v>153</v>
      </c>
      <c r="I726" s="19" t="s">
        <v>1609</v>
      </c>
      <c r="J726" s="7" t="s">
        <v>316</v>
      </c>
    </row>
    <row r="727" ht="18" customHeight="1" outlineLevel="2" spans="1:10">
      <c r="A727" s="18">
        <v>16</v>
      </c>
      <c r="B727" s="18">
        <v>6</v>
      </c>
      <c r="C727" s="19" t="s">
        <v>1683</v>
      </c>
      <c r="D727" s="19" t="s">
        <v>1682</v>
      </c>
      <c r="E727" s="19" t="s">
        <v>66</v>
      </c>
      <c r="F727" s="8" t="s">
        <v>70</v>
      </c>
      <c r="G727" s="8" t="s">
        <v>69</v>
      </c>
      <c r="H727" s="19" t="s">
        <v>153</v>
      </c>
      <c r="I727" s="19" t="s">
        <v>1609</v>
      </c>
      <c r="J727" s="7" t="s">
        <v>319</v>
      </c>
    </row>
    <row r="728" ht="18" customHeight="1" outlineLevel="2" spans="1:10">
      <c r="A728" s="18">
        <v>16</v>
      </c>
      <c r="B728" s="18">
        <v>32</v>
      </c>
      <c r="C728" s="19" t="s">
        <v>1685</v>
      </c>
      <c r="D728" s="19" t="s">
        <v>1684</v>
      </c>
      <c r="E728" s="19" t="s">
        <v>66</v>
      </c>
      <c r="F728" s="8" t="s">
        <v>70</v>
      </c>
      <c r="G728" s="8" t="s">
        <v>69</v>
      </c>
      <c r="H728" s="19" t="s">
        <v>153</v>
      </c>
      <c r="I728" s="19" t="s">
        <v>1609</v>
      </c>
      <c r="J728" s="7" t="s">
        <v>322</v>
      </c>
    </row>
    <row r="729" ht="18" customHeight="1" outlineLevel="2" spans="1:10">
      <c r="A729" s="18">
        <v>15</v>
      </c>
      <c r="B729" s="18">
        <v>29</v>
      </c>
      <c r="C729" s="19" t="s">
        <v>1687</v>
      </c>
      <c r="D729" s="19" t="s">
        <v>1686</v>
      </c>
      <c r="E729" s="19" t="s">
        <v>66</v>
      </c>
      <c r="F729" s="8" t="s">
        <v>70</v>
      </c>
      <c r="G729" s="8" t="s">
        <v>69</v>
      </c>
      <c r="H729" s="19" t="s">
        <v>153</v>
      </c>
      <c r="I729" s="19" t="s">
        <v>1609</v>
      </c>
      <c r="J729" s="7" t="s">
        <v>325</v>
      </c>
    </row>
    <row r="730" ht="18" customHeight="1" outlineLevel="2" spans="1:10">
      <c r="A730" s="18">
        <v>14</v>
      </c>
      <c r="B730" s="18">
        <v>20</v>
      </c>
      <c r="C730" s="19" t="s">
        <v>1689</v>
      </c>
      <c r="D730" s="19" t="s">
        <v>1688</v>
      </c>
      <c r="E730" s="19" t="s">
        <v>66</v>
      </c>
      <c r="F730" s="8" t="s">
        <v>70</v>
      </c>
      <c r="G730" s="8" t="s">
        <v>69</v>
      </c>
      <c r="H730" s="19" t="s">
        <v>153</v>
      </c>
      <c r="I730" s="19" t="s">
        <v>1609</v>
      </c>
      <c r="J730" s="7" t="s">
        <v>328</v>
      </c>
    </row>
    <row r="731" ht="18" customHeight="1" outlineLevel="2" spans="1:10">
      <c r="A731" s="18">
        <v>14</v>
      </c>
      <c r="B731" s="18">
        <v>36</v>
      </c>
      <c r="C731" s="19" t="s">
        <v>1691</v>
      </c>
      <c r="D731" s="19" t="s">
        <v>1690</v>
      </c>
      <c r="E731" s="19" t="s">
        <v>66</v>
      </c>
      <c r="F731" s="8" t="s">
        <v>70</v>
      </c>
      <c r="G731" s="8" t="s">
        <v>69</v>
      </c>
      <c r="H731" s="7" t="s">
        <v>153</v>
      </c>
      <c r="I731" s="19" t="s">
        <v>1609</v>
      </c>
      <c r="J731" s="7" t="s">
        <v>331</v>
      </c>
    </row>
    <row r="732" ht="18" customHeight="1" outlineLevel="1" spans="1:10">
      <c r="A732" s="18"/>
      <c r="B732" s="18"/>
      <c r="C732" s="19">
        <f>SUBTOTAL(3,C690:C731)</f>
        <v>42</v>
      </c>
      <c r="D732" s="19"/>
      <c r="E732" s="19"/>
      <c r="F732" s="8"/>
      <c r="G732" s="8"/>
      <c r="H732" s="17" t="s">
        <v>1945</v>
      </c>
      <c r="I732" s="19"/>
      <c r="J732" s="7"/>
    </row>
    <row r="733" ht="18" customHeight="1" outlineLevel="2" spans="1:10">
      <c r="A733" s="18">
        <v>13</v>
      </c>
      <c r="B733" s="18">
        <v>25</v>
      </c>
      <c r="C733" s="19" t="s">
        <v>1693</v>
      </c>
      <c r="D733" s="19" t="s">
        <v>1692</v>
      </c>
      <c r="E733" s="19" t="s">
        <v>66</v>
      </c>
      <c r="F733" s="8" t="s">
        <v>70</v>
      </c>
      <c r="G733" s="8" t="s">
        <v>69</v>
      </c>
      <c r="H733" s="7" t="s">
        <v>154</v>
      </c>
      <c r="I733" s="19" t="s">
        <v>1694</v>
      </c>
      <c r="J733" s="7" t="s">
        <v>207</v>
      </c>
    </row>
    <row r="734" ht="18" customHeight="1" outlineLevel="2" spans="1:10">
      <c r="A734" s="18">
        <v>14</v>
      </c>
      <c r="B734" s="18">
        <v>10</v>
      </c>
      <c r="C734" s="19" t="s">
        <v>1696</v>
      </c>
      <c r="D734" s="19" t="s">
        <v>1695</v>
      </c>
      <c r="E734" s="19" t="s">
        <v>66</v>
      </c>
      <c r="F734" s="8" t="s">
        <v>70</v>
      </c>
      <c r="G734" s="8" t="s">
        <v>69</v>
      </c>
      <c r="H734" s="7" t="s">
        <v>154</v>
      </c>
      <c r="I734" s="19" t="s">
        <v>1694</v>
      </c>
      <c r="J734" s="7" t="s">
        <v>210</v>
      </c>
    </row>
    <row r="735" ht="18" customHeight="1" outlineLevel="2" spans="1:10">
      <c r="A735" s="18">
        <v>15</v>
      </c>
      <c r="B735" s="18">
        <v>9</v>
      </c>
      <c r="C735" s="19" t="s">
        <v>1698</v>
      </c>
      <c r="D735" s="19" t="s">
        <v>1697</v>
      </c>
      <c r="E735" s="19" t="s">
        <v>66</v>
      </c>
      <c r="F735" s="8" t="s">
        <v>70</v>
      </c>
      <c r="G735" s="8" t="s">
        <v>69</v>
      </c>
      <c r="H735" s="7" t="s">
        <v>154</v>
      </c>
      <c r="I735" s="19" t="s">
        <v>1694</v>
      </c>
      <c r="J735" s="7" t="s">
        <v>214</v>
      </c>
    </row>
    <row r="736" ht="18" customHeight="1" outlineLevel="2" spans="1:10">
      <c r="A736" s="18">
        <v>15</v>
      </c>
      <c r="B736" s="18">
        <v>46</v>
      </c>
      <c r="C736" s="19" t="s">
        <v>1700</v>
      </c>
      <c r="D736" s="19" t="s">
        <v>1699</v>
      </c>
      <c r="E736" s="19" t="s">
        <v>66</v>
      </c>
      <c r="F736" s="8" t="s">
        <v>70</v>
      </c>
      <c r="G736" s="8" t="s">
        <v>69</v>
      </c>
      <c r="H736" s="7" t="s">
        <v>154</v>
      </c>
      <c r="I736" s="19" t="s">
        <v>1694</v>
      </c>
      <c r="J736" s="7" t="s">
        <v>217</v>
      </c>
    </row>
    <row r="737" ht="18" customHeight="1" outlineLevel="2" spans="1:10">
      <c r="A737" s="18">
        <v>14</v>
      </c>
      <c r="B737" s="18">
        <v>23</v>
      </c>
      <c r="C737" s="19" t="s">
        <v>1702</v>
      </c>
      <c r="D737" s="19" t="s">
        <v>1701</v>
      </c>
      <c r="E737" s="19" t="s">
        <v>66</v>
      </c>
      <c r="F737" s="8" t="s">
        <v>70</v>
      </c>
      <c r="G737" s="8" t="s">
        <v>69</v>
      </c>
      <c r="H737" s="7" t="s">
        <v>154</v>
      </c>
      <c r="I737" s="19" t="s">
        <v>1694</v>
      </c>
      <c r="J737" s="7" t="s">
        <v>220</v>
      </c>
    </row>
    <row r="738" ht="18" customHeight="1" outlineLevel="2" spans="1:10">
      <c r="A738" s="18">
        <v>13</v>
      </c>
      <c r="B738" s="18">
        <v>34</v>
      </c>
      <c r="C738" s="19" t="s">
        <v>1704</v>
      </c>
      <c r="D738" s="19" t="s">
        <v>1703</v>
      </c>
      <c r="E738" s="19" t="s">
        <v>66</v>
      </c>
      <c r="F738" s="8" t="s">
        <v>70</v>
      </c>
      <c r="G738" s="8" t="s">
        <v>69</v>
      </c>
      <c r="H738" s="7" t="s">
        <v>154</v>
      </c>
      <c r="I738" s="19" t="s">
        <v>1694</v>
      </c>
      <c r="J738" s="7" t="s">
        <v>223</v>
      </c>
    </row>
    <row r="739" ht="18" customHeight="1" outlineLevel="2" spans="1:10">
      <c r="A739" s="18">
        <v>14</v>
      </c>
      <c r="B739" s="18">
        <v>7</v>
      </c>
      <c r="C739" s="19" t="s">
        <v>1706</v>
      </c>
      <c r="D739" s="19" t="s">
        <v>1705</v>
      </c>
      <c r="E739" s="19" t="s">
        <v>66</v>
      </c>
      <c r="F739" s="8" t="s">
        <v>70</v>
      </c>
      <c r="G739" s="8" t="s">
        <v>69</v>
      </c>
      <c r="H739" s="7" t="s">
        <v>154</v>
      </c>
      <c r="I739" s="19" t="s">
        <v>1694</v>
      </c>
      <c r="J739" s="7" t="s">
        <v>226</v>
      </c>
    </row>
    <row r="740" ht="18" customHeight="1" outlineLevel="2" spans="1:10">
      <c r="A740" s="18">
        <v>14</v>
      </c>
      <c r="B740" s="18">
        <v>15</v>
      </c>
      <c r="C740" s="19" t="s">
        <v>1708</v>
      </c>
      <c r="D740" s="19" t="s">
        <v>1707</v>
      </c>
      <c r="E740" s="19" t="s">
        <v>66</v>
      </c>
      <c r="F740" s="8" t="s">
        <v>70</v>
      </c>
      <c r="G740" s="8" t="s">
        <v>69</v>
      </c>
      <c r="H740" s="7" t="s">
        <v>154</v>
      </c>
      <c r="I740" s="19" t="s">
        <v>1694</v>
      </c>
      <c r="J740" s="7" t="s">
        <v>229</v>
      </c>
    </row>
    <row r="741" ht="18" customHeight="1" outlineLevel="2" spans="1:10">
      <c r="A741" s="18">
        <v>15</v>
      </c>
      <c r="B741" s="18">
        <v>42</v>
      </c>
      <c r="C741" s="19" t="s">
        <v>1710</v>
      </c>
      <c r="D741" s="19" t="s">
        <v>1709</v>
      </c>
      <c r="E741" s="19" t="s">
        <v>66</v>
      </c>
      <c r="F741" s="8" t="s">
        <v>70</v>
      </c>
      <c r="G741" s="8" t="s">
        <v>69</v>
      </c>
      <c r="H741" s="7" t="s">
        <v>154</v>
      </c>
      <c r="I741" s="19" t="s">
        <v>1694</v>
      </c>
      <c r="J741" s="7" t="s">
        <v>232</v>
      </c>
    </row>
    <row r="742" ht="18" customHeight="1" outlineLevel="2" spans="1:10">
      <c r="A742" s="18">
        <v>14</v>
      </c>
      <c r="B742" s="18">
        <v>19</v>
      </c>
      <c r="C742" s="19" t="s">
        <v>1712</v>
      </c>
      <c r="D742" s="19" t="s">
        <v>1711</v>
      </c>
      <c r="E742" s="19" t="s">
        <v>66</v>
      </c>
      <c r="F742" s="8" t="s">
        <v>70</v>
      </c>
      <c r="G742" s="8" t="s">
        <v>69</v>
      </c>
      <c r="H742" s="7" t="s">
        <v>154</v>
      </c>
      <c r="I742" s="19" t="s">
        <v>1694</v>
      </c>
      <c r="J742" s="7" t="s">
        <v>235</v>
      </c>
    </row>
    <row r="743" ht="18" customHeight="1" outlineLevel="2" spans="1:10">
      <c r="A743" s="18">
        <v>15</v>
      </c>
      <c r="B743" s="18">
        <v>18</v>
      </c>
      <c r="C743" s="19" t="s">
        <v>1714</v>
      </c>
      <c r="D743" s="19" t="s">
        <v>1713</v>
      </c>
      <c r="E743" s="19" t="s">
        <v>66</v>
      </c>
      <c r="F743" s="8" t="s">
        <v>70</v>
      </c>
      <c r="G743" s="8" t="s">
        <v>69</v>
      </c>
      <c r="H743" s="7" t="s">
        <v>154</v>
      </c>
      <c r="I743" s="19" t="s">
        <v>1694</v>
      </c>
      <c r="J743" s="7" t="s">
        <v>238</v>
      </c>
    </row>
    <row r="744" ht="18" customHeight="1" outlineLevel="2" spans="1:10">
      <c r="A744" s="18">
        <v>16</v>
      </c>
      <c r="B744" s="18">
        <v>2</v>
      </c>
      <c r="C744" s="19" t="s">
        <v>1716</v>
      </c>
      <c r="D744" s="19" t="s">
        <v>1715</v>
      </c>
      <c r="E744" s="19" t="s">
        <v>66</v>
      </c>
      <c r="F744" s="8" t="s">
        <v>70</v>
      </c>
      <c r="G744" s="8" t="s">
        <v>69</v>
      </c>
      <c r="H744" s="7" t="s">
        <v>154</v>
      </c>
      <c r="I744" s="19" t="s">
        <v>1694</v>
      </c>
      <c r="J744" s="7" t="s">
        <v>241</v>
      </c>
    </row>
    <row r="745" ht="18" customHeight="1" outlineLevel="2" spans="1:10">
      <c r="A745" s="18">
        <v>16</v>
      </c>
      <c r="B745" s="18">
        <v>37</v>
      </c>
      <c r="C745" s="19" t="s">
        <v>1718</v>
      </c>
      <c r="D745" s="19" t="s">
        <v>1717</v>
      </c>
      <c r="E745" s="19" t="s">
        <v>66</v>
      </c>
      <c r="F745" s="8" t="s">
        <v>70</v>
      </c>
      <c r="G745" s="8" t="s">
        <v>69</v>
      </c>
      <c r="H745" s="7" t="s">
        <v>154</v>
      </c>
      <c r="I745" s="19" t="s">
        <v>1694</v>
      </c>
      <c r="J745" s="7" t="s">
        <v>244</v>
      </c>
    </row>
    <row r="746" ht="18" customHeight="1" outlineLevel="2" spans="1:10">
      <c r="A746" s="18">
        <v>14</v>
      </c>
      <c r="B746" s="18">
        <v>5</v>
      </c>
      <c r="C746" s="19" t="s">
        <v>1720</v>
      </c>
      <c r="D746" s="19" t="s">
        <v>1719</v>
      </c>
      <c r="E746" s="19" t="s">
        <v>66</v>
      </c>
      <c r="F746" s="8" t="s">
        <v>70</v>
      </c>
      <c r="G746" s="8" t="s">
        <v>69</v>
      </c>
      <c r="H746" s="7" t="s">
        <v>154</v>
      </c>
      <c r="I746" s="19" t="s">
        <v>1694</v>
      </c>
      <c r="J746" s="7" t="s">
        <v>247</v>
      </c>
    </row>
    <row r="747" ht="18" customHeight="1" outlineLevel="2" spans="1:10">
      <c r="A747" s="18">
        <v>16</v>
      </c>
      <c r="B747" s="18">
        <v>1</v>
      </c>
      <c r="C747" s="19" t="s">
        <v>1722</v>
      </c>
      <c r="D747" s="19" t="s">
        <v>1721</v>
      </c>
      <c r="E747" s="19" t="s">
        <v>66</v>
      </c>
      <c r="F747" s="8" t="s">
        <v>70</v>
      </c>
      <c r="G747" s="8" t="s">
        <v>69</v>
      </c>
      <c r="H747" s="7" t="s">
        <v>154</v>
      </c>
      <c r="I747" s="19" t="s">
        <v>1694</v>
      </c>
      <c r="J747" s="7" t="s">
        <v>250</v>
      </c>
    </row>
    <row r="748" ht="18" customHeight="1" outlineLevel="2" spans="1:10">
      <c r="A748" s="18">
        <v>15</v>
      </c>
      <c r="B748" s="18">
        <v>36</v>
      </c>
      <c r="C748" s="19" t="s">
        <v>1724</v>
      </c>
      <c r="D748" s="19" t="s">
        <v>1723</v>
      </c>
      <c r="E748" s="19" t="s">
        <v>66</v>
      </c>
      <c r="F748" s="8" t="s">
        <v>70</v>
      </c>
      <c r="G748" s="8" t="s">
        <v>69</v>
      </c>
      <c r="H748" s="7" t="s">
        <v>154</v>
      </c>
      <c r="I748" s="19" t="s">
        <v>1694</v>
      </c>
      <c r="J748" s="7" t="s">
        <v>253</v>
      </c>
    </row>
    <row r="749" ht="18" customHeight="1" outlineLevel="2" spans="1:10">
      <c r="A749" s="18">
        <v>14</v>
      </c>
      <c r="B749" s="18">
        <v>22</v>
      </c>
      <c r="C749" s="19" t="s">
        <v>1726</v>
      </c>
      <c r="D749" s="19" t="s">
        <v>1725</v>
      </c>
      <c r="E749" s="19" t="s">
        <v>66</v>
      </c>
      <c r="F749" s="8" t="s">
        <v>70</v>
      </c>
      <c r="G749" s="8" t="s">
        <v>69</v>
      </c>
      <c r="H749" s="7" t="s">
        <v>154</v>
      </c>
      <c r="I749" s="19" t="s">
        <v>1694</v>
      </c>
      <c r="J749" s="7" t="s">
        <v>256</v>
      </c>
    </row>
    <row r="750" ht="18" customHeight="1" outlineLevel="2" spans="1:10">
      <c r="A750" s="18">
        <v>13</v>
      </c>
      <c r="B750" s="18">
        <v>26</v>
      </c>
      <c r="C750" s="19" t="s">
        <v>1728</v>
      </c>
      <c r="D750" s="19" t="s">
        <v>1727</v>
      </c>
      <c r="E750" s="19" t="s">
        <v>66</v>
      </c>
      <c r="F750" s="8" t="s">
        <v>70</v>
      </c>
      <c r="G750" s="8" t="s">
        <v>69</v>
      </c>
      <c r="H750" s="7" t="s">
        <v>154</v>
      </c>
      <c r="I750" s="19" t="s">
        <v>1694</v>
      </c>
      <c r="J750" s="7" t="s">
        <v>259</v>
      </c>
    </row>
    <row r="751" ht="18" customHeight="1" outlineLevel="2" spans="1:10">
      <c r="A751" s="18">
        <v>13</v>
      </c>
      <c r="B751" s="18">
        <v>1</v>
      </c>
      <c r="C751" s="19" t="s">
        <v>1730</v>
      </c>
      <c r="D751" s="19" t="s">
        <v>1729</v>
      </c>
      <c r="E751" s="19" t="s">
        <v>66</v>
      </c>
      <c r="F751" s="8" t="s">
        <v>70</v>
      </c>
      <c r="G751" s="8" t="s">
        <v>69</v>
      </c>
      <c r="H751" s="7" t="s">
        <v>154</v>
      </c>
      <c r="I751" s="19" t="s">
        <v>1694</v>
      </c>
      <c r="J751" s="7" t="s">
        <v>262</v>
      </c>
    </row>
    <row r="752" ht="18" customHeight="1" outlineLevel="2" spans="1:10">
      <c r="A752" s="18">
        <v>13</v>
      </c>
      <c r="B752" s="18">
        <v>42</v>
      </c>
      <c r="C752" s="19" t="s">
        <v>1732</v>
      </c>
      <c r="D752" s="19" t="s">
        <v>1731</v>
      </c>
      <c r="E752" s="19" t="s">
        <v>66</v>
      </c>
      <c r="F752" s="8" t="s">
        <v>70</v>
      </c>
      <c r="G752" s="8" t="s">
        <v>69</v>
      </c>
      <c r="H752" s="7" t="s">
        <v>154</v>
      </c>
      <c r="I752" s="19" t="s">
        <v>1694</v>
      </c>
      <c r="J752" s="7" t="s">
        <v>265</v>
      </c>
    </row>
    <row r="753" ht="18" customHeight="1" outlineLevel="2" spans="1:10">
      <c r="A753" s="18">
        <v>13</v>
      </c>
      <c r="B753" s="18">
        <v>32</v>
      </c>
      <c r="C753" s="19" t="s">
        <v>1734</v>
      </c>
      <c r="D753" s="19" t="s">
        <v>1733</v>
      </c>
      <c r="E753" s="19" t="s">
        <v>66</v>
      </c>
      <c r="F753" s="8" t="s">
        <v>70</v>
      </c>
      <c r="G753" s="8" t="s">
        <v>69</v>
      </c>
      <c r="H753" s="7" t="s">
        <v>154</v>
      </c>
      <c r="I753" s="19" t="s">
        <v>1694</v>
      </c>
      <c r="J753" s="7" t="s">
        <v>268</v>
      </c>
    </row>
    <row r="754" ht="18" customHeight="1" outlineLevel="2" spans="1:10">
      <c r="A754" s="18">
        <v>15</v>
      </c>
      <c r="B754" s="18">
        <v>37</v>
      </c>
      <c r="C754" s="19" t="s">
        <v>1736</v>
      </c>
      <c r="D754" s="19" t="s">
        <v>1735</v>
      </c>
      <c r="E754" s="19" t="s">
        <v>66</v>
      </c>
      <c r="F754" s="8" t="s">
        <v>70</v>
      </c>
      <c r="G754" s="8" t="s">
        <v>69</v>
      </c>
      <c r="H754" s="7" t="s">
        <v>154</v>
      </c>
      <c r="I754" s="19" t="s">
        <v>1694</v>
      </c>
      <c r="J754" s="7" t="s">
        <v>271</v>
      </c>
    </row>
    <row r="755" ht="18" customHeight="1" outlineLevel="2" spans="1:10">
      <c r="A755" s="18">
        <v>14</v>
      </c>
      <c r="B755" s="18">
        <v>39</v>
      </c>
      <c r="C755" s="19" t="s">
        <v>1738</v>
      </c>
      <c r="D755" s="19" t="s">
        <v>1737</v>
      </c>
      <c r="E755" s="19" t="s">
        <v>66</v>
      </c>
      <c r="F755" s="8" t="s">
        <v>70</v>
      </c>
      <c r="G755" s="8" t="s">
        <v>69</v>
      </c>
      <c r="H755" s="7" t="s">
        <v>154</v>
      </c>
      <c r="I755" s="19" t="s">
        <v>1694</v>
      </c>
      <c r="J755" s="7" t="s">
        <v>274</v>
      </c>
    </row>
    <row r="756" ht="18" customHeight="1" outlineLevel="2" spans="1:10">
      <c r="A756" s="18">
        <v>16</v>
      </c>
      <c r="B756" s="18">
        <v>18</v>
      </c>
      <c r="C756" s="19" t="s">
        <v>1740</v>
      </c>
      <c r="D756" s="19" t="s">
        <v>1739</v>
      </c>
      <c r="E756" s="19" t="s">
        <v>66</v>
      </c>
      <c r="F756" s="8" t="s">
        <v>70</v>
      </c>
      <c r="G756" s="8" t="s">
        <v>69</v>
      </c>
      <c r="H756" s="7" t="s">
        <v>154</v>
      </c>
      <c r="I756" s="19" t="s">
        <v>1694</v>
      </c>
      <c r="J756" s="7" t="s">
        <v>277</v>
      </c>
    </row>
    <row r="757" ht="18" customHeight="1" outlineLevel="2" spans="1:10">
      <c r="A757" s="18">
        <v>15</v>
      </c>
      <c r="B757" s="18">
        <v>47</v>
      </c>
      <c r="C757" s="19" t="s">
        <v>1742</v>
      </c>
      <c r="D757" s="19" t="s">
        <v>1741</v>
      </c>
      <c r="E757" s="19" t="s">
        <v>66</v>
      </c>
      <c r="F757" s="8" t="s">
        <v>70</v>
      </c>
      <c r="G757" s="8" t="s">
        <v>69</v>
      </c>
      <c r="H757" s="7" t="s">
        <v>154</v>
      </c>
      <c r="I757" s="19" t="s">
        <v>1694</v>
      </c>
      <c r="J757" s="7" t="s">
        <v>280</v>
      </c>
    </row>
    <row r="758" ht="18" customHeight="1" outlineLevel="2" spans="1:10">
      <c r="A758" s="18">
        <v>13</v>
      </c>
      <c r="B758" s="18">
        <v>12</v>
      </c>
      <c r="C758" s="19" t="s">
        <v>1744</v>
      </c>
      <c r="D758" s="19" t="s">
        <v>1743</v>
      </c>
      <c r="E758" s="19" t="s">
        <v>66</v>
      </c>
      <c r="F758" s="8" t="s">
        <v>70</v>
      </c>
      <c r="G758" s="8" t="s">
        <v>69</v>
      </c>
      <c r="H758" s="7" t="s">
        <v>154</v>
      </c>
      <c r="I758" s="19" t="s">
        <v>1694</v>
      </c>
      <c r="J758" s="7" t="s">
        <v>283</v>
      </c>
    </row>
    <row r="759" ht="18" customHeight="1" outlineLevel="2" spans="1:10">
      <c r="A759" s="18">
        <v>14</v>
      </c>
      <c r="B759" s="18">
        <v>47</v>
      </c>
      <c r="C759" s="19" t="s">
        <v>1746</v>
      </c>
      <c r="D759" s="19" t="s">
        <v>1745</v>
      </c>
      <c r="E759" s="19" t="s">
        <v>66</v>
      </c>
      <c r="F759" s="8" t="s">
        <v>70</v>
      </c>
      <c r="G759" s="8" t="s">
        <v>69</v>
      </c>
      <c r="H759" s="7" t="s">
        <v>154</v>
      </c>
      <c r="I759" s="19" t="s">
        <v>1694</v>
      </c>
      <c r="J759" s="7" t="s">
        <v>286</v>
      </c>
    </row>
    <row r="760" ht="18" customHeight="1" outlineLevel="2" spans="1:10">
      <c r="A760" s="18">
        <v>14</v>
      </c>
      <c r="B760" s="18">
        <v>25</v>
      </c>
      <c r="C760" s="19" t="s">
        <v>1748</v>
      </c>
      <c r="D760" s="19" t="s">
        <v>1747</v>
      </c>
      <c r="E760" s="19" t="s">
        <v>66</v>
      </c>
      <c r="F760" s="8" t="s">
        <v>70</v>
      </c>
      <c r="G760" s="8" t="s">
        <v>69</v>
      </c>
      <c r="H760" s="7" t="s">
        <v>154</v>
      </c>
      <c r="I760" s="19" t="s">
        <v>1694</v>
      </c>
      <c r="J760" s="7" t="s">
        <v>289</v>
      </c>
    </row>
    <row r="761" ht="18" customHeight="1" outlineLevel="2" spans="1:10">
      <c r="A761" s="18">
        <v>14</v>
      </c>
      <c r="B761" s="18">
        <v>26</v>
      </c>
      <c r="C761" s="19" t="s">
        <v>1750</v>
      </c>
      <c r="D761" s="19" t="s">
        <v>1749</v>
      </c>
      <c r="E761" s="19" t="s">
        <v>66</v>
      </c>
      <c r="F761" s="8" t="s">
        <v>70</v>
      </c>
      <c r="G761" s="8" t="s">
        <v>69</v>
      </c>
      <c r="H761" s="7" t="s">
        <v>154</v>
      </c>
      <c r="I761" s="19" t="s">
        <v>1694</v>
      </c>
      <c r="J761" s="7" t="s">
        <v>292</v>
      </c>
    </row>
    <row r="762" ht="18" customHeight="1" outlineLevel="2" spans="1:10">
      <c r="A762" s="18">
        <v>16</v>
      </c>
      <c r="B762" s="18">
        <v>8</v>
      </c>
      <c r="C762" s="19" t="s">
        <v>1752</v>
      </c>
      <c r="D762" s="19" t="s">
        <v>1751</v>
      </c>
      <c r="E762" s="19" t="s">
        <v>66</v>
      </c>
      <c r="F762" s="8" t="s">
        <v>70</v>
      </c>
      <c r="G762" s="8" t="s">
        <v>69</v>
      </c>
      <c r="H762" s="7" t="s">
        <v>154</v>
      </c>
      <c r="I762" s="19" t="s">
        <v>1694</v>
      </c>
      <c r="J762" s="7" t="s">
        <v>295</v>
      </c>
    </row>
    <row r="763" ht="18" customHeight="1" outlineLevel="2" spans="1:10">
      <c r="A763" s="18">
        <v>13</v>
      </c>
      <c r="B763" s="18">
        <v>5</v>
      </c>
      <c r="C763" s="19" t="s">
        <v>1754</v>
      </c>
      <c r="D763" s="19" t="s">
        <v>1753</v>
      </c>
      <c r="E763" s="19" t="s">
        <v>66</v>
      </c>
      <c r="F763" s="8" t="s">
        <v>70</v>
      </c>
      <c r="G763" s="8" t="s">
        <v>69</v>
      </c>
      <c r="H763" s="7" t="s">
        <v>154</v>
      </c>
      <c r="I763" s="19" t="s">
        <v>1694</v>
      </c>
      <c r="J763" s="7" t="s">
        <v>298</v>
      </c>
    </row>
    <row r="764" ht="18" customHeight="1" outlineLevel="2" spans="1:10">
      <c r="A764" s="18">
        <v>16</v>
      </c>
      <c r="B764" s="18">
        <v>11</v>
      </c>
      <c r="C764" s="19" t="s">
        <v>1756</v>
      </c>
      <c r="D764" s="19" t="s">
        <v>1755</v>
      </c>
      <c r="E764" s="19" t="s">
        <v>66</v>
      </c>
      <c r="F764" s="8" t="s">
        <v>70</v>
      </c>
      <c r="G764" s="8" t="s">
        <v>69</v>
      </c>
      <c r="H764" s="7" t="s">
        <v>154</v>
      </c>
      <c r="I764" s="19" t="s">
        <v>1694</v>
      </c>
      <c r="J764" s="7" t="s">
        <v>301</v>
      </c>
    </row>
    <row r="765" ht="18" customHeight="1" outlineLevel="2" spans="1:10">
      <c r="A765" s="18">
        <v>14</v>
      </c>
      <c r="B765" s="18">
        <v>45</v>
      </c>
      <c r="C765" s="19" t="s">
        <v>1758</v>
      </c>
      <c r="D765" s="19" t="s">
        <v>1757</v>
      </c>
      <c r="E765" s="19" t="s">
        <v>66</v>
      </c>
      <c r="F765" s="8" t="s">
        <v>70</v>
      </c>
      <c r="G765" s="8" t="s">
        <v>69</v>
      </c>
      <c r="H765" s="7" t="s">
        <v>154</v>
      </c>
      <c r="I765" s="19" t="s">
        <v>1694</v>
      </c>
      <c r="J765" s="7" t="s">
        <v>304</v>
      </c>
    </row>
    <row r="766" ht="18" customHeight="1" outlineLevel="2" spans="1:10">
      <c r="A766" s="18">
        <v>13</v>
      </c>
      <c r="B766" s="18">
        <v>22</v>
      </c>
      <c r="C766" s="19" t="s">
        <v>1760</v>
      </c>
      <c r="D766" s="19" t="s">
        <v>1759</v>
      </c>
      <c r="E766" s="19" t="s">
        <v>66</v>
      </c>
      <c r="F766" s="8" t="s">
        <v>70</v>
      </c>
      <c r="G766" s="8" t="s">
        <v>69</v>
      </c>
      <c r="H766" s="7" t="s">
        <v>154</v>
      </c>
      <c r="I766" s="19" t="s">
        <v>1694</v>
      </c>
      <c r="J766" s="7" t="s">
        <v>307</v>
      </c>
    </row>
    <row r="767" ht="18" customHeight="1" outlineLevel="2" spans="1:10">
      <c r="A767" s="18">
        <v>15</v>
      </c>
      <c r="B767" s="18">
        <v>8</v>
      </c>
      <c r="C767" s="19" t="s">
        <v>1762</v>
      </c>
      <c r="D767" s="19" t="s">
        <v>1761</v>
      </c>
      <c r="E767" s="19" t="s">
        <v>66</v>
      </c>
      <c r="F767" s="8" t="s">
        <v>70</v>
      </c>
      <c r="G767" s="8" t="s">
        <v>69</v>
      </c>
      <c r="H767" s="7" t="s">
        <v>154</v>
      </c>
      <c r="I767" s="19" t="s">
        <v>1694</v>
      </c>
      <c r="J767" s="7" t="s">
        <v>310</v>
      </c>
    </row>
    <row r="768" ht="18" customHeight="1" outlineLevel="2" spans="1:10">
      <c r="A768" s="18">
        <v>14</v>
      </c>
      <c r="B768" s="18">
        <v>34</v>
      </c>
      <c r="C768" s="19" t="s">
        <v>1764</v>
      </c>
      <c r="D768" s="19" t="s">
        <v>1763</v>
      </c>
      <c r="E768" s="19" t="s">
        <v>66</v>
      </c>
      <c r="F768" s="8" t="s">
        <v>70</v>
      </c>
      <c r="G768" s="8" t="s">
        <v>69</v>
      </c>
      <c r="H768" s="7" t="s">
        <v>154</v>
      </c>
      <c r="I768" s="19" t="s">
        <v>1694</v>
      </c>
      <c r="J768" s="7" t="s">
        <v>313</v>
      </c>
    </row>
    <row r="769" ht="18" customHeight="1" outlineLevel="2" spans="1:10">
      <c r="A769" s="18">
        <v>13</v>
      </c>
      <c r="B769" s="18">
        <v>30</v>
      </c>
      <c r="C769" s="19" t="s">
        <v>1766</v>
      </c>
      <c r="D769" s="19" t="s">
        <v>1765</v>
      </c>
      <c r="E769" s="19" t="s">
        <v>66</v>
      </c>
      <c r="F769" s="8" t="s">
        <v>70</v>
      </c>
      <c r="G769" s="8" t="s">
        <v>69</v>
      </c>
      <c r="H769" s="7" t="s">
        <v>154</v>
      </c>
      <c r="I769" s="19" t="s">
        <v>1694</v>
      </c>
      <c r="J769" s="7" t="s">
        <v>316</v>
      </c>
    </row>
    <row r="770" ht="18" customHeight="1" outlineLevel="2" spans="1:10">
      <c r="A770" s="18">
        <v>15</v>
      </c>
      <c r="B770" s="18">
        <v>33</v>
      </c>
      <c r="C770" s="19" t="s">
        <v>1768</v>
      </c>
      <c r="D770" s="19" t="s">
        <v>1767</v>
      </c>
      <c r="E770" s="19" t="s">
        <v>66</v>
      </c>
      <c r="F770" s="8" t="s">
        <v>70</v>
      </c>
      <c r="G770" s="8" t="s">
        <v>69</v>
      </c>
      <c r="H770" s="7" t="s">
        <v>154</v>
      </c>
      <c r="I770" s="19" t="s">
        <v>1694</v>
      </c>
      <c r="J770" s="7" t="s">
        <v>319</v>
      </c>
    </row>
    <row r="771" ht="18" customHeight="1" outlineLevel="2" spans="1:10">
      <c r="A771" s="18">
        <v>13</v>
      </c>
      <c r="B771" s="18">
        <v>3</v>
      </c>
      <c r="C771" s="19" t="s">
        <v>1770</v>
      </c>
      <c r="D771" s="19" t="s">
        <v>1769</v>
      </c>
      <c r="E771" s="19" t="s">
        <v>66</v>
      </c>
      <c r="F771" s="8" t="s">
        <v>70</v>
      </c>
      <c r="G771" s="8" t="s">
        <v>69</v>
      </c>
      <c r="H771" s="7" t="s">
        <v>154</v>
      </c>
      <c r="I771" s="19" t="s">
        <v>1694</v>
      </c>
      <c r="J771" s="7" t="s">
        <v>322</v>
      </c>
    </row>
    <row r="772" ht="18" customHeight="1" outlineLevel="2" spans="1:10">
      <c r="A772" s="18">
        <v>14</v>
      </c>
      <c r="B772" s="18">
        <v>41</v>
      </c>
      <c r="C772" s="19" t="s">
        <v>1772</v>
      </c>
      <c r="D772" s="19" t="s">
        <v>1771</v>
      </c>
      <c r="E772" s="19" t="s">
        <v>66</v>
      </c>
      <c r="F772" s="8" t="s">
        <v>70</v>
      </c>
      <c r="G772" s="8" t="s">
        <v>69</v>
      </c>
      <c r="H772" s="7" t="s">
        <v>154</v>
      </c>
      <c r="I772" s="19" t="s">
        <v>1694</v>
      </c>
      <c r="J772" s="7" t="s">
        <v>325</v>
      </c>
    </row>
    <row r="773" ht="18" customHeight="1" outlineLevel="2" spans="1:10">
      <c r="A773" s="18">
        <v>13</v>
      </c>
      <c r="B773" s="18">
        <v>31</v>
      </c>
      <c r="C773" s="19" t="s">
        <v>1774</v>
      </c>
      <c r="D773" s="19" t="s">
        <v>1773</v>
      </c>
      <c r="E773" s="19" t="s">
        <v>66</v>
      </c>
      <c r="F773" s="8" t="s">
        <v>70</v>
      </c>
      <c r="G773" s="8" t="s">
        <v>69</v>
      </c>
      <c r="H773" s="7" t="s">
        <v>154</v>
      </c>
      <c r="I773" s="19" t="s">
        <v>1694</v>
      </c>
      <c r="J773" s="7" t="s">
        <v>328</v>
      </c>
    </row>
    <row r="774" ht="18" customHeight="1" outlineLevel="2" spans="1:10">
      <c r="A774" s="18">
        <v>16</v>
      </c>
      <c r="B774" s="18">
        <v>4</v>
      </c>
      <c r="C774" s="19" t="s">
        <v>1776</v>
      </c>
      <c r="D774" s="19" t="s">
        <v>1775</v>
      </c>
      <c r="E774" s="19" t="s">
        <v>66</v>
      </c>
      <c r="F774" s="8" t="s">
        <v>70</v>
      </c>
      <c r="G774" s="8" t="s">
        <v>69</v>
      </c>
      <c r="H774" s="7" t="s">
        <v>154</v>
      </c>
      <c r="I774" s="19" t="s">
        <v>1694</v>
      </c>
      <c r="J774" s="7" t="s">
        <v>331</v>
      </c>
    </row>
    <row r="775" ht="18" customHeight="1" outlineLevel="1" spans="1:10">
      <c r="A775" s="18"/>
      <c r="B775" s="18"/>
      <c r="C775" s="19">
        <f>SUBTOTAL(3,C733:C774)</f>
        <v>42</v>
      </c>
      <c r="D775" s="19"/>
      <c r="E775" s="19"/>
      <c r="F775" s="8"/>
      <c r="G775" s="8"/>
      <c r="H775" s="17" t="s">
        <v>1946</v>
      </c>
      <c r="I775" s="19"/>
      <c r="J775" s="7"/>
    </row>
    <row r="776" ht="18" customHeight="1" outlineLevel="2" spans="1:10">
      <c r="A776" s="18">
        <v>11</v>
      </c>
      <c r="B776" s="18">
        <v>14</v>
      </c>
      <c r="C776" s="19" t="s">
        <v>1778</v>
      </c>
      <c r="D776" s="19" t="s">
        <v>1777</v>
      </c>
      <c r="E776" s="19" t="s">
        <v>65</v>
      </c>
      <c r="F776" s="8" t="s">
        <v>67</v>
      </c>
      <c r="G776" s="8" t="s">
        <v>69</v>
      </c>
      <c r="H776" s="7" t="s">
        <v>155</v>
      </c>
      <c r="I776" s="19" t="s">
        <v>1779</v>
      </c>
      <c r="J776" s="7" t="s">
        <v>207</v>
      </c>
    </row>
    <row r="777" ht="18" customHeight="1" outlineLevel="2" spans="1:10">
      <c r="A777" s="18">
        <v>11</v>
      </c>
      <c r="B777" s="18">
        <v>7</v>
      </c>
      <c r="C777" s="19" t="s">
        <v>1782</v>
      </c>
      <c r="D777" s="19" t="s">
        <v>1781</v>
      </c>
      <c r="E777" s="19" t="s">
        <v>65</v>
      </c>
      <c r="F777" s="8" t="s">
        <v>67</v>
      </c>
      <c r="G777" s="8" t="s">
        <v>69</v>
      </c>
      <c r="H777" s="7" t="s">
        <v>155</v>
      </c>
      <c r="I777" s="19" t="s">
        <v>1779</v>
      </c>
      <c r="J777" s="7" t="s">
        <v>210</v>
      </c>
    </row>
    <row r="778" ht="18" customHeight="1" outlineLevel="2" spans="1:10">
      <c r="A778" s="18">
        <v>11</v>
      </c>
      <c r="B778" s="18">
        <v>26</v>
      </c>
      <c r="C778" s="19" t="s">
        <v>1784</v>
      </c>
      <c r="D778" s="19" t="s">
        <v>1783</v>
      </c>
      <c r="E778" s="19" t="s">
        <v>65</v>
      </c>
      <c r="F778" s="8" t="s">
        <v>67</v>
      </c>
      <c r="G778" s="8" t="s">
        <v>69</v>
      </c>
      <c r="H778" s="7" t="s">
        <v>155</v>
      </c>
      <c r="I778" s="19" t="s">
        <v>1779</v>
      </c>
      <c r="J778" s="7" t="s">
        <v>214</v>
      </c>
    </row>
    <row r="779" ht="18" customHeight="1" outlineLevel="2" spans="1:10">
      <c r="A779" s="18">
        <v>11</v>
      </c>
      <c r="B779" s="18">
        <v>42</v>
      </c>
      <c r="C779" s="19" t="s">
        <v>1786</v>
      </c>
      <c r="D779" s="19" t="s">
        <v>1785</v>
      </c>
      <c r="E779" s="19" t="s">
        <v>65</v>
      </c>
      <c r="F779" s="8" t="s">
        <v>67</v>
      </c>
      <c r="G779" s="8" t="s">
        <v>69</v>
      </c>
      <c r="H779" s="7" t="s">
        <v>155</v>
      </c>
      <c r="I779" s="19" t="s">
        <v>1779</v>
      </c>
      <c r="J779" s="7" t="s">
        <v>217</v>
      </c>
    </row>
    <row r="780" ht="18" customHeight="1" outlineLevel="2" spans="1:10">
      <c r="A780" s="18">
        <v>11</v>
      </c>
      <c r="B780" s="18">
        <v>41</v>
      </c>
      <c r="C780" s="19" t="s">
        <v>1788</v>
      </c>
      <c r="D780" s="19" t="s">
        <v>1787</v>
      </c>
      <c r="E780" s="19" t="s">
        <v>65</v>
      </c>
      <c r="F780" s="8" t="s">
        <v>67</v>
      </c>
      <c r="G780" s="8" t="s">
        <v>69</v>
      </c>
      <c r="H780" s="7" t="s">
        <v>155</v>
      </c>
      <c r="I780" s="19" t="s">
        <v>1779</v>
      </c>
      <c r="J780" s="7" t="s">
        <v>220</v>
      </c>
    </row>
    <row r="781" ht="18" customHeight="1" outlineLevel="2" spans="1:10">
      <c r="A781" s="18">
        <v>11</v>
      </c>
      <c r="B781" s="18">
        <v>9</v>
      </c>
      <c r="C781" s="19" t="s">
        <v>1790</v>
      </c>
      <c r="D781" s="19" t="s">
        <v>1789</v>
      </c>
      <c r="E781" s="19" t="s">
        <v>65</v>
      </c>
      <c r="F781" s="8" t="s">
        <v>67</v>
      </c>
      <c r="G781" s="8" t="s">
        <v>69</v>
      </c>
      <c r="H781" s="7" t="s">
        <v>155</v>
      </c>
      <c r="I781" s="19" t="s">
        <v>1779</v>
      </c>
      <c r="J781" s="7" t="s">
        <v>223</v>
      </c>
    </row>
    <row r="782" ht="18" customHeight="1" outlineLevel="2" spans="1:10">
      <c r="A782" s="18">
        <v>11</v>
      </c>
      <c r="B782" s="18">
        <v>24</v>
      </c>
      <c r="C782" s="19" t="s">
        <v>1792</v>
      </c>
      <c r="D782" s="19" t="s">
        <v>1791</v>
      </c>
      <c r="E782" s="19" t="s">
        <v>65</v>
      </c>
      <c r="F782" s="8" t="s">
        <v>67</v>
      </c>
      <c r="G782" s="8" t="s">
        <v>69</v>
      </c>
      <c r="H782" s="7" t="s">
        <v>155</v>
      </c>
      <c r="I782" s="19" t="s">
        <v>1779</v>
      </c>
      <c r="J782" s="7" t="s">
        <v>226</v>
      </c>
    </row>
    <row r="783" ht="18" customHeight="1" outlineLevel="2" spans="1:10">
      <c r="A783" s="18">
        <v>10</v>
      </c>
      <c r="B783" s="18">
        <v>22</v>
      </c>
      <c r="C783" s="19" t="s">
        <v>1794</v>
      </c>
      <c r="D783" s="19" t="s">
        <v>1793</v>
      </c>
      <c r="E783" s="19" t="s">
        <v>65</v>
      </c>
      <c r="F783" s="8" t="s">
        <v>67</v>
      </c>
      <c r="G783" s="8" t="s">
        <v>69</v>
      </c>
      <c r="H783" s="7" t="s">
        <v>155</v>
      </c>
      <c r="I783" s="19" t="s">
        <v>1779</v>
      </c>
      <c r="J783" s="7" t="s">
        <v>229</v>
      </c>
    </row>
    <row r="784" ht="18" customHeight="1" outlineLevel="2" spans="1:10">
      <c r="A784" s="18">
        <v>11</v>
      </c>
      <c r="B784" s="18">
        <v>39</v>
      </c>
      <c r="C784" s="19" t="s">
        <v>1796</v>
      </c>
      <c r="D784" s="19" t="s">
        <v>1795</v>
      </c>
      <c r="E784" s="19" t="s">
        <v>65</v>
      </c>
      <c r="F784" s="8" t="s">
        <v>67</v>
      </c>
      <c r="G784" s="8" t="s">
        <v>69</v>
      </c>
      <c r="H784" s="7" t="s">
        <v>155</v>
      </c>
      <c r="I784" s="19" t="s">
        <v>1779</v>
      </c>
      <c r="J784" s="7" t="s">
        <v>232</v>
      </c>
    </row>
    <row r="785" ht="18" customHeight="1" outlineLevel="2" spans="1:10">
      <c r="A785" s="18">
        <v>11</v>
      </c>
      <c r="B785" s="18">
        <v>2</v>
      </c>
      <c r="C785" s="19" t="s">
        <v>1798</v>
      </c>
      <c r="D785" s="19" t="s">
        <v>1797</v>
      </c>
      <c r="E785" s="19" t="s">
        <v>65</v>
      </c>
      <c r="F785" s="8" t="s">
        <v>67</v>
      </c>
      <c r="G785" s="8" t="s">
        <v>69</v>
      </c>
      <c r="H785" s="7" t="s">
        <v>155</v>
      </c>
      <c r="I785" s="19" t="s">
        <v>1779</v>
      </c>
      <c r="J785" s="7" t="s">
        <v>235</v>
      </c>
    </row>
    <row r="786" ht="18" customHeight="1" outlineLevel="2" spans="1:10">
      <c r="A786" s="18">
        <v>11</v>
      </c>
      <c r="B786" s="18">
        <v>4</v>
      </c>
      <c r="C786" s="19" t="s">
        <v>1800</v>
      </c>
      <c r="D786" s="19" t="s">
        <v>1799</v>
      </c>
      <c r="E786" s="19" t="s">
        <v>65</v>
      </c>
      <c r="F786" s="8" t="s">
        <v>67</v>
      </c>
      <c r="G786" s="8" t="s">
        <v>69</v>
      </c>
      <c r="H786" s="7" t="s">
        <v>155</v>
      </c>
      <c r="I786" s="19" t="s">
        <v>1779</v>
      </c>
      <c r="J786" s="7" t="s">
        <v>238</v>
      </c>
    </row>
    <row r="787" ht="18" customHeight="1" outlineLevel="2" spans="1:10">
      <c r="A787" s="18">
        <v>10</v>
      </c>
      <c r="B787" s="18">
        <v>35</v>
      </c>
      <c r="C787" s="19" t="s">
        <v>1802</v>
      </c>
      <c r="D787" s="19" t="s">
        <v>1801</v>
      </c>
      <c r="E787" s="19" t="s">
        <v>65</v>
      </c>
      <c r="F787" s="8" t="s">
        <v>67</v>
      </c>
      <c r="G787" s="8" t="s">
        <v>69</v>
      </c>
      <c r="H787" s="7" t="s">
        <v>155</v>
      </c>
      <c r="I787" s="19" t="s">
        <v>1779</v>
      </c>
      <c r="J787" s="7" t="s">
        <v>241</v>
      </c>
    </row>
    <row r="788" ht="18" customHeight="1" outlineLevel="2" spans="1:10">
      <c r="A788" s="18">
        <v>11</v>
      </c>
      <c r="B788" s="18">
        <v>21</v>
      </c>
      <c r="C788" s="19" t="s">
        <v>1804</v>
      </c>
      <c r="D788" s="19" t="s">
        <v>1803</v>
      </c>
      <c r="E788" s="19" t="s">
        <v>65</v>
      </c>
      <c r="F788" s="8" t="s">
        <v>67</v>
      </c>
      <c r="G788" s="8" t="s">
        <v>69</v>
      </c>
      <c r="H788" s="7" t="s">
        <v>155</v>
      </c>
      <c r="I788" s="19" t="s">
        <v>1779</v>
      </c>
      <c r="J788" s="7" t="s">
        <v>244</v>
      </c>
    </row>
    <row r="789" ht="18" customHeight="1" outlineLevel="2" spans="1:10">
      <c r="A789" s="18">
        <v>10</v>
      </c>
      <c r="B789" s="18">
        <v>32</v>
      </c>
      <c r="C789" s="19" t="s">
        <v>1806</v>
      </c>
      <c r="D789" s="19" t="s">
        <v>1805</v>
      </c>
      <c r="E789" s="19" t="s">
        <v>65</v>
      </c>
      <c r="F789" s="8" t="s">
        <v>67</v>
      </c>
      <c r="G789" s="8" t="s">
        <v>69</v>
      </c>
      <c r="H789" s="7" t="s">
        <v>155</v>
      </c>
      <c r="I789" s="19" t="s">
        <v>1779</v>
      </c>
      <c r="J789" s="7" t="s">
        <v>247</v>
      </c>
    </row>
    <row r="790" ht="18" customHeight="1" outlineLevel="2" spans="1:10">
      <c r="A790" s="18">
        <v>11</v>
      </c>
      <c r="B790" s="18">
        <v>1</v>
      </c>
      <c r="C790" s="19" t="s">
        <v>1808</v>
      </c>
      <c r="D790" s="19" t="s">
        <v>1807</v>
      </c>
      <c r="E790" s="19" t="s">
        <v>65</v>
      </c>
      <c r="F790" s="8" t="s">
        <v>67</v>
      </c>
      <c r="G790" s="8" t="s">
        <v>69</v>
      </c>
      <c r="H790" s="7" t="s">
        <v>155</v>
      </c>
      <c r="I790" s="19" t="s">
        <v>1779</v>
      </c>
      <c r="J790" s="7" t="s">
        <v>250</v>
      </c>
    </row>
    <row r="791" ht="18" customHeight="1" outlineLevel="2" spans="1:10">
      <c r="A791" s="18">
        <v>10</v>
      </c>
      <c r="B791" s="18">
        <v>2</v>
      </c>
      <c r="C791" s="19" t="s">
        <v>1810</v>
      </c>
      <c r="D791" s="19" t="s">
        <v>1809</v>
      </c>
      <c r="E791" s="19" t="s">
        <v>65</v>
      </c>
      <c r="F791" s="8" t="s">
        <v>67</v>
      </c>
      <c r="G791" s="8" t="s">
        <v>69</v>
      </c>
      <c r="H791" s="7" t="s">
        <v>155</v>
      </c>
      <c r="I791" s="19" t="s">
        <v>1779</v>
      </c>
      <c r="J791" s="7" t="s">
        <v>253</v>
      </c>
    </row>
    <row r="792" ht="18" customHeight="1" outlineLevel="2" spans="1:10">
      <c r="A792" s="18">
        <v>10</v>
      </c>
      <c r="B792" s="18">
        <v>10</v>
      </c>
      <c r="C792" s="19" t="s">
        <v>1812</v>
      </c>
      <c r="D792" s="19" t="s">
        <v>1811</v>
      </c>
      <c r="E792" s="19" t="s">
        <v>65</v>
      </c>
      <c r="F792" s="8" t="s">
        <v>67</v>
      </c>
      <c r="G792" s="8" t="s">
        <v>69</v>
      </c>
      <c r="H792" s="7" t="s">
        <v>155</v>
      </c>
      <c r="I792" s="19" t="s">
        <v>1779</v>
      </c>
      <c r="J792" s="7" t="s">
        <v>256</v>
      </c>
    </row>
    <row r="793" ht="18" customHeight="1" outlineLevel="2" spans="1:10">
      <c r="A793" s="18">
        <v>12</v>
      </c>
      <c r="B793" s="18">
        <v>32</v>
      </c>
      <c r="C793" s="19" t="s">
        <v>1814</v>
      </c>
      <c r="D793" s="19" t="s">
        <v>1813</v>
      </c>
      <c r="E793" s="19" t="s">
        <v>65</v>
      </c>
      <c r="F793" s="8" t="s">
        <v>67</v>
      </c>
      <c r="G793" s="8" t="s">
        <v>70</v>
      </c>
      <c r="H793" s="7" t="s">
        <v>155</v>
      </c>
      <c r="I793" s="19" t="s">
        <v>1779</v>
      </c>
      <c r="J793" s="7" t="s">
        <v>259</v>
      </c>
    </row>
    <row r="794" ht="18" customHeight="1" outlineLevel="2" spans="1:10">
      <c r="A794" s="18">
        <v>12</v>
      </c>
      <c r="B794" s="18">
        <v>28</v>
      </c>
      <c r="C794" s="19" t="s">
        <v>1816</v>
      </c>
      <c r="D794" s="19" t="s">
        <v>1815</v>
      </c>
      <c r="E794" s="19" t="s">
        <v>65</v>
      </c>
      <c r="F794" s="8" t="s">
        <v>67</v>
      </c>
      <c r="G794" s="8" t="s">
        <v>70</v>
      </c>
      <c r="H794" s="7" t="s">
        <v>155</v>
      </c>
      <c r="I794" s="19" t="s">
        <v>1779</v>
      </c>
      <c r="J794" s="7" t="s">
        <v>262</v>
      </c>
    </row>
    <row r="795" ht="18" customHeight="1" outlineLevel="2" spans="1:10">
      <c r="A795" s="18">
        <v>12</v>
      </c>
      <c r="B795" s="18">
        <v>24</v>
      </c>
      <c r="C795" s="19" t="s">
        <v>1818</v>
      </c>
      <c r="D795" s="19" t="s">
        <v>1817</v>
      </c>
      <c r="E795" s="19" t="s">
        <v>65</v>
      </c>
      <c r="F795" s="8" t="s">
        <v>67</v>
      </c>
      <c r="G795" s="8" t="s">
        <v>70</v>
      </c>
      <c r="H795" s="7" t="s">
        <v>155</v>
      </c>
      <c r="I795" s="19" t="s">
        <v>1779</v>
      </c>
      <c r="J795" s="7" t="s">
        <v>265</v>
      </c>
    </row>
    <row r="796" ht="18" customHeight="1" outlineLevel="2" spans="1:10">
      <c r="A796" s="18">
        <v>12</v>
      </c>
      <c r="B796" s="18">
        <v>25</v>
      </c>
      <c r="C796" s="19" t="s">
        <v>1820</v>
      </c>
      <c r="D796" s="19" t="s">
        <v>1819</v>
      </c>
      <c r="E796" s="19" t="s">
        <v>65</v>
      </c>
      <c r="F796" s="8" t="s">
        <v>67</v>
      </c>
      <c r="G796" s="8" t="s">
        <v>70</v>
      </c>
      <c r="H796" s="7" t="s">
        <v>155</v>
      </c>
      <c r="I796" s="19" t="s">
        <v>1779</v>
      </c>
      <c r="J796" s="7" t="s">
        <v>268</v>
      </c>
    </row>
    <row r="797" ht="18" customHeight="1" outlineLevel="2" spans="1:10">
      <c r="A797" s="18">
        <v>12</v>
      </c>
      <c r="B797" s="18">
        <v>10</v>
      </c>
      <c r="C797" s="19" t="s">
        <v>1822</v>
      </c>
      <c r="D797" s="19" t="s">
        <v>1821</v>
      </c>
      <c r="E797" s="19" t="s">
        <v>65</v>
      </c>
      <c r="F797" s="8" t="s">
        <v>67</v>
      </c>
      <c r="G797" s="8" t="s">
        <v>70</v>
      </c>
      <c r="H797" s="7" t="s">
        <v>155</v>
      </c>
      <c r="I797" s="19" t="s">
        <v>1779</v>
      </c>
      <c r="J797" s="7" t="s">
        <v>271</v>
      </c>
    </row>
    <row r="798" ht="18" customHeight="1" outlineLevel="2" spans="1:10">
      <c r="A798" s="18">
        <v>12</v>
      </c>
      <c r="B798" s="18">
        <v>47</v>
      </c>
      <c r="C798" s="19" t="s">
        <v>1824</v>
      </c>
      <c r="D798" s="19" t="s">
        <v>1823</v>
      </c>
      <c r="E798" s="19" t="s">
        <v>65</v>
      </c>
      <c r="F798" s="8" t="s">
        <v>67</v>
      </c>
      <c r="G798" s="8" t="s">
        <v>70</v>
      </c>
      <c r="H798" s="7" t="s">
        <v>155</v>
      </c>
      <c r="I798" s="19" t="s">
        <v>1779</v>
      </c>
      <c r="J798" s="7" t="s">
        <v>274</v>
      </c>
    </row>
    <row r="799" ht="18" customHeight="1" outlineLevel="2" spans="1:10">
      <c r="A799" s="18">
        <v>12</v>
      </c>
      <c r="B799" s="18">
        <v>2</v>
      </c>
      <c r="C799" s="19" t="s">
        <v>1826</v>
      </c>
      <c r="D799" s="19" t="s">
        <v>1825</v>
      </c>
      <c r="E799" s="19" t="s">
        <v>65</v>
      </c>
      <c r="F799" s="8" t="s">
        <v>67</v>
      </c>
      <c r="G799" s="8" t="s">
        <v>70</v>
      </c>
      <c r="H799" s="7" t="s">
        <v>155</v>
      </c>
      <c r="I799" s="19" t="s">
        <v>1779</v>
      </c>
      <c r="J799" s="7" t="s">
        <v>277</v>
      </c>
    </row>
    <row r="800" ht="18" customHeight="1" outlineLevel="2" spans="1:10">
      <c r="A800" s="18">
        <v>12</v>
      </c>
      <c r="B800" s="18">
        <v>35</v>
      </c>
      <c r="C800" s="19" t="s">
        <v>1828</v>
      </c>
      <c r="D800" s="19" t="s">
        <v>1827</v>
      </c>
      <c r="E800" s="19" t="s">
        <v>65</v>
      </c>
      <c r="F800" s="8" t="s">
        <v>67</v>
      </c>
      <c r="G800" s="8" t="s">
        <v>70</v>
      </c>
      <c r="H800" s="7" t="s">
        <v>155</v>
      </c>
      <c r="I800" s="19" t="s">
        <v>1779</v>
      </c>
      <c r="J800" s="7" t="s">
        <v>280</v>
      </c>
    </row>
    <row r="801" ht="18" customHeight="1" outlineLevel="2" spans="1:10">
      <c r="A801" s="18">
        <v>12</v>
      </c>
      <c r="B801" s="18">
        <v>9</v>
      </c>
      <c r="C801" s="19" t="s">
        <v>1830</v>
      </c>
      <c r="D801" s="19" t="s">
        <v>1829</v>
      </c>
      <c r="E801" s="19" t="s">
        <v>65</v>
      </c>
      <c r="F801" s="8" t="s">
        <v>67</v>
      </c>
      <c r="G801" s="8" t="s">
        <v>70</v>
      </c>
      <c r="H801" s="7" t="s">
        <v>155</v>
      </c>
      <c r="I801" s="19" t="s">
        <v>1779</v>
      </c>
      <c r="J801" s="7" t="s">
        <v>283</v>
      </c>
    </row>
    <row r="802" ht="18" customHeight="1" outlineLevel="2" spans="1:10">
      <c r="A802" s="18">
        <v>12</v>
      </c>
      <c r="B802" s="18">
        <v>22</v>
      </c>
      <c r="C802" s="18" t="s">
        <v>1832</v>
      </c>
      <c r="D802" s="18" t="s">
        <v>1831</v>
      </c>
      <c r="E802" s="18" t="s">
        <v>65</v>
      </c>
      <c r="F802" s="18" t="s">
        <v>67</v>
      </c>
      <c r="G802" s="18" t="s">
        <v>70</v>
      </c>
      <c r="H802" s="7" t="s">
        <v>155</v>
      </c>
      <c r="I802" s="18" t="s">
        <v>1779</v>
      </c>
      <c r="J802" s="18" t="s">
        <v>286</v>
      </c>
    </row>
    <row r="803" ht="18" customHeight="1" outlineLevel="2" spans="1:10">
      <c r="A803" s="18">
        <v>12</v>
      </c>
      <c r="B803" s="18">
        <v>6</v>
      </c>
      <c r="C803" s="18" t="s">
        <v>1834</v>
      </c>
      <c r="D803" s="18" t="s">
        <v>1833</v>
      </c>
      <c r="E803" s="18" t="s">
        <v>65</v>
      </c>
      <c r="F803" s="18" t="s">
        <v>67</v>
      </c>
      <c r="G803" s="18" t="s">
        <v>70</v>
      </c>
      <c r="H803" s="7" t="s">
        <v>155</v>
      </c>
      <c r="I803" s="18" t="s">
        <v>1779</v>
      </c>
      <c r="J803" s="18" t="s">
        <v>289</v>
      </c>
    </row>
    <row r="804" ht="18" customHeight="1" outlineLevel="2" spans="1:10">
      <c r="A804" s="18">
        <v>3</v>
      </c>
      <c r="B804" s="18">
        <v>28</v>
      </c>
      <c r="C804" s="18" t="s">
        <v>1836</v>
      </c>
      <c r="D804" s="18" t="s">
        <v>1835</v>
      </c>
      <c r="E804" s="18" t="s">
        <v>65</v>
      </c>
      <c r="F804" s="18" t="s">
        <v>67</v>
      </c>
      <c r="G804" s="18" t="s">
        <v>68</v>
      </c>
      <c r="H804" s="7" t="s">
        <v>155</v>
      </c>
      <c r="I804" s="18" t="s">
        <v>1779</v>
      </c>
      <c r="J804" s="18" t="s">
        <v>292</v>
      </c>
    </row>
    <row r="805" ht="18" customHeight="1" outlineLevel="2" spans="1:10">
      <c r="A805" s="18">
        <v>4</v>
      </c>
      <c r="B805" s="18">
        <v>25</v>
      </c>
      <c r="C805" s="18" t="s">
        <v>1838</v>
      </c>
      <c r="D805" s="18" t="s">
        <v>1837</v>
      </c>
      <c r="E805" s="18" t="s">
        <v>65</v>
      </c>
      <c r="F805" s="18" t="s">
        <v>67</v>
      </c>
      <c r="G805" s="18" t="s">
        <v>68</v>
      </c>
      <c r="H805" s="7" t="s">
        <v>155</v>
      </c>
      <c r="I805" s="18" t="s">
        <v>1779</v>
      </c>
      <c r="J805" s="18" t="s">
        <v>295</v>
      </c>
    </row>
    <row r="806" ht="18" customHeight="1" outlineLevel="2" spans="1:10">
      <c r="A806" s="18">
        <v>1</v>
      </c>
      <c r="B806" s="18">
        <v>10</v>
      </c>
      <c r="C806" s="18" t="s">
        <v>1840</v>
      </c>
      <c r="D806" s="18" t="s">
        <v>1839</v>
      </c>
      <c r="E806" s="18" t="s">
        <v>65</v>
      </c>
      <c r="F806" s="18" t="s">
        <v>67</v>
      </c>
      <c r="G806" s="18" t="s">
        <v>68</v>
      </c>
      <c r="H806" s="7" t="s">
        <v>155</v>
      </c>
      <c r="I806" s="18" t="s">
        <v>1779</v>
      </c>
      <c r="J806" s="18" t="s">
        <v>298</v>
      </c>
    </row>
    <row r="807" ht="18" customHeight="1" outlineLevel="2" spans="1:10">
      <c r="A807" s="18">
        <v>4</v>
      </c>
      <c r="B807" s="18">
        <v>5</v>
      </c>
      <c r="C807" s="18" t="s">
        <v>1842</v>
      </c>
      <c r="D807" s="18" t="s">
        <v>1841</v>
      </c>
      <c r="E807" s="18" t="s">
        <v>65</v>
      </c>
      <c r="F807" s="18" t="s">
        <v>67</v>
      </c>
      <c r="G807" s="18" t="s">
        <v>68</v>
      </c>
      <c r="H807" s="7" t="s">
        <v>155</v>
      </c>
      <c r="I807" s="18" t="s">
        <v>1779</v>
      </c>
      <c r="J807" s="18" t="s">
        <v>301</v>
      </c>
    </row>
    <row r="808" ht="18" customHeight="1" outlineLevel="2" spans="1:10">
      <c r="A808" s="18">
        <v>5</v>
      </c>
      <c r="B808" s="18">
        <v>10</v>
      </c>
      <c r="C808" s="18" t="s">
        <v>1844</v>
      </c>
      <c r="D808" s="18" t="s">
        <v>1843</v>
      </c>
      <c r="E808" s="18" t="s">
        <v>65</v>
      </c>
      <c r="F808" s="18" t="s">
        <v>67</v>
      </c>
      <c r="G808" s="18" t="s">
        <v>68</v>
      </c>
      <c r="H808" s="7" t="s">
        <v>155</v>
      </c>
      <c r="I808" s="18" t="s">
        <v>1779</v>
      </c>
      <c r="J808" s="18" t="s">
        <v>304</v>
      </c>
    </row>
    <row r="809" ht="18" customHeight="1" outlineLevel="2" spans="1:10">
      <c r="A809" s="18">
        <v>11</v>
      </c>
      <c r="B809" s="18">
        <v>40</v>
      </c>
      <c r="C809" s="18" t="s">
        <v>1846</v>
      </c>
      <c r="D809" s="18" t="s">
        <v>1845</v>
      </c>
      <c r="E809" s="18" t="s">
        <v>65</v>
      </c>
      <c r="F809" s="18" t="s">
        <v>68</v>
      </c>
      <c r="G809" s="18" t="s">
        <v>69</v>
      </c>
      <c r="H809" s="7" t="s">
        <v>155</v>
      </c>
      <c r="I809" s="18" t="s">
        <v>1779</v>
      </c>
      <c r="J809" s="18" t="s">
        <v>307</v>
      </c>
    </row>
    <row r="810" ht="18" customHeight="1" outlineLevel="2" spans="1:10">
      <c r="A810" s="18">
        <v>11</v>
      </c>
      <c r="B810" s="18">
        <v>12</v>
      </c>
      <c r="C810" s="18" t="s">
        <v>1849</v>
      </c>
      <c r="D810" s="18" t="s">
        <v>1848</v>
      </c>
      <c r="E810" s="18" t="s">
        <v>65</v>
      </c>
      <c r="F810" s="18" t="s">
        <v>68</v>
      </c>
      <c r="G810" s="18" t="s">
        <v>69</v>
      </c>
      <c r="H810" s="18" t="s">
        <v>155</v>
      </c>
      <c r="I810" s="18" t="s">
        <v>1779</v>
      </c>
      <c r="J810" s="18" t="s">
        <v>310</v>
      </c>
    </row>
    <row r="811" ht="18" customHeight="1" outlineLevel="2" spans="1:10">
      <c r="A811" s="18">
        <v>9</v>
      </c>
      <c r="B811" s="18">
        <v>23</v>
      </c>
      <c r="C811" s="18" t="s">
        <v>1851</v>
      </c>
      <c r="D811" s="18" t="s">
        <v>1850</v>
      </c>
      <c r="E811" s="18" t="s">
        <v>65</v>
      </c>
      <c r="F811" s="18" t="s">
        <v>68</v>
      </c>
      <c r="G811" s="18" t="s">
        <v>70</v>
      </c>
      <c r="H811" s="18" t="s">
        <v>155</v>
      </c>
      <c r="I811" s="18" t="s">
        <v>1779</v>
      </c>
      <c r="J811" s="18" t="s">
        <v>313</v>
      </c>
    </row>
    <row r="812" ht="18" customHeight="1" outlineLevel="2" spans="1:10">
      <c r="A812" s="18">
        <v>12</v>
      </c>
      <c r="B812" s="18">
        <v>56</v>
      </c>
      <c r="C812" s="19" t="s">
        <v>1047</v>
      </c>
      <c r="D812" s="19" t="s">
        <v>1046</v>
      </c>
      <c r="E812" s="19" t="s">
        <v>65</v>
      </c>
      <c r="F812" s="8" t="s">
        <v>67</v>
      </c>
      <c r="G812" s="8" t="s">
        <v>70</v>
      </c>
      <c r="H812" s="18" t="s">
        <v>155</v>
      </c>
      <c r="I812" s="18" t="s">
        <v>1779</v>
      </c>
      <c r="J812" s="19">
        <v>37</v>
      </c>
    </row>
    <row r="813" ht="18" customHeight="1" outlineLevel="1" spans="1:10">
      <c r="A813" s="18"/>
      <c r="B813" s="18"/>
      <c r="C813" s="19">
        <f>SUBTOTAL(3,C776:C812)</f>
        <v>37</v>
      </c>
      <c r="D813" s="19"/>
      <c r="E813" s="19"/>
      <c r="F813" s="8"/>
      <c r="G813" s="8"/>
      <c r="H813" s="21" t="s">
        <v>1947</v>
      </c>
      <c r="I813" s="18"/>
      <c r="J813" s="19"/>
    </row>
    <row r="814" ht="18" customHeight="1" outlineLevel="2" spans="1:10">
      <c r="A814" s="18">
        <v>13</v>
      </c>
      <c r="B814" s="18">
        <v>46</v>
      </c>
      <c r="C814" s="18" t="s">
        <v>1854</v>
      </c>
      <c r="D814" s="18" t="s">
        <v>1853</v>
      </c>
      <c r="E814" s="18" t="s">
        <v>66</v>
      </c>
      <c r="F814" s="18" t="s">
        <v>70</v>
      </c>
      <c r="G814" s="18" t="s">
        <v>69</v>
      </c>
      <c r="H814" s="18" t="s">
        <v>161</v>
      </c>
      <c r="I814" s="18" t="s">
        <v>1855</v>
      </c>
      <c r="J814" s="18" t="s">
        <v>207</v>
      </c>
    </row>
    <row r="815" ht="18" customHeight="1" outlineLevel="2" spans="1:10">
      <c r="A815" s="18">
        <v>14</v>
      </c>
      <c r="B815" s="18">
        <v>37</v>
      </c>
      <c r="C815" s="18" t="s">
        <v>1858</v>
      </c>
      <c r="D815" s="18" t="s">
        <v>1857</v>
      </c>
      <c r="E815" s="18" t="s">
        <v>66</v>
      </c>
      <c r="F815" s="18" t="s">
        <v>70</v>
      </c>
      <c r="G815" s="18" t="s">
        <v>69</v>
      </c>
      <c r="H815" s="18" t="s">
        <v>161</v>
      </c>
      <c r="I815" s="18" t="s">
        <v>1855</v>
      </c>
      <c r="J815" s="18" t="s">
        <v>210</v>
      </c>
    </row>
    <row r="816" ht="18" customHeight="1" outlineLevel="2" spans="1:10">
      <c r="A816" s="18">
        <v>15</v>
      </c>
      <c r="B816" s="18">
        <v>40</v>
      </c>
      <c r="C816" s="18" t="s">
        <v>1860</v>
      </c>
      <c r="D816" s="18" t="s">
        <v>1859</v>
      </c>
      <c r="E816" s="18" t="s">
        <v>66</v>
      </c>
      <c r="F816" s="18" t="s">
        <v>70</v>
      </c>
      <c r="G816" s="18" t="s">
        <v>69</v>
      </c>
      <c r="H816" s="18" t="s">
        <v>161</v>
      </c>
      <c r="I816" s="18" t="s">
        <v>1855</v>
      </c>
      <c r="J816" s="18" t="s">
        <v>214</v>
      </c>
    </row>
    <row r="817" ht="18" customHeight="1" outlineLevel="2" spans="1:10">
      <c r="A817" s="18">
        <v>15</v>
      </c>
      <c r="B817" s="18">
        <v>5</v>
      </c>
      <c r="C817" s="18" t="s">
        <v>1862</v>
      </c>
      <c r="D817" s="18" t="s">
        <v>1861</v>
      </c>
      <c r="E817" s="18" t="s">
        <v>66</v>
      </c>
      <c r="F817" s="18" t="s">
        <v>70</v>
      </c>
      <c r="G817" s="18" t="s">
        <v>69</v>
      </c>
      <c r="H817" s="18" t="s">
        <v>161</v>
      </c>
      <c r="I817" s="18" t="s">
        <v>1855</v>
      </c>
      <c r="J817" s="18" t="s">
        <v>217</v>
      </c>
    </row>
    <row r="818" ht="18" customHeight="1" outlineLevel="2" spans="1:10">
      <c r="A818" s="18">
        <v>15</v>
      </c>
      <c r="B818" s="18">
        <v>41</v>
      </c>
      <c r="C818" s="18" t="s">
        <v>1864</v>
      </c>
      <c r="D818" s="18" t="s">
        <v>1863</v>
      </c>
      <c r="E818" s="18" t="s">
        <v>66</v>
      </c>
      <c r="F818" s="18" t="s">
        <v>70</v>
      </c>
      <c r="G818" s="18" t="s">
        <v>69</v>
      </c>
      <c r="H818" s="18" t="s">
        <v>161</v>
      </c>
      <c r="I818" s="18" t="s">
        <v>1855</v>
      </c>
      <c r="J818" s="18" t="s">
        <v>220</v>
      </c>
    </row>
    <row r="819" ht="18" customHeight="1" outlineLevel="2" spans="1:10">
      <c r="A819" s="18">
        <v>15</v>
      </c>
      <c r="B819" s="18">
        <v>32</v>
      </c>
      <c r="C819" s="18" t="s">
        <v>1866</v>
      </c>
      <c r="D819" s="18" t="s">
        <v>1865</v>
      </c>
      <c r="E819" s="18" t="s">
        <v>66</v>
      </c>
      <c r="F819" s="18" t="s">
        <v>70</v>
      </c>
      <c r="G819" s="18" t="s">
        <v>69</v>
      </c>
      <c r="H819" s="18" t="s">
        <v>161</v>
      </c>
      <c r="I819" s="18" t="s">
        <v>1855</v>
      </c>
      <c r="J819" s="18" t="s">
        <v>223</v>
      </c>
    </row>
    <row r="820" ht="18" customHeight="1" outlineLevel="2" spans="1:10">
      <c r="A820" s="18">
        <v>15</v>
      </c>
      <c r="B820" s="18">
        <v>1</v>
      </c>
      <c r="C820" s="18" t="s">
        <v>1868</v>
      </c>
      <c r="D820" s="18" t="s">
        <v>1867</v>
      </c>
      <c r="E820" s="18" t="s">
        <v>66</v>
      </c>
      <c r="F820" s="18" t="s">
        <v>70</v>
      </c>
      <c r="G820" s="18" t="s">
        <v>69</v>
      </c>
      <c r="H820" s="18" t="s">
        <v>161</v>
      </c>
      <c r="I820" s="18" t="s">
        <v>1855</v>
      </c>
      <c r="J820" s="18" t="s">
        <v>226</v>
      </c>
    </row>
    <row r="821" ht="18" customHeight="1" outlineLevel="2" spans="1:10">
      <c r="A821" s="18">
        <v>14</v>
      </c>
      <c r="B821" s="18">
        <v>11</v>
      </c>
      <c r="C821" s="18" t="s">
        <v>1870</v>
      </c>
      <c r="D821" s="18" t="s">
        <v>1869</v>
      </c>
      <c r="E821" s="18" t="s">
        <v>66</v>
      </c>
      <c r="F821" s="18" t="s">
        <v>70</v>
      </c>
      <c r="G821" s="18" t="s">
        <v>69</v>
      </c>
      <c r="H821" s="18" t="s">
        <v>161</v>
      </c>
      <c r="I821" s="18" t="s">
        <v>1855</v>
      </c>
      <c r="J821" s="18" t="s">
        <v>229</v>
      </c>
    </row>
    <row r="822" ht="18" customHeight="1" outlineLevel="2" spans="1:10">
      <c r="A822" s="18">
        <v>13</v>
      </c>
      <c r="B822" s="18">
        <v>36</v>
      </c>
      <c r="C822" s="18" t="s">
        <v>1872</v>
      </c>
      <c r="D822" s="18" t="s">
        <v>1871</v>
      </c>
      <c r="E822" s="18" t="s">
        <v>66</v>
      </c>
      <c r="F822" s="18" t="s">
        <v>70</v>
      </c>
      <c r="G822" s="18" t="s">
        <v>69</v>
      </c>
      <c r="H822" s="18" t="s">
        <v>161</v>
      </c>
      <c r="I822" s="18" t="s">
        <v>1855</v>
      </c>
      <c r="J822" s="18" t="s">
        <v>232</v>
      </c>
    </row>
    <row r="823" ht="18" customHeight="1" outlineLevel="2" spans="1:10">
      <c r="A823" s="18">
        <v>14</v>
      </c>
      <c r="B823" s="18">
        <v>16</v>
      </c>
      <c r="C823" s="18" t="s">
        <v>1874</v>
      </c>
      <c r="D823" s="18" t="s">
        <v>1873</v>
      </c>
      <c r="E823" s="18" t="s">
        <v>66</v>
      </c>
      <c r="F823" s="18" t="s">
        <v>70</v>
      </c>
      <c r="G823" s="18" t="s">
        <v>69</v>
      </c>
      <c r="H823" s="18" t="s">
        <v>161</v>
      </c>
      <c r="I823" s="18" t="s">
        <v>1855</v>
      </c>
      <c r="J823" s="18" t="s">
        <v>235</v>
      </c>
    </row>
    <row r="824" ht="18" customHeight="1" outlineLevel="2" spans="1:10">
      <c r="A824" s="18">
        <v>16</v>
      </c>
      <c r="B824" s="18">
        <v>16</v>
      </c>
      <c r="C824" s="18" t="s">
        <v>1876</v>
      </c>
      <c r="D824" s="18" t="s">
        <v>1875</v>
      </c>
      <c r="E824" s="18" t="s">
        <v>66</v>
      </c>
      <c r="F824" s="18" t="s">
        <v>70</v>
      </c>
      <c r="G824" s="18" t="s">
        <v>69</v>
      </c>
      <c r="H824" s="18" t="s">
        <v>161</v>
      </c>
      <c r="I824" s="18" t="s">
        <v>1855</v>
      </c>
      <c r="J824" s="18" t="s">
        <v>238</v>
      </c>
    </row>
    <row r="825" ht="18" customHeight="1" outlineLevel="2" spans="1:10">
      <c r="A825" s="18">
        <v>16</v>
      </c>
      <c r="B825" s="18">
        <v>26</v>
      </c>
      <c r="C825" s="18" t="s">
        <v>1878</v>
      </c>
      <c r="D825" s="18" t="s">
        <v>1877</v>
      </c>
      <c r="E825" s="18" t="s">
        <v>66</v>
      </c>
      <c r="F825" s="18" t="s">
        <v>70</v>
      </c>
      <c r="G825" s="18" t="s">
        <v>69</v>
      </c>
      <c r="H825" s="18" t="s">
        <v>161</v>
      </c>
      <c r="I825" s="18" t="s">
        <v>1855</v>
      </c>
      <c r="J825" s="18" t="s">
        <v>241</v>
      </c>
    </row>
    <row r="826" ht="18" customHeight="1" outlineLevel="2" spans="1:10">
      <c r="A826" s="18">
        <v>13</v>
      </c>
      <c r="B826" s="18">
        <v>10</v>
      </c>
      <c r="C826" s="18" t="s">
        <v>1880</v>
      </c>
      <c r="D826" s="18" t="s">
        <v>1879</v>
      </c>
      <c r="E826" s="18" t="s">
        <v>66</v>
      </c>
      <c r="F826" s="18" t="s">
        <v>70</v>
      </c>
      <c r="G826" s="18" t="s">
        <v>69</v>
      </c>
      <c r="H826" s="18" t="s">
        <v>161</v>
      </c>
      <c r="I826" s="18" t="s">
        <v>1855</v>
      </c>
      <c r="J826" s="18" t="s">
        <v>244</v>
      </c>
    </row>
    <row r="827" ht="18" customHeight="1" outlineLevel="2" spans="1:10">
      <c r="A827" s="18">
        <v>16</v>
      </c>
      <c r="B827" s="18">
        <v>46</v>
      </c>
      <c r="C827" s="18" t="s">
        <v>1882</v>
      </c>
      <c r="D827" s="18" t="s">
        <v>1881</v>
      </c>
      <c r="E827" s="18" t="s">
        <v>66</v>
      </c>
      <c r="F827" s="18" t="s">
        <v>70</v>
      </c>
      <c r="G827" s="18" t="s">
        <v>69</v>
      </c>
      <c r="H827" s="18" t="s">
        <v>161</v>
      </c>
      <c r="I827" s="18" t="s">
        <v>1855</v>
      </c>
      <c r="J827" s="18" t="s">
        <v>247</v>
      </c>
    </row>
    <row r="828" ht="18" customHeight="1" outlineLevel="2" spans="1:10">
      <c r="A828" s="18">
        <v>15</v>
      </c>
      <c r="B828" s="18">
        <v>44</v>
      </c>
      <c r="C828" s="18" t="s">
        <v>1884</v>
      </c>
      <c r="D828" s="18" t="s">
        <v>1883</v>
      </c>
      <c r="E828" s="18" t="s">
        <v>66</v>
      </c>
      <c r="F828" s="18" t="s">
        <v>70</v>
      </c>
      <c r="G828" s="18" t="s">
        <v>69</v>
      </c>
      <c r="H828" s="18" t="s">
        <v>161</v>
      </c>
      <c r="I828" s="18" t="s">
        <v>1855</v>
      </c>
      <c r="J828" s="18" t="s">
        <v>250</v>
      </c>
    </row>
    <row r="829" ht="18" customHeight="1" outlineLevel="2" spans="1:10">
      <c r="A829" s="18">
        <v>14</v>
      </c>
      <c r="B829" s="18">
        <v>28</v>
      </c>
      <c r="C829" s="18" t="s">
        <v>1886</v>
      </c>
      <c r="D829" s="18" t="s">
        <v>1885</v>
      </c>
      <c r="E829" s="18" t="s">
        <v>66</v>
      </c>
      <c r="F829" s="18" t="s">
        <v>70</v>
      </c>
      <c r="G829" s="18" t="s">
        <v>68</v>
      </c>
      <c r="H829" s="18" t="s">
        <v>161</v>
      </c>
      <c r="I829" s="18" t="s">
        <v>1855</v>
      </c>
      <c r="J829" s="18" t="s">
        <v>253</v>
      </c>
    </row>
    <row r="830" ht="18" customHeight="1" outlineLevel="2" spans="1:10">
      <c r="A830" s="18">
        <v>14</v>
      </c>
      <c r="B830" s="18">
        <v>21</v>
      </c>
      <c r="C830" s="18" t="s">
        <v>1889</v>
      </c>
      <c r="D830" s="18" t="s">
        <v>1888</v>
      </c>
      <c r="E830" s="18" t="s">
        <v>66</v>
      </c>
      <c r="F830" s="18" t="s">
        <v>70</v>
      </c>
      <c r="G830" s="18" t="s">
        <v>68</v>
      </c>
      <c r="H830" s="18" t="s">
        <v>161</v>
      </c>
      <c r="I830" s="18" t="s">
        <v>1855</v>
      </c>
      <c r="J830" s="18" t="s">
        <v>256</v>
      </c>
    </row>
    <row r="831" ht="18" customHeight="1" outlineLevel="2" spans="1:10">
      <c r="A831" s="18">
        <v>14</v>
      </c>
      <c r="B831" s="18">
        <v>31</v>
      </c>
      <c r="C831" s="18" t="s">
        <v>1891</v>
      </c>
      <c r="D831" s="18" t="s">
        <v>1890</v>
      </c>
      <c r="E831" s="18" t="s">
        <v>66</v>
      </c>
      <c r="F831" s="18" t="s">
        <v>70</v>
      </c>
      <c r="G831" s="18" t="s">
        <v>68</v>
      </c>
      <c r="H831" s="18" t="s">
        <v>161</v>
      </c>
      <c r="I831" s="18" t="s">
        <v>1855</v>
      </c>
      <c r="J831" s="18" t="s">
        <v>259</v>
      </c>
    </row>
    <row r="832" ht="18" customHeight="1" outlineLevel="2" spans="1:10">
      <c r="A832" s="18">
        <v>14</v>
      </c>
      <c r="B832" s="18">
        <v>33</v>
      </c>
      <c r="C832" s="18" t="s">
        <v>1893</v>
      </c>
      <c r="D832" s="18" t="s">
        <v>1892</v>
      </c>
      <c r="E832" s="18" t="s">
        <v>66</v>
      </c>
      <c r="F832" s="18" t="s">
        <v>70</v>
      </c>
      <c r="G832" s="18" t="s">
        <v>68</v>
      </c>
      <c r="H832" s="18" t="s">
        <v>161</v>
      </c>
      <c r="I832" s="18" t="s">
        <v>1855</v>
      </c>
      <c r="J832" s="18" t="s">
        <v>262</v>
      </c>
    </row>
    <row r="833" ht="18" customHeight="1" outlineLevel="2" spans="1:10">
      <c r="A833" s="18">
        <v>14</v>
      </c>
      <c r="B833" s="18">
        <v>17</v>
      </c>
      <c r="C833" s="18" t="s">
        <v>1895</v>
      </c>
      <c r="D833" s="18" t="s">
        <v>1894</v>
      </c>
      <c r="E833" s="18" t="s">
        <v>66</v>
      </c>
      <c r="F833" s="18" t="s">
        <v>70</v>
      </c>
      <c r="G833" s="18" t="s">
        <v>68</v>
      </c>
      <c r="H833" s="18" t="s">
        <v>161</v>
      </c>
      <c r="I833" s="18" t="s">
        <v>1855</v>
      </c>
      <c r="J833" s="18" t="s">
        <v>265</v>
      </c>
    </row>
    <row r="834" ht="18" customHeight="1" outlineLevel="2" spans="1:10">
      <c r="A834" s="18">
        <v>14</v>
      </c>
      <c r="B834" s="18">
        <v>6</v>
      </c>
      <c r="C834" s="18" t="s">
        <v>1897</v>
      </c>
      <c r="D834" s="18" t="s">
        <v>1896</v>
      </c>
      <c r="E834" s="18" t="s">
        <v>66</v>
      </c>
      <c r="F834" s="18" t="s">
        <v>70</v>
      </c>
      <c r="G834" s="18" t="s">
        <v>68</v>
      </c>
      <c r="H834" s="18" t="s">
        <v>161</v>
      </c>
      <c r="I834" s="18" t="s">
        <v>1855</v>
      </c>
      <c r="J834" s="18" t="s">
        <v>268</v>
      </c>
    </row>
    <row r="835" ht="18" customHeight="1" outlineLevel="2" spans="1:10">
      <c r="A835" s="18">
        <v>13</v>
      </c>
      <c r="B835" s="18">
        <v>43</v>
      </c>
      <c r="C835" s="18" t="s">
        <v>1899</v>
      </c>
      <c r="D835" s="18" t="s">
        <v>1898</v>
      </c>
      <c r="E835" s="18" t="s">
        <v>66</v>
      </c>
      <c r="F835" s="18" t="s">
        <v>69</v>
      </c>
      <c r="G835" s="18" t="s">
        <v>68</v>
      </c>
      <c r="H835" s="18" t="s">
        <v>161</v>
      </c>
      <c r="I835" s="18" t="s">
        <v>1855</v>
      </c>
      <c r="J835" s="18" t="s">
        <v>271</v>
      </c>
    </row>
    <row r="836" ht="18" customHeight="1" outlineLevel="2" spans="1:10">
      <c r="A836" s="18">
        <v>13</v>
      </c>
      <c r="B836" s="18">
        <v>40</v>
      </c>
      <c r="C836" s="18" t="s">
        <v>1902</v>
      </c>
      <c r="D836" s="18" t="s">
        <v>1901</v>
      </c>
      <c r="E836" s="18" t="s">
        <v>66</v>
      </c>
      <c r="F836" s="18" t="s">
        <v>69</v>
      </c>
      <c r="G836" s="18" t="s">
        <v>68</v>
      </c>
      <c r="H836" s="18" t="s">
        <v>161</v>
      </c>
      <c r="I836" s="18" t="s">
        <v>1855</v>
      </c>
      <c r="J836" s="18" t="s">
        <v>274</v>
      </c>
    </row>
    <row r="837" ht="18" customHeight="1" outlineLevel="2" spans="1:10">
      <c r="A837" s="18">
        <v>13</v>
      </c>
      <c r="B837" s="18">
        <v>15</v>
      </c>
      <c r="C837" s="18" t="s">
        <v>1904</v>
      </c>
      <c r="D837" s="18" t="s">
        <v>1903</v>
      </c>
      <c r="E837" s="18" t="s">
        <v>66</v>
      </c>
      <c r="F837" s="18" t="s">
        <v>69</v>
      </c>
      <c r="G837" s="18" t="s">
        <v>68</v>
      </c>
      <c r="H837" s="18" t="s">
        <v>161</v>
      </c>
      <c r="I837" s="18" t="s">
        <v>1855</v>
      </c>
      <c r="J837" s="18" t="s">
        <v>277</v>
      </c>
    </row>
    <row r="838" ht="18" customHeight="1" outlineLevel="2" spans="1:10">
      <c r="A838" s="18">
        <v>14</v>
      </c>
      <c r="B838" s="18">
        <v>4</v>
      </c>
      <c r="C838" s="18" t="s">
        <v>1906</v>
      </c>
      <c r="D838" s="18" t="s">
        <v>1905</v>
      </c>
      <c r="E838" s="18" t="s">
        <v>66</v>
      </c>
      <c r="F838" s="18" t="s">
        <v>67</v>
      </c>
      <c r="G838" s="18" t="s">
        <v>70</v>
      </c>
      <c r="H838" s="18" t="s">
        <v>161</v>
      </c>
      <c r="I838" s="18" t="s">
        <v>1855</v>
      </c>
      <c r="J838" s="18" t="s">
        <v>280</v>
      </c>
    </row>
    <row r="839" ht="18" customHeight="1" outlineLevel="1" spans="1:10">
      <c r="A839" s="18"/>
      <c r="B839" s="18"/>
      <c r="C839" s="18">
        <f>SUBTOTAL(3,C814:C838)</f>
        <v>25</v>
      </c>
      <c r="D839" s="18"/>
      <c r="E839" s="18"/>
      <c r="F839" s="18"/>
      <c r="G839" s="18"/>
      <c r="H839" s="21" t="s">
        <v>1948</v>
      </c>
      <c r="I839" s="18"/>
      <c r="J839" s="18"/>
    </row>
    <row r="840" ht="18" customHeight="1" spans="1:10">
      <c r="A840" s="18"/>
      <c r="B840" s="18"/>
      <c r="C840" s="18">
        <f>SUBTOTAL(3,C3:C838)</f>
        <v>817</v>
      </c>
      <c r="D840" s="18"/>
      <c r="E840" s="18"/>
      <c r="F840" s="18"/>
      <c r="G840" s="18"/>
      <c r="H840" s="21" t="s">
        <v>1928</v>
      </c>
      <c r="I840" s="18"/>
      <c r="J840" s="18"/>
    </row>
  </sheetData>
  <autoFilter xmlns:etc="http://www.wps.cn/officeDocument/2017/etCustomData" ref="A2:J840" etc:filterBottomFollowUsedRange="0">
    <extLst/>
  </autoFilter>
  <mergeCells count="1">
    <mergeCell ref="A1:J1"/>
  </mergeCells>
  <printOptions horizontalCentered="1"/>
  <pageMargins left="0.393055555555556" right="0.393055555555556" top="0.393055555555556" bottom="0.393055555555556" header="0" footer="0"/>
  <pageSetup paperSize="9" orientation="portrait" horizontalDpi="600"/>
  <headerFooter/>
  <rowBreaks count="20" manualBreakCount="20">
    <brk id="45" max="9" man="1"/>
    <brk id="88" max="9" man="1"/>
    <brk id="131" max="9" man="1"/>
    <brk id="174" max="9" man="1"/>
    <brk id="217" max="9" man="1"/>
    <brk id="260" max="9" man="1"/>
    <brk id="303" max="9" man="1"/>
    <brk id="346" max="9" man="1"/>
    <brk id="389" max="9" man="1"/>
    <brk id="431" max="9" man="1"/>
    <brk id="474" max="9" man="1"/>
    <brk id="517" max="9" man="1"/>
    <brk id="560" max="9" man="1"/>
    <brk id="603" max="9" man="1"/>
    <brk id="646" max="9" man="1"/>
    <brk id="689" max="9" man="1"/>
    <brk id="732" max="9" man="1"/>
    <brk id="775" max="9" man="1"/>
    <brk id="813" max="9" man="1"/>
    <brk id="840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E20"/>
  <sheetViews>
    <sheetView view="pageBreakPreview" zoomScale="40" zoomScaleNormal="40" workbookViewId="0">
      <selection activeCell="A1" sqref="A1"/>
    </sheetView>
  </sheetViews>
  <sheetFormatPr defaultColWidth="32.625" defaultRowHeight="114.95" customHeight="1" outlineLevelCol="4"/>
  <cols>
    <col min="1" max="5" width="32.625" style="11"/>
    <col min="6" max="16380" width="32.625" style="12"/>
    <col min="16381" max="16384" width="32.625" style="14"/>
  </cols>
  <sheetData>
    <row r="1" ht="200" customHeight="1" spans="1:5">
      <c r="A1" s="13" t="str">
        <f>CONCATENATE(监考安排!$A4,"                       ",监考安排!T$2,"                    ",监考安排!$B4,"人","                      监考员：","                应考：","                实考：")</f>
        <v>高二1班                       语文                    42人                      监考员：                应考：                实考：</v>
      </c>
      <c r="B1" s="13" t="str">
        <f>CONCATENATE(监考安排!$A4,"                       ",监考安排!V$2,"                    ",监考安排!$B4,"人","                      监考员：","                应考：","                实考：")</f>
        <v>高二1班                       数学                    42人                      监考员：                应考：                实考：</v>
      </c>
      <c r="C1" s="13" t="str">
        <f>CONCATENATE(监考安排!$A4,"                       ",监考安排!W$2,"                    ",监考安排!$B4,"人","                      监考员：","                应考：","                实考：")</f>
        <v>高二1班                       政治学考                    42人                      监考员：                应考：                实考：</v>
      </c>
      <c r="D1" s="13" t="str">
        <f>CONCATENATE(监考安排!$A4,"                       ",监考安排!Z$2,"                    ",监考安排!$B4,"人","                      监考员：","                应考：","                实考：")</f>
        <v>高二1班                       英语                    42人                      监考员：                应考：                实考：</v>
      </c>
      <c r="E1" s="13" t="str">
        <f>CONCATENATE(监考安排!$A4,"                       ",监考安排!AA$2,"                    ",监考安排!$B4,"人","                      监考员：","                应考：","                实考：")</f>
        <v>高二1班                       物理学考                    42人                      监考员：                应考：                实考：</v>
      </c>
    </row>
    <row r="2" ht="200" customHeight="1" spans="1:5">
      <c r="A2" s="13" t="str">
        <f>CONCATENATE(监考安排!$A5,"                       ",监考安排!T$2,"                    ",监考安排!$B5,"人","                      监考员：","                应考：","                实考：")</f>
        <v>高二2班                       语文                    42人                      监考员：                应考：                实考：</v>
      </c>
      <c r="B2" s="13" t="str">
        <f>CONCATENATE(监考安排!$A5,"                       ",监考安排!V$2,"                    ",监考安排!$B5,"人","                      监考员：","                应考：","                实考：")</f>
        <v>高二2班                       数学                    42人                      监考员：                应考：                实考：</v>
      </c>
      <c r="C2" s="13" t="str">
        <f>CONCATENATE(监考安排!$A5,"                       ",监考安排!W$2,"                    ",监考安排!$B5,"人","                      监考员：","                应考：","                实考：")</f>
        <v>高二2班                       政治学考                    42人                      监考员：                应考：                实考：</v>
      </c>
      <c r="D2" s="13" t="str">
        <f>CONCATENATE(监考安排!$A5,"                       ",监考安排!Z$2,"                    ",监考安排!$B5,"人","                      监考员：","                应考：","                实考：")</f>
        <v>高二2班                       英语                    42人                      监考员：                应考：                实考：</v>
      </c>
      <c r="E2" s="13" t="str">
        <f>CONCATENATE(监考安排!$A5,"                       ",监考安排!AA$2,"                    ",监考安排!$B5,"人","                      监考员：","                应考：","                实考：")</f>
        <v>高二2班                       物理学考                    42人                      监考员：                应考：                实考：</v>
      </c>
    </row>
    <row r="3" ht="200" customHeight="1" spans="1:5">
      <c r="A3" s="13" t="str">
        <f>CONCATENATE(监考安排!$A6,"                       ",监考安排!T$2,"                    ",监考安排!$B6,"人","                      监考员：","                应考：","                实考：")</f>
        <v>高二3班                       语文                    42人                      监考员：                应考：                实考：</v>
      </c>
      <c r="B3" s="13" t="str">
        <f>CONCATENATE(监考安排!$A6,"                       ",监考安排!V$2,"                    ",监考安排!$B6,"人","                      监考员：","                应考：","                实考：")</f>
        <v>高二3班                       数学                    42人                      监考员：                应考：                实考：</v>
      </c>
      <c r="C3" s="13" t="str">
        <f>CONCATENATE(监考安排!$A6,"                       ",监考安排!W$2,"                    ",监考安排!$B6,"人","                      监考员：","                应考：","                实考：")</f>
        <v>高二3班                       政治学考                    42人                      监考员：                应考：                实考：</v>
      </c>
      <c r="D3" s="13" t="str">
        <f>CONCATENATE(监考安排!$A6,"                       ",监考安排!Z$2,"                    ",监考安排!$B6,"人","                      监考员：","                应考：","                实考：")</f>
        <v>高二3班                       英语                    42人                      监考员：                应考：                实考：</v>
      </c>
      <c r="E3" s="13" t="str">
        <f>CONCATENATE(监考安排!$A6,"                       ",监考安排!AA$2,"                    ",监考安排!$B6,"人","                      监考员：","                应考：","                实考：")</f>
        <v>高二3班                       物理学考                    42人                      监考员：                应考：                实考：</v>
      </c>
    </row>
    <row r="4" ht="200" customHeight="1" spans="1:5">
      <c r="A4" s="13" t="str">
        <f>CONCATENATE(监考安排!$A7,"                       ",监考安排!T$2,"                    ",监考安排!$B7,"人","                      监考员：","                应考：","                实考：")</f>
        <v>高二4班                       语文                    42人                      监考员：                应考：                实考：</v>
      </c>
      <c r="B4" s="13" t="str">
        <f>CONCATENATE(监考安排!$A7,"                       ",监考安排!V$2,"                    ",监考安排!$B7,"人","                      监考员：","                应考：","                实考：")</f>
        <v>高二4班                       数学                    42人                      监考员：                应考：                实考：</v>
      </c>
      <c r="C4" s="13" t="str">
        <f>CONCATENATE(监考安排!$A7,"                       ",监考安排!W$2,"                    ",监考安排!$B7,"人","                      监考员：","                应考：","                实考：")</f>
        <v>高二4班                       政治学考                    42人                      监考员：                应考：                实考：</v>
      </c>
      <c r="D4" s="13" t="str">
        <f>CONCATENATE(监考安排!$A7,"                       ",监考安排!Z$2,"                    ",监考安排!$B7,"人","                      监考员：","                应考：","                实考：")</f>
        <v>高二4班                       英语                    42人                      监考员：                应考：                实考：</v>
      </c>
      <c r="E4" s="13" t="str">
        <f>CONCATENATE(监考安排!$A7,"                       ",监考安排!AA$2,"                    ",监考安排!$B7,"人","                      监考员：","                应考：","                实考：")</f>
        <v>高二4班                       物理学考                    42人                      监考员：                应考：                实考：</v>
      </c>
    </row>
    <row r="5" ht="200" customHeight="1" spans="1:5">
      <c r="A5" s="13" t="str">
        <f>CONCATENATE(监考安排!$A8,"                       ",监考安排!T$2,"                    ",监考安排!$B8,"人","                      监考员：","                应考：","                实考：")</f>
        <v>高二5班                       语文                    42人                      监考员：                应考：                实考：</v>
      </c>
      <c r="B5" s="13" t="str">
        <f>CONCATENATE(监考安排!$A8,"                       ",监考安排!V$2,"                    ",监考安排!$B8,"人","                      监考员：","                应考：","                实考：")</f>
        <v>高二5班                       数学                    42人                      监考员：                应考：                实考：</v>
      </c>
      <c r="C5" s="13" t="str">
        <f>CONCATENATE(监考安排!$A8,"                       ",监考安排!W$2,"                    ",监考安排!$B8,"人","                      监考员：","                应考：","                实考：")</f>
        <v>高二5班                       政治学考                    42人                      监考员：                应考：                实考：</v>
      </c>
      <c r="D5" s="13" t="str">
        <f>CONCATENATE(监考安排!$A8,"                       ",监考安排!Z$2,"                    ",监考安排!$B8,"人","                      监考员：","                应考：","                实考：")</f>
        <v>高二5班                       英语                    42人                      监考员：                应考：                实考：</v>
      </c>
      <c r="E5" s="13" t="str">
        <f>CONCATENATE(监考安排!$A8,"                       ",监考安排!AA$2,"                    ",监考安排!$B8,"人","                      监考员：","                应考：","                实考：")</f>
        <v>高二5班                       物理学考                    42人                      监考员：                应考：                实考：</v>
      </c>
    </row>
    <row r="6" ht="200" customHeight="1" spans="1:5">
      <c r="A6" s="13" t="str">
        <f>CONCATENATE(监考安排!$A9,"                       ",监考安排!T$2,"                    ",监考安排!$B9,"人","                      监考员：","                应考：","                实考：")</f>
        <v>高二6班                       语文                    42人                      监考员：                应考：                实考：</v>
      </c>
      <c r="B6" s="13" t="str">
        <f>CONCATENATE(监考安排!$A9,"                       ",监考安排!V$2,"                    ",监考安排!$B9,"人","                      监考员：","                应考：","                实考：")</f>
        <v>高二6班                       数学                    42人                      监考员：                应考：                实考：</v>
      </c>
      <c r="C6" s="13" t="str">
        <f>CONCATENATE(监考安排!$A9,"                       ",监考安排!W$2,"                    ",监考安排!$B9,"人","                      监考员：","                应考：","                实考：")</f>
        <v>高二6班                       政治学考                    42人                      监考员：                应考：                实考：</v>
      </c>
      <c r="D6" s="13" t="str">
        <f>CONCATENATE(监考安排!$A9,"                       ",监考安排!Z$2,"                    ",监考安排!$B9,"人","                      监考员：","                应考：","                实考：")</f>
        <v>高二6班                       英语                    42人                      监考员：                应考：                实考：</v>
      </c>
      <c r="E6" s="13" t="str">
        <f>CONCATENATE(监考安排!$A9,"                       ",监考安排!AA$2,"                    ",监考安排!$B9,"人","                      监考员：","                应考：","                实考：")</f>
        <v>高二6班                       物理学考                    42人                      监考员：                应考：                实考：</v>
      </c>
    </row>
    <row r="7" ht="200" customHeight="1" spans="1:5">
      <c r="A7" s="13" t="str">
        <f>CONCATENATE(监考安排!$A10,"                       ",监考安排!T$2,"                    ",监考安排!$B10,"人","                      监考员：","                应考：","                实考：")</f>
        <v>高二7班                       语文                    42人                      监考员：                应考：                实考：</v>
      </c>
      <c r="B7" s="13" t="str">
        <f>CONCATENATE(监考安排!$A10,"                       ",监考安排!V$2,"                    ",监考安排!$B10,"人","                      监考员：","                应考：","                实考：")</f>
        <v>高二7班                       数学                    42人                      监考员：                应考：                实考：</v>
      </c>
      <c r="C7" s="13" t="str">
        <f>CONCATENATE(监考安排!$A10,"                       ",监考安排!W$2,"                    ",监考安排!$B10,"人","                      监考员：","                应考：","                实考：")</f>
        <v>高二7班                       政治学考                    42人                      监考员：                应考：                实考：</v>
      </c>
      <c r="D7" s="13" t="str">
        <f>CONCATENATE(监考安排!$A10,"                       ",监考安排!Z$2,"                    ",监考安排!$B10,"人","                      监考员：","                应考：","                实考：")</f>
        <v>高二7班                       英语                    42人                      监考员：                应考：                实考：</v>
      </c>
      <c r="E7" s="13" t="str">
        <f>CONCATENATE(监考安排!$A10,"                       ",监考安排!AA$2,"                    ",监考安排!$B10,"人","                      监考员：","                应考：","                实考：")</f>
        <v>高二7班                       物理学考                    42人                      监考员：                应考：                实考：</v>
      </c>
    </row>
    <row r="8" ht="200" customHeight="1" spans="1:5">
      <c r="A8" s="13" t="str">
        <f>CONCATENATE(监考安排!$A11,"                       ",监考安排!T$2,"                    ",监考安排!$B11,"人","                      监考员：","                应考：","                实考：")</f>
        <v>高二8班                       语文                    42人                      监考员：                应考：                实考：</v>
      </c>
      <c r="B8" s="13" t="str">
        <f>CONCATENATE(监考安排!$A11,"                       ",监考安排!V$2,"                    ",监考安排!$B11,"人","                      监考员：","                应考：","                实考：")</f>
        <v>高二8班                       数学                    42人                      监考员：                应考：                实考：</v>
      </c>
      <c r="C8" s="13" t="str">
        <f>CONCATENATE(监考安排!$A11,"                       ",监考安排!W$2,"                    ",监考安排!$B11,"人","                      监考员：","                应考：","                实考：")</f>
        <v>高二8班                       政治学考                    42人                      监考员：                应考：                实考：</v>
      </c>
      <c r="D8" s="13" t="str">
        <f>CONCATENATE(监考安排!$A11,"                       ",监考安排!Z$2,"                    ",监考安排!$B11,"人","                      监考员：","                应考：","                实考：")</f>
        <v>高二8班                       英语                    42人                      监考员：                应考：                实考：</v>
      </c>
      <c r="E8" s="13" t="str">
        <f>CONCATENATE(监考安排!$A11,"                       ",监考安排!AA$2,"                    ",监考安排!$B11,"人","                      监考员：","                应考：","                实考：")</f>
        <v>高二8班                       物理学考                    42人                      监考员：                应考：                实考：</v>
      </c>
    </row>
    <row r="9" ht="200" customHeight="1" spans="1:5">
      <c r="A9" s="13" t="str">
        <f>CONCATENATE(监考安排!$A12,"                       ",监考安排!T$2,"                    ",监考安排!$B12,"人","                      监考员：","                应考：","                实考：")</f>
        <v>高二9班                       语文                    42人                      监考员：                应考：                实考：</v>
      </c>
      <c r="B9" s="13" t="str">
        <f>CONCATENATE(监考安排!$A12,"                       ",监考安排!V$2,"                    ",监考安排!$B12,"人","                      监考员：","                应考：","                实考：")</f>
        <v>高二9班                       数学                    42人                      监考员：                应考：                实考：</v>
      </c>
      <c r="C9" s="13" t="str">
        <f>CONCATENATE(监考安排!$A12,"                       ",监考安排!W$2,"                    ",监考安排!$B12,"人","                      监考员：","                应考：","                实考：")</f>
        <v>高二9班                       政治学考                    42人                      监考员：                应考：                实考：</v>
      </c>
      <c r="D9" s="13" t="str">
        <f>CONCATENATE(监考安排!$A12,"                       ",监考安排!Z$2,"                    ",监考安排!$B12,"人","                      监考员：","                应考：","                实考：")</f>
        <v>高二9班                       英语                    42人                      监考员：                应考：                实考：</v>
      </c>
      <c r="E9" s="13" t="str">
        <f>CONCATENATE(监考安排!$A12,"                       ",监考安排!AA$2,"                    ",监考安排!$B12,"人","                      监考员：","                应考：","                实考：")</f>
        <v>高二9班                       物理学考                    42人                      监考员：                应考：                实考：</v>
      </c>
    </row>
    <row r="10" ht="200" customHeight="1" spans="1:5">
      <c r="A10" s="13" t="str">
        <f>CONCATENATE(监考安排!$A13,"                       ",监考安排!T$2,"                    ",监考安排!$B13,"人","                      监考员：","                应考：","                实考：")</f>
        <v>高二10班                       语文                    42人                      监考员：                应考：                实考：</v>
      </c>
      <c r="B10" s="13" t="str">
        <f>CONCATENATE(监考安排!$A13,"                       ",监考安排!V$2,"                    ",监考安排!$B13,"人","                      监考员：","                应考：","                实考：")</f>
        <v>高二10班                       数学                    42人                      监考员：                应考：                实考：</v>
      </c>
      <c r="C10" s="13" t="str">
        <f>CONCATENATE(监考安排!$A13,"                       ",监考安排!W$2,"                    ",监考安排!$B13,"人","                      监考员：","                应考：","                实考：")</f>
        <v>高二10班                       政治学考                    42人                      监考员：                应考：                实考：</v>
      </c>
      <c r="D10" s="13" t="str">
        <f>CONCATENATE(监考安排!$A13,"                       ",监考安排!Z$2,"                    ",监考安排!$B13,"人","                      监考员：","                应考：","                实考：")</f>
        <v>高二10班                       英语                    42人                      监考员：                应考：                实考：</v>
      </c>
      <c r="E10" s="13" t="str">
        <f>CONCATENATE(监考安排!$A13,"                       ",监考安排!AA$2,"                    ",监考安排!$B13,"人","                      监考员：","                应考：","                实考：")</f>
        <v>高二10班                       物理学考                    42人                      监考员：                应考：                实考：</v>
      </c>
    </row>
    <row r="11" ht="200" customHeight="1" spans="1:5">
      <c r="A11" s="13" t="str">
        <f>CONCATENATE(监考安排!$A14,"                       ",监考安排!T$2,"                    ",监考安排!$B14,"人","                      监考员：","                应考：","                实考：")</f>
        <v>高二11班                       语文                    42人                      监考员：                应考：                实考：</v>
      </c>
      <c r="B11" s="13" t="str">
        <f>CONCATENATE(监考安排!$A14,"                       ",监考安排!V$2,"                    ",监考安排!$B14,"人","                      监考员：","                应考：","                实考：")</f>
        <v>高二11班                       数学                    42人                      监考员：                应考：                实考：</v>
      </c>
      <c r="C11" s="13" t="str">
        <f>CONCATENATE(监考安排!$A14,"                       ",监考安排!W$2,"                    ",监考安排!$B14,"人","                      监考员：","                应考：","                实考：")</f>
        <v>高二11班                       政治学考                    42人                      监考员：                应考：                实考：</v>
      </c>
      <c r="D11" s="13" t="str">
        <f>CONCATENATE(监考安排!$A14,"                       ",监考安排!Z$2,"                    ",监考安排!$B14,"人","                      监考员：","                应考：","                实考：")</f>
        <v>高二11班                       英语                    42人                      监考员：                应考：                实考：</v>
      </c>
      <c r="E11" s="13" t="str">
        <f>CONCATENATE(监考安排!$A14,"                       ",监考安排!AA$2,"                    ",监考安排!$B14,"人","                      监考员：","                应考：","                实考：")</f>
        <v>高二11班                       物理学考                    42人                      监考员：                应考：                实考：</v>
      </c>
    </row>
    <row r="12" ht="200" customHeight="1" spans="1:5">
      <c r="A12" s="13" t="str">
        <f>CONCATENATE(监考安排!$A15,"                       ",监考安排!T$2,"                    ",监考安排!$B15,"人","                      监考员：","                应考：","                实考：")</f>
        <v>高二12班                       语文                    42人                      监考员：                应考：                实考：</v>
      </c>
      <c r="B12" s="13" t="str">
        <f>CONCATENATE(监考安排!$A15,"                       ",监考安排!V$2,"                    ",监考安排!$B15,"人","                      监考员：","                应考：","                实考：")</f>
        <v>高二12班                       数学                    42人                      监考员：                应考：                实考：</v>
      </c>
      <c r="C12" s="13" t="str">
        <f>CONCATENATE(监考安排!$A15,"                       ",监考安排!W$2,"                    ",监考安排!$B15,"人","                      监考员：","                应考：","                实考：")</f>
        <v>高二12班                       政治学考                    42人                      监考员：                应考：                实考：</v>
      </c>
      <c r="D12" s="13" t="str">
        <f>CONCATENATE(监考安排!$A15,"                       ",监考安排!Z$2,"                    ",监考安排!$B15,"人","                      监考员：","                应考：","                实考：")</f>
        <v>高二12班                       英语                    42人                      监考员：                应考：                实考：</v>
      </c>
      <c r="E12" s="13" t="str">
        <f>CONCATENATE(监考安排!$A15,"                       ",监考安排!AA$2,"                    ",监考安排!$B15,"人","                      监考员：","                应考：","                实考：")</f>
        <v>高二12班                       物理学考                    42人                      监考员：                应考：                实考：</v>
      </c>
    </row>
    <row r="13" ht="200" customHeight="1" spans="1:5">
      <c r="A13" s="13" t="str">
        <f>CONCATENATE(监考安排!$A16,"                       ",监考安排!T$2,"                    ",监考安排!$B16,"人","                      监考员：","                应考：","                实考：")</f>
        <v>高二13班                       语文                    42人                      监考员：                应考：                实考：</v>
      </c>
      <c r="B13" s="13" t="str">
        <f>CONCATENATE(监考安排!$A16,"                       ",监考安排!V$2,"                    ",监考安排!$B16,"人","                      监考员：","                应考：","                实考：")</f>
        <v>高二13班                       数学                    42人                      监考员：                应考：                实考：</v>
      </c>
      <c r="C13" s="13" t="str">
        <f>CONCATENATE(监考安排!$A16,"                       ",监考安排!W$2,"                    ",监考安排!$B16,"人","                      监考员：","                应考：","                实考：")</f>
        <v>高二13班                       政治学考                    42人                      监考员：                应考：                实考：</v>
      </c>
      <c r="D13" s="13" t="str">
        <f>CONCATENATE(监考安排!$A16,"                       ",监考安排!Z$2,"                    ",监考安排!$B16,"人","                      监考员：","                应考：","                实考：")</f>
        <v>高二13班                       英语                    42人                      监考员：                应考：                实考：</v>
      </c>
      <c r="E13" s="13" t="str">
        <f>CONCATENATE(监考安排!$A16,"                       ",监考安排!AA$2,"                    ",监考安排!$B16,"人","                      监考员：","                应考：","                实考：")</f>
        <v>高二13班                       物理学考                    42人                      监考员：                应考：                实考：</v>
      </c>
    </row>
    <row r="14" ht="200" customHeight="1" spans="1:5">
      <c r="A14" s="13" t="str">
        <f>CONCATENATE(监考安排!$A17,"                       ",监考安排!T$2,"                    ",监考安排!$B17,"人","                      监考员：","                应考：","                实考：")</f>
        <v>高二14班                       语文                    42人                      监考员：                应考：                实考：</v>
      </c>
      <c r="B14" s="13" t="str">
        <f>CONCATENATE(监考安排!$A17,"                       ",监考安排!V$2,"                    ",监考安排!$B17,"人","                      监考员：","                应考：","                实考：")</f>
        <v>高二14班                       数学                    42人                      监考员：                应考：                实考：</v>
      </c>
      <c r="C14" s="13" t="str">
        <f>CONCATENATE(监考安排!$A17,"                       ",监考安排!W$2,"                    ",监考安排!$B17,"人","                      监考员：","                应考：","                实考：")</f>
        <v>高二14班                       政治学考                    42人                      监考员：                应考：                实考：</v>
      </c>
      <c r="D14" s="13" t="str">
        <f>CONCATENATE(监考安排!$A17,"                       ",监考安排!Z$2,"                    ",监考安排!$B17,"人","                      监考员：","                应考：","                实考：")</f>
        <v>高二14班                       英语                    42人                      监考员：                应考：                实考：</v>
      </c>
      <c r="E14" s="13" t="str">
        <f>CONCATENATE(监考安排!$A17,"                       ",监考安排!AA$2,"                    ",监考安排!$B17,"人","                      监考员：","                应考：","                实考：")</f>
        <v>高二14班                       物理学考                    42人                      监考员：                应考：                实考：</v>
      </c>
    </row>
    <row r="15" ht="200" customHeight="1" spans="1:5">
      <c r="A15" s="13" t="str">
        <f>CONCATENATE(监考安排!$A18,"                       ",监考安排!T$2,"                    ",监考安排!$B18,"人","                      监考员：","                应考：","                实考：")</f>
        <v>高二15班                       语文                    42人                      监考员：                应考：                实考：</v>
      </c>
      <c r="B15" s="13" t="str">
        <f>CONCATENATE(监考安排!$A18,"                       ",监考安排!V$2,"                    ",监考安排!$B18,"人","                      监考员：","                应考：","                实考：")</f>
        <v>高二15班                       数学                    42人                      监考员：                应考：                实考：</v>
      </c>
      <c r="C15" s="13" t="str">
        <f>CONCATENATE(监考安排!$A18,"                       ",监考安排!W$2,"                    ",监考安排!$B18,"人","                      监考员：","                应考：","                实考：")</f>
        <v>高二15班                       政治学考                    42人                      监考员：                应考：                实考：</v>
      </c>
      <c r="D15" s="13" t="str">
        <f>CONCATENATE(监考安排!$A18,"                       ",监考安排!Z$2,"                    ",监考安排!$B18,"人","                      监考员：","                应考：","                实考：")</f>
        <v>高二15班                       英语                    42人                      监考员：                应考：                实考：</v>
      </c>
      <c r="E15" s="13" t="str">
        <f>CONCATENATE(监考安排!$A18,"                       ",监考安排!AA$2,"                    ",监考安排!$B18,"人","                      监考员：","                应考：","                实考：")</f>
        <v>高二15班                       物理学考                    42人                      监考员：                应考：                实考：</v>
      </c>
    </row>
    <row r="16" ht="200" customHeight="1" spans="1:5">
      <c r="A16" s="13" t="str">
        <f>CONCATENATE(监考安排!$A19,"                       ",监考安排!T$2,"                    ",监考安排!$B19,"人","                      监考员：","                应考：","                实考：")</f>
        <v>高二16班                       语文                    42人                      监考员：                应考：                实考：</v>
      </c>
      <c r="B16" s="13" t="str">
        <f>CONCATENATE(监考安排!$A19,"                       ",监考安排!V$2,"                    ",监考安排!$B19,"人","                      监考员：","                应考：","                实考：")</f>
        <v>高二16班                       数学                    42人                      监考员：                应考：                实考：</v>
      </c>
      <c r="C16" s="13" t="str">
        <f>CONCATENATE(监考安排!$A19,"                       ",监考安排!W$2,"                    ",监考安排!$B19,"人","                      监考员：","                应考：","                实考：")</f>
        <v>高二16班                       政治学考                    42人                      监考员：                应考：                实考：</v>
      </c>
      <c r="D16" s="13" t="str">
        <f>CONCATENATE(监考安排!$A19,"                       ",监考安排!Z$2,"                    ",监考安排!$B19,"人","                      监考员：","                应考：","                实考：")</f>
        <v>高二16班                       英语                    42人                      监考员：                应考：                实考：</v>
      </c>
      <c r="E16" s="13" t="str">
        <f>CONCATENATE(监考安排!$A19,"                       ",监考安排!AA$2,"                    ",监考安排!$B19,"人","                      监考员：","                应考：","                实考：")</f>
        <v>高二16班                       物理学考                    42人                      监考员：                应考：                实考：</v>
      </c>
    </row>
    <row r="17" ht="200" customHeight="1" spans="1:5">
      <c r="A17" s="13" t="str">
        <f>CONCATENATE(监考安排!$A20,"                       ",监考安排!T$2,"                    ",监考安排!$B20,"人","                      监考员：","                应考：","                实考：")</f>
        <v>公共课室3                       语文                    42人                      监考员：                应考：                实考：</v>
      </c>
      <c r="B17" s="13" t="str">
        <f>CONCATENATE(监考安排!$A20,"                       ",监考安排!V$2,"                    ",监考安排!$B20,"人","                      监考员：","                应考：","                实考：")</f>
        <v>公共课室3                       数学                    42人                      监考员：                应考：                实考：</v>
      </c>
      <c r="C17" s="13" t="str">
        <f>CONCATENATE(监考安排!$A20,"                       ",监考安排!W$2,"                    ",监考安排!$B20,"人","                      监考员：","                应考：","                实考：")</f>
        <v>公共课室3                       政治学考                    42人                      监考员：                应考：                实考：</v>
      </c>
      <c r="D17" s="13" t="str">
        <f>CONCATENATE(监考安排!$A20,"                       ",监考安排!Z$2,"                    ",监考安排!$B20,"人","                      监考员：","                应考：","                实考：")</f>
        <v>公共课室3                       英语                    42人                      监考员：                应考：                实考：</v>
      </c>
      <c r="E17" s="13" t="str">
        <f>CONCATENATE(监考安排!$A20,"                       ",监考安排!AA$2,"                    ",监考安排!$B20,"人","                      监考员：","                应考：","                实考：")</f>
        <v>公共课室3                       物理学考                    42人                      监考员：                应考：                实考：</v>
      </c>
    </row>
    <row r="18" ht="200" customHeight="1" spans="1:5">
      <c r="A18" s="13" t="str">
        <f>CONCATENATE(监考安排!$A21,"                       ",监考安排!T$2,"                    ",监考安排!$B21,"人","                      监考员：","                应考：","                实考：")</f>
        <v>公共课室4                       语文                    42人                      监考员：                应考：                实考：</v>
      </c>
      <c r="B18" s="13" t="str">
        <f>CONCATENATE(监考安排!$A21,"                       ",监考安排!V$2,"                    ",监考安排!$B21,"人","                      监考员：","                应考：","                实考：")</f>
        <v>公共课室4                       数学                    42人                      监考员：                应考：                实考：</v>
      </c>
      <c r="C18" s="13" t="str">
        <f>CONCATENATE(监考安排!$A21,"                       ",监考安排!W$2,"                    ",监考安排!$B21,"人","                      监考员：","                应考：","                实考：")</f>
        <v>公共课室4                       政治学考                    42人                      监考员：                应考：                实考：</v>
      </c>
      <c r="D18" s="13" t="str">
        <f>CONCATENATE(监考安排!$A21,"                       ",监考安排!Z$2,"                    ",监考安排!$B21,"人","                      监考员：","                应考：","                实考：")</f>
        <v>公共课室4                       英语                    42人                      监考员：                应考：                实考：</v>
      </c>
      <c r="E18" s="13" t="str">
        <f>CONCATENATE(监考安排!$A21,"                       ",监考安排!AA$2,"                    ",监考安排!$B21,"人","                      监考员：","                应考：","                实考：")</f>
        <v>公共课室4                       物理学考                    42人                      监考员：                应考：                实考：</v>
      </c>
    </row>
    <row r="19" ht="200" customHeight="1" spans="1:5">
      <c r="A19" s="13" t="str">
        <f>CONCATENATE(监考安排!$A22,"                       ",监考安排!T$2,"                    ",监考安排!$B22,"人","                      监考员：","                应考：","                实考：")</f>
        <v>公共课室5                       语文                    36人                      监考员：                应考：                实考：</v>
      </c>
      <c r="B19" s="13" t="str">
        <f>CONCATENATE(监考安排!$A22,"                       ",监考安排!V$2,"                    ",监考安排!$B22,"人","                      监考员：","                应考：","                实考：")</f>
        <v>公共课室5                       数学                    36人                      监考员：                应考：                实考：</v>
      </c>
      <c r="C19" s="13" t="str">
        <f>CONCATENATE(监考安排!$A22,"                       ",监考安排!W$2,"                    ",监考安排!$B22,"人","                      监考员：","                应考：","                实考：")</f>
        <v>公共课室5                       政治学考                    36人                      监考员：                应考：                实考：</v>
      </c>
      <c r="D19" s="13" t="str">
        <f>CONCATENATE(监考安排!$A22,"                       ",监考安排!Z$2,"                    ",监考安排!$B22,"人","                      监考员：","                应考：","                实考：")</f>
        <v>公共课室5                       英语                    36人                      监考员：                应考：                实考：</v>
      </c>
      <c r="E19" s="13" t="str">
        <f>CONCATENATE(监考安排!$A22,"                       ",监考安排!AA$2,"                    ",监考安排!$B22,"人","                      监考员：","                应考：","                实考：")</f>
        <v>公共课室5                       物理学考                    36人                      监考员：                应考：                实考：</v>
      </c>
    </row>
    <row r="20" s="10" customFormat="1" ht="200" customHeight="1" spans="1:5">
      <c r="A20" s="13" t="str">
        <f>CONCATENATE(监考安排!$A23,"                       ",监考安排!T$2,"                    ",监考安排!$B23,"人","                      监考员：","                应考：","                实考：")</f>
        <v>公共课室6                       语文                    25人                      监考员：                应考：                实考：</v>
      </c>
      <c r="B20" s="13" t="str">
        <f>CONCATENATE(监考安排!$A23,"                       ",监考安排!V$2,"                    ",监考安排!$B23,"人","                      监考员：","                应考：","                实考：")</f>
        <v>公共课室6                       数学                    25人                      监考员：                应考：                实考：</v>
      </c>
      <c r="C20" s="13" t="str">
        <f>CONCATENATE(监考安排!$A23,"                       ",监考安排!W$2,"                    ",监考安排!$B23,"人","                      监考员：","                应考：","                实考：")</f>
        <v>公共课室6                       政治学考                    25人                      监考员：                应考：                实考：</v>
      </c>
      <c r="D20" s="13" t="str">
        <f>CONCATENATE(监考安排!$A23,"                       ",监考安排!Z$2,"                    ",监考安排!$B23,"人","                      监考员：","                应考：","                实考：")</f>
        <v>公共课室6                       英语                    25人                      监考员：                应考：                实考：</v>
      </c>
      <c r="E20" s="13" t="str">
        <f>CONCATENATE(监考安排!$A23,"                       ",监考安排!AA$2,"                    ",监考安排!$B23,"人","                      监考员：","                应考：","                实考：")</f>
        <v>公共课室6                       物理学考                    25人                      监考员：                应考：                实考：</v>
      </c>
    </row>
  </sheetData>
  <printOptions horizontalCentered="1" verticalCentered="1"/>
  <pageMargins left="0" right="0" top="0" bottom="0" header="0.314583333333333" footer="0.314583333333333"/>
  <pageSetup paperSize="9" orientation="portrait" horizontalDpi="6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E20"/>
  <sheetViews>
    <sheetView view="pageBreakPreview" zoomScale="40" zoomScaleNormal="40" workbookViewId="0">
      <selection activeCell="A1" sqref="A1"/>
    </sheetView>
  </sheetViews>
  <sheetFormatPr defaultColWidth="32.625" defaultRowHeight="114.95" customHeight="1" outlineLevelCol="4"/>
  <cols>
    <col min="1" max="5" width="32.625" style="11" customWidth="1"/>
    <col min="6" max="16379" width="32.625" style="12"/>
  </cols>
  <sheetData>
    <row r="1" ht="220" customHeight="1" spans="1:5">
      <c r="A1" s="13" t="s">
        <v>1949</v>
      </c>
      <c r="B1" s="13" t="str">
        <f>监考安排!$AC4&amp;"                       "&amp;监考安排!AF$3&amp;"                    "&amp;监考安排!AF4&amp;"人                      监考员：                应考：                实考："</f>
        <v>高二1班                       化学                    42人                      监考员：                应考：                实考：</v>
      </c>
      <c r="C1" s="13" t="str">
        <f>监考安排!$AC4&amp;"                       "&amp;监考安排!AG$3&amp;"                    "&amp;监考安排!AG4&amp;"人                      监考员：                应考：                实考："</f>
        <v>高二1班                       生物                    42人                      监考员：                应考：                实考：</v>
      </c>
      <c r="D1" s="13" t="str">
        <f>监考安排!$AC4&amp;"                       "&amp;监考安排!AH$3&amp;"                    "&amp;监考安排!AH4&amp;"人                      监考员：                应考：                实考："</f>
        <v>高二1班                       地理                    0人                      监考员：                应考：                实考：</v>
      </c>
      <c r="E1" s="13" t="str">
        <f>监考安排!$AC4&amp;"                       "&amp;监考安排!AI$3&amp;"                    "&amp;监考安排!AI4&amp;"人                      监考员：                应考：                实考："</f>
        <v>高二1班                       政治                    0人                      监考员：                应考：                实考：</v>
      </c>
    </row>
    <row r="2" ht="220" customHeight="1" spans="1:5">
      <c r="A2" s="13" t="s">
        <v>1950</v>
      </c>
      <c r="B2" s="13" t="str">
        <f>监考安排!$AC5&amp;"                       "&amp;监考安排!AF$3&amp;"                    "&amp;监考安排!AF5&amp;"人                      监考员：                应考：                实考："</f>
        <v>高二2班                       化学                    42人                      监考员：                应考：                实考：</v>
      </c>
      <c r="C2" s="13" t="str">
        <f>监考安排!$AC5&amp;"                       "&amp;监考安排!AG$3&amp;"                    "&amp;监考安排!AG5&amp;"人                      监考员：                应考：                实考："</f>
        <v>高二2班                       生物                    42人                      监考员：                应考：                实考：</v>
      </c>
      <c r="D2" s="13" t="str">
        <f>监考安排!$AC5&amp;"                       "&amp;监考安排!AH$3&amp;"                    "&amp;监考安排!AH5&amp;"人                      监考员：                应考：                实考："</f>
        <v>高二2班                       地理                    0人                      监考员：                应考：                实考：</v>
      </c>
      <c r="E2" s="13" t="str">
        <f>监考安排!$AC5&amp;"                       "&amp;监考安排!AI$3&amp;"                    "&amp;监考安排!AI5&amp;"人                      监考员：                应考：                实考："</f>
        <v>高二2班                       政治                    0人                      监考员：                应考：                实考：</v>
      </c>
    </row>
    <row r="3" ht="220" customHeight="1" spans="1:5">
      <c r="A3" s="13" t="s">
        <v>1951</v>
      </c>
      <c r="B3" s="13" t="str">
        <f>监考安排!$AC6&amp;"                       "&amp;监考安排!AF$3&amp;"                    "&amp;监考安排!AF6&amp;"人                      监考员：                应考：                实考："</f>
        <v>高二3班                       化学                    42人                      监考员：                应考：                实考：</v>
      </c>
      <c r="C3" s="13" t="str">
        <f>监考安排!$AC6&amp;"                       "&amp;监考安排!AG$3&amp;"                    "&amp;监考安排!AG6&amp;"人                      监考员：                应考：                实考："</f>
        <v>高二3班                       生物                    42人                      监考员：                应考：                实考：</v>
      </c>
      <c r="D3" s="13" t="str">
        <f>监考安排!$AC6&amp;"                       "&amp;监考安排!AH$3&amp;"                    "&amp;监考安排!AH6&amp;"人                      监考员：                应考：                实考："</f>
        <v>高二3班                       地理                    0人                      监考员：                应考：                实考：</v>
      </c>
      <c r="E3" s="13" t="str">
        <f>监考安排!$AC6&amp;"                       "&amp;监考安排!AI$3&amp;"                    "&amp;监考安排!AI6&amp;"人                      监考员：                应考：                实考："</f>
        <v>高二3班                       政治                    0人                      监考员：                应考：                实考：</v>
      </c>
    </row>
    <row r="4" ht="220" customHeight="1" spans="1:5">
      <c r="A4" s="13" t="s">
        <v>1952</v>
      </c>
      <c r="B4" s="13" t="str">
        <f>监考安排!$AC7&amp;"                       "&amp;监考安排!AF$3&amp;"                    "&amp;监考安排!AF7&amp;"人                      监考员：                应考：                实考："</f>
        <v>高二4班                       化学                    42人                      监考员：                应考：                实考：</v>
      </c>
      <c r="C4" s="13" t="str">
        <f>监考安排!$AC7&amp;"                       "&amp;监考安排!AG$3&amp;"                    "&amp;监考安排!AG7&amp;"人                      监考员：                应考：                实考："</f>
        <v>高二4班                       生物                    42人                      监考员：                应考：                实考：</v>
      </c>
      <c r="D4" s="13" t="str">
        <f>监考安排!$AC7&amp;"                       "&amp;监考安排!AH$3&amp;"                    "&amp;监考安排!AH7&amp;"人                      监考员：                应考：                实考："</f>
        <v>高二4班                       地理                    0人                      监考员：                应考：                实考：</v>
      </c>
      <c r="E4" s="13" t="str">
        <f>监考安排!$AC7&amp;"                       "&amp;监考安排!AI$3&amp;"                    "&amp;监考安排!AI7&amp;"人                      监考员：                应考：                实考："</f>
        <v>高二4班                       政治                    0人                      监考员：                应考：                实考：</v>
      </c>
    </row>
    <row r="5" ht="220" customHeight="1" spans="1:5">
      <c r="A5" s="13" t="s">
        <v>1953</v>
      </c>
      <c r="B5" s="13" t="str">
        <f>监考安排!$AC8&amp;"                       "&amp;监考安排!AF$3&amp;"                    "&amp;监考安排!AF8&amp;"人                      监考员：                应考：                实考："</f>
        <v>高二5班                       化学                    42人                      监考员：                应考：                实考：</v>
      </c>
      <c r="C5" s="13" t="str">
        <f>监考安排!$AC8&amp;"                       "&amp;监考安排!AG$3&amp;"                    "&amp;监考安排!AG8&amp;"人                      监考员：                应考：                实考："</f>
        <v>高二5班                       生物                    42人                      监考员：                应考：                实考：</v>
      </c>
      <c r="D5" s="13" t="str">
        <f>监考安排!$AC8&amp;"                       "&amp;监考安排!AH$3&amp;"                    "&amp;监考安排!AH8&amp;"人                      监考员：                应考：                实考："</f>
        <v>高二5班                       地理                    0人                      监考员：                应考：                实考：</v>
      </c>
      <c r="E5" s="13" t="str">
        <f>监考安排!$AC8&amp;"                       "&amp;监考安排!AI$3&amp;"                    "&amp;监考安排!AI8&amp;"人                      监考员：                应考：                实考："</f>
        <v>高二5班                       政治                    0人                      监考员：                应考：                实考：</v>
      </c>
    </row>
    <row r="6" ht="220" customHeight="1" spans="1:5">
      <c r="A6" s="13" t="s">
        <v>1954</v>
      </c>
      <c r="B6" s="13" t="str">
        <f>监考安排!$AC9&amp;"                       "&amp;监考安排!AF$3&amp;"                    "&amp;监考安排!AF9&amp;"人                      监考员：                应考：                实考："</f>
        <v>高二6班                       化学                    42人                      监考员：                应考：                实考：</v>
      </c>
      <c r="C6" s="13" t="str">
        <f>监考安排!$AC9&amp;"                       "&amp;监考安排!AG$3&amp;"                    "&amp;监考安排!AG9&amp;"人                      监考员：                应考：                实考："</f>
        <v>高二6班                       生物                    42人                      监考员：                应考：                实考：</v>
      </c>
      <c r="D6" s="13" t="str">
        <f>监考安排!$AC9&amp;"                       "&amp;监考安排!AH$3&amp;"                    "&amp;监考安排!AH9&amp;"人                      监考员：                应考：                实考："</f>
        <v>高二6班                       地理                    0人                      监考员：                应考：                实考：</v>
      </c>
      <c r="E6" s="13" t="str">
        <f>监考安排!$AC9&amp;"                       "&amp;监考安排!AI$3&amp;"                    "&amp;监考安排!AI9&amp;"人                      监考员：                应考：                实考："</f>
        <v>高二6班                       政治                    0人                      监考员：                应考：                实考：</v>
      </c>
    </row>
    <row r="7" ht="220" customHeight="1" spans="1:5">
      <c r="A7" s="13" t="s">
        <v>1955</v>
      </c>
      <c r="B7" s="13" t="str">
        <f>监考安排!$AC10&amp;"                       "&amp;监考安排!AF$3&amp;"                    "&amp;监考安排!AF10&amp;"人                      监考员：                应考：                实考："</f>
        <v>高二7班                       化学                    42人                      监考员：                应考：                实考：</v>
      </c>
      <c r="C7" s="13" t="str">
        <f>监考安排!$AC10&amp;"                       "&amp;监考安排!AG$3&amp;"                    "&amp;监考安排!AG10&amp;"人                      监考员：                应考：                实考："</f>
        <v>高二7班                       生物                    42人                      监考员：                应考：                实考：</v>
      </c>
      <c r="D7" s="13" t="str">
        <f>监考安排!$AC10&amp;"                       "&amp;监考安排!AH$3&amp;"                    "&amp;监考安排!AH10&amp;"人                      监考员：                应考：                实考："</f>
        <v>高二7班                       地理                    0人                      监考员：                应考：                实考：</v>
      </c>
      <c r="E7" s="13" t="str">
        <f>监考安排!$AC10&amp;"                       "&amp;监考安排!AI$3&amp;"                    "&amp;监考安排!AI10&amp;"人                      监考员：                应考：                实考："</f>
        <v>高二7班                       政治                    0人                      监考员：                应考：                实考：</v>
      </c>
    </row>
    <row r="8" ht="220" customHeight="1" spans="1:5">
      <c r="A8" s="13" t="s">
        <v>1956</v>
      </c>
      <c r="B8" s="13" t="str">
        <f>监考安排!$AC11&amp;"                       "&amp;监考安排!AF$3&amp;"                    "&amp;监考安排!AF11&amp;"人                      监考员：                应考：                实考："</f>
        <v>高二8班                       化学                    42人                      监考员：                应考：                实考：</v>
      </c>
      <c r="C8" s="13" t="str">
        <f>监考安排!$AC11&amp;"                       "&amp;监考安排!AG$3&amp;"                    "&amp;监考安排!AG11&amp;"人                      监考员：                应考：                实考："</f>
        <v>高二8班                       生物                    42人                      监考员：                应考：                实考：</v>
      </c>
      <c r="D8" s="13" t="str">
        <f>监考安排!$AC11&amp;"                       "&amp;监考安排!AH$3&amp;"                    "&amp;监考安排!AH11&amp;"人                      监考员：                应考：                实考："</f>
        <v>高二8班                       地理                    0人                      监考员：                应考：                实考：</v>
      </c>
      <c r="E8" s="13" t="str">
        <f>监考安排!$AC11&amp;"                       "&amp;监考安排!AI$3&amp;"                    "&amp;监考安排!AI11&amp;"人                      监考员：                应考：                实考："</f>
        <v>高二8班                       政治                    0人                      监考员：                应考：                实考：</v>
      </c>
    </row>
    <row r="9" ht="220" customHeight="1" spans="1:5">
      <c r="A9" s="13" t="s">
        <v>1957</v>
      </c>
      <c r="B9" s="13" t="str">
        <f>监考安排!$AC12&amp;"                       "&amp;监考安排!AF$3&amp;"                    "&amp;监考安排!AF12&amp;"人                      监考员：                应考：                实考："</f>
        <v>高二9班                       化学                    42人                      监考员：                应考：                实考：</v>
      </c>
      <c r="C9" s="13" t="str">
        <f>监考安排!$AC12&amp;"                       "&amp;监考安排!AG$3&amp;"                    "&amp;监考安排!AG12&amp;"人                      监考员：                应考：                实考："</f>
        <v>高二9班                       生物                    42人                      监考员：                应考：                实考：</v>
      </c>
      <c r="D9" s="13" t="str">
        <f>监考安排!$AC12&amp;"                       "&amp;监考安排!AH$3&amp;"                    "&amp;监考安排!AH12&amp;"人                      监考员：                应考：                实考："</f>
        <v>高二9班                       地理                    0人                      监考员：                应考：                实考：</v>
      </c>
      <c r="E9" s="13" t="str">
        <f>监考安排!$AC12&amp;"                       "&amp;监考安排!AI$3&amp;"                    "&amp;监考安排!AI12&amp;"人                      监考员：                应考：                实考："</f>
        <v>高二9班                       政治                    0人                      监考员：                应考：                实考：</v>
      </c>
    </row>
    <row r="10" ht="220" customHeight="1" spans="1:5">
      <c r="A10" s="13" t="s">
        <v>1958</v>
      </c>
      <c r="B10" s="13" t="str">
        <f>监考安排!$AC13&amp;"                       "&amp;监考安排!AF$3&amp;"                    "&amp;监考安排!AF13&amp;"人                      监考员：                应考：                实考："</f>
        <v>高二10班                       化学                    41人                      监考员：                应考：                实考：</v>
      </c>
      <c r="C10" s="13" t="str">
        <f>监考安排!$AC13&amp;"                       "&amp;监考安排!AG$3&amp;"                    "&amp;监考安排!AG13&amp;"人                      监考员：                应考：                实考："</f>
        <v>高二10班                       生物                    41人                      监考员：                应考：                实考：</v>
      </c>
      <c r="D10" s="13" t="str">
        <f>监考安排!$AC13&amp;"                       "&amp;监考安排!AH$3&amp;"                    "&amp;监考安排!AH13&amp;"人                      监考员：                应考：                实考："</f>
        <v>高二10班                       地理                    0人                      监考员：                应考：                实考：</v>
      </c>
      <c r="E10" s="13" t="str">
        <f>监考安排!$AC13&amp;"                       "&amp;监考安排!AI$3&amp;"                    "&amp;监考安排!AI13&amp;"人                      监考员：                应考：                实考："</f>
        <v>高二10班                       政治                    0人                      监考员：                应考：                实考：</v>
      </c>
    </row>
    <row r="11" ht="220" customHeight="1" spans="1:5">
      <c r="A11" s="13" t="s">
        <v>1959</v>
      </c>
      <c r="B11" s="13" t="str">
        <f>监考安排!$AC14&amp;"                       "&amp;监考安排!AF$3&amp;"                    "&amp;监考安排!AF14&amp;"人                      监考员：                应考：                实考："</f>
        <v>高二11班                       化学                    42人                      监考员：                应考：                实考：</v>
      </c>
      <c r="C11" s="13" t="str">
        <f>监考安排!$AC14&amp;"                       "&amp;监考安排!AG$3&amp;"                    "&amp;监考安排!AG14&amp;"人                      监考员：                应考：                实考："</f>
        <v>高二11班                       生物                    42人                      监考员：                应考：                实考：</v>
      </c>
      <c r="D11" s="13" t="str">
        <f>监考安排!$AC14&amp;"                       "&amp;监考安排!AH$3&amp;"                    "&amp;监考安排!AH14&amp;"人                      监考员：                应考：                实考："</f>
        <v>高二11班                       地理                    0人                      监考员：                应考：                实考：</v>
      </c>
      <c r="E11" s="13" t="str">
        <f>监考安排!$AC14&amp;"                       "&amp;监考安排!AI$3&amp;"                    "&amp;监考安排!AI14&amp;"人                      监考员：                应考：                实考："</f>
        <v>高二11班                       政治                    0人                      监考员：                应考：                实考：</v>
      </c>
    </row>
    <row r="12" ht="220" customHeight="1" spans="1:5">
      <c r="A12" s="13" t="s">
        <v>1960</v>
      </c>
      <c r="B12" s="13" t="str">
        <f>监考安排!$AC15&amp;"                       "&amp;监考安排!AF$3&amp;"                    "&amp;监考安排!AF15&amp;"人                      监考员：                应考：                实考："</f>
        <v>高二12班                       化学                    42人                      监考员：                应考：                实考：</v>
      </c>
      <c r="C12" s="13" t="str">
        <f>监考安排!$AC15&amp;"                       "&amp;监考安排!AG$3&amp;"                    "&amp;监考安排!AG15&amp;"人                      监考员：                应考：                实考："</f>
        <v>高二12班                       生物                    0人                      监考员：                应考：                实考：</v>
      </c>
      <c r="D12" s="13" t="str">
        <f>监考安排!$AC15&amp;"                       "&amp;监考安排!AH$3&amp;"                    "&amp;监考安排!AH15&amp;"人                      监考员：                应考：                实考："</f>
        <v>高二12班                       地理                    42人                      监考员：                应考：                实考：</v>
      </c>
      <c r="E12" s="13" t="str">
        <f>监考安排!$AC15&amp;"                       "&amp;监考安排!AI$3&amp;"                    "&amp;监考安排!AI15&amp;"人                      监考员：                应考：                实考："</f>
        <v>高二12班                       政治                    0人                      监考员：                应考：                实考：</v>
      </c>
    </row>
    <row r="13" ht="220" customHeight="1" spans="1:5">
      <c r="A13" s="13" t="s">
        <v>1961</v>
      </c>
      <c r="B13" s="13" t="str">
        <f>监考安排!$AC16&amp;"                       "&amp;监考安排!AF$3&amp;"                    "&amp;监考安排!AF16&amp;"人                      监考员：                应考：                实考："</f>
        <v>高二13班                       化学                    42人                      监考员：                应考：                实考：</v>
      </c>
      <c r="C13" s="13" t="str">
        <f>监考安排!$AC16&amp;"                       "&amp;监考安排!AG$3&amp;"                    "&amp;监考安排!AG16&amp;"人                      监考员：                应考：                实考："</f>
        <v>高二13班                       生物                    0人                      监考员：                应考：                实考：</v>
      </c>
      <c r="D13" s="13" t="str">
        <f>监考安排!$AC16&amp;"                       "&amp;监考安排!AH$3&amp;"                    "&amp;监考安排!AH16&amp;"人                      监考员：                应考：                实考："</f>
        <v>高二13班                       地理                    42人                      监考员：                应考：                实考：</v>
      </c>
      <c r="E13" s="13" t="str">
        <f>监考安排!$AC16&amp;"                       "&amp;监考安排!AI$3&amp;"                    "&amp;监考安排!AI16&amp;"人                      监考员：                应考：                实考："</f>
        <v>高二13班                       政治                    0人                      监考员：                应考：                实考：</v>
      </c>
    </row>
    <row r="14" ht="220" customHeight="1" spans="1:5">
      <c r="A14" s="13" t="s">
        <v>1962</v>
      </c>
      <c r="B14" s="13" t="str">
        <f>监考安排!$AC17&amp;"                       "&amp;监考安排!AF$3&amp;"                    "&amp;监考安排!AF17&amp;"人                      监考员：                应考：                实考："</f>
        <v>高二14班                       化学                    42人                      监考员：                应考：                实考：</v>
      </c>
      <c r="C14" s="13" t="str">
        <f>监考安排!$AC17&amp;"                       "&amp;监考安排!AG$3&amp;"                    "&amp;监考安排!AG17&amp;"人                      监考员：                应考：                实考："</f>
        <v>高二14班                       生物                    0人                      监考员：                应考：                实考：</v>
      </c>
      <c r="D14" s="13" t="str">
        <f>监考安排!$AC17&amp;"                       "&amp;监考安排!AH$3&amp;"                    "&amp;监考安排!AH17&amp;"人                      监考员：                应考：                实考："</f>
        <v>高二14班                       地理                    0人                      监考员：                应考：                实考：</v>
      </c>
      <c r="E14" s="13" t="str">
        <f>监考安排!$AC17&amp;"                       "&amp;监考安排!AI$3&amp;"                    "&amp;监考安排!AI17&amp;"人                      监考员：                应考：                实考："</f>
        <v>高二14班                       政治                    42人                      监考员：                应考：                实考：</v>
      </c>
    </row>
    <row r="15" ht="220" customHeight="1" spans="1:5">
      <c r="A15" s="13" t="s">
        <v>1963</v>
      </c>
      <c r="B15" s="13" t="str">
        <f>监考安排!$AC18&amp;"                       "&amp;监考安排!AF$3&amp;"                    "&amp;监考安排!AF18&amp;"人                      监考员：                应考：                实考："</f>
        <v>高二15班                       化学                    0人                      监考员：                应考：                实考：</v>
      </c>
      <c r="C15" s="13" t="str">
        <f>监考安排!$AC18&amp;"                       "&amp;监考安排!AG$3&amp;"                    "&amp;监考安排!AG18&amp;"人                      监考员：                应考：                实考："</f>
        <v>高二15班                       生物                    0人                      监考员：                应考：                实考：</v>
      </c>
      <c r="D15" s="13" t="str">
        <f>监考安排!$AC18&amp;"                       "&amp;监考安排!AH$3&amp;"                    "&amp;监考安排!AH18&amp;"人                      监考员：                应考：                实考："</f>
        <v>高二15班                       地理                    42人                      监考员：                应考：                实考：</v>
      </c>
      <c r="E15" s="13" t="str">
        <f>监考安排!$AC18&amp;"                       "&amp;监考安排!AI$3&amp;"                    "&amp;监考安排!AI18&amp;"人                      监考员：                应考：                实考："</f>
        <v>高二15班                       政治                    42人                      监考员：                应考：                实考：</v>
      </c>
    </row>
    <row r="16" ht="220" customHeight="1" spans="1:5">
      <c r="A16" s="13" t="s">
        <v>1964</v>
      </c>
      <c r="B16" s="13" t="str">
        <f>监考安排!$AC19&amp;"                       "&amp;监考安排!AF$3&amp;"                    "&amp;监考安排!AF19&amp;"人                      监考员：                应考：                实考："</f>
        <v>高二16班                       化学                    0人                      监考员：                应考：                实考：</v>
      </c>
      <c r="C16" s="13" t="str">
        <f>监考安排!$AC19&amp;"                       "&amp;监考安排!AG$3&amp;"                    "&amp;监考安排!AG19&amp;"人                      监考员：                应考：                实考："</f>
        <v>高二16班                       生物                    0人                      监考员：                应考：                实考：</v>
      </c>
      <c r="D16" s="13" t="str">
        <f>监考安排!$AC19&amp;"                       "&amp;监考安排!AH$3&amp;"                    "&amp;监考安排!AH19&amp;"人                      监考员：                应考：                实考："</f>
        <v>高二16班                       地理                    42人                      监考员：                应考：                实考：</v>
      </c>
      <c r="E16" s="13" t="str">
        <f>监考安排!$AC19&amp;"                       "&amp;监考安排!AI$3&amp;"                    "&amp;监考安排!AI19&amp;"人                      监考员：                应考：                实考："</f>
        <v>高二16班                       政治                    42人                      监考员：                应考：                实考：</v>
      </c>
    </row>
    <row r="17" ht="220" customHeight="1" spans="1:5">
      <c r="A17" s="13" t="s">
        <v>1965</v>
      </c>
      <c r="B17" s="13" t="str">
        <f>监考安排!$AC20&amp;"                       "&amp;监考安排!AF$3&amp;"                    "&amp;监考安排!AF20&amp;"人                      监考员：                应考：                实考："</f>
        <v>公共课室3                       化学                    0人                      监考员：                应考：                实考：</v>
      </c>
      <c r="C17" s="13" t="str">
        <f>监考安排!$AC20&amp;"                       "&amp;监考安排!AG$3&amp;"                    "&amp;监考安排!AG20&amp;"人                      监考员：                应考：                实考："</f>
        <v>公共课室3                       生物                    0人                      监考员：                应考：                实考：</v>
      </c>
      <c r="D17" s="13" t="str">
        <f>监考安排!$AC20&amp;"                       "&amp;监考安排!AH$3&amp;"                    "&amp;监考安排!AH20&amp;"人                      监考员：                应考：                实考："</f>
        <v>公共课室3                       地理                    42人                      监考员：                应考：                实考：</v>
      </c>
      <c r="E17" s="13" t="str">
        <f>监考安排!$AC20&amp;"                       "&amp;监考安排!AI$3&amp;"                    "&amp;监考安排!AI20&amp;"人                      监考员：                应考：                实考："</f>
        <v>公共课室3                       政治                    42人                      监考员：                应考：                实考：</v>
      </c>
    </row>
    <row r="18" ht="220" customHeight="1" spans="1:5">
      <c r="A18" s="13" t="s">
        <v>1966</v>
      </c>
      <c r="B18" s="13" t="str">
        <f>监考安排!$AC21&amp;"                       "&amp;监考安排!AF$3&amp;"                    "&amp;监考安排!AF21&amp;"人                      监考员：                应考：                实考："</f>
        <v>公共课室4                       化学                    0人                      监考员：                应考：                实考：</v>
      </c>
      <c r="C18" s="13" t="str">
        <f>监考安排!$AC21&amp;"                       "&amp;监考安排!AG$3&amp;"                    "&amp;监考安排!AG21&amp;"人                      监考员：                应考：                实考："</f>
        <v>公共课室4                       生物                    0人                      监考员：                应考：                实考：</v>
      </c>
      <c r="D18" s="13" t="str">
        <f>监考安排!$AC21&amp;"                       "&amp;监考安排!AH$3&amp;"                    "&amp;监考安排!AH21&amp;"人                      监考员：                应考：                实考："</f>
        <v>公共课室4                       地理                    42人                      监考员：                应考：                实考：</v>
      </c>
      <c r="E18" s="13" t="str">
        <f>监考安排!$AC21&amp;"                       "&amp;监考安排!AI$3&amp;"                    "&amp;监考安排!AI21&amp;"人                      监考员：                应考：                实考："</f>
        <v>公共课室4                       政治                    42人                      监考员：                应考：                实考：</v>
      </c>
    </row>
    <row r="19" ht="220" customHeight="1" spans="1:5">
      <c r="A19" s="13" t="s">
        <v>1967</v>
      </c>
      <c r="B19" s="13" t="str">
        <f>监考安排!$AC22&amp;"                       "&amp;监考安排!AF$3&amp;"                    "&amp;监考安排!AF22&amp;"人                      监考员：                应考：                实考："</f>
        <v>公共课室5                       化学                    34(1-33、37)人                      监考员：                应考：                实考：</v>
      </c>
      <c r="C19" s="13" t="str">
        <f>监考安排!$AC22&amp;"                       "&amp;监考安排!AG$3&amp;"                    "&amp;监考安排!AG22&amp;"人                      监考员：                应考：                实考："</f>
        <v>公共课室5                       生物                    8 (29-36)人                      监考员：                应考：                实考：</v>
      </c>
      <c r="D19" s="13" t="str">
        <f>监考安排!$AC22&amp;"                       "&amp;监考安排!AH$3&amp;"                    "&amp;监考安排!AH22&amp;"人                      监考员：                应考：                实考："</f>
        <v>公共课室5                       地理                    19 (1-17、34-35)人                      监考员：                应考：                实考：</v>
      </c>
      <c r="E19" s="13" t="str">
        <f>监考安排!$AC22&amp;"                       "&amp;监考安排!AI$3&amp;"                    "&amp;监考安排!AI22&amp;"人                      监考员：                应考：                实考："</f>
        <v>公共课室5                       政治                    13 (18-28、36-37)人                      监考员：                应考：                实考：</v>
      </c>
    </row>
    <row r="20" s="10" customFormat="1" ht="220" customHeight="1" spans="1:5">
      <c r="A20" s="13" t="s">
        <v>1968</v>
      </c>
      <c r="B20" s="13" t="str">
        <f>监考安排!$AC23&amp;"                       "&amp;监考安排!AF$3&amp;"                    "&amp;监考安排!AF23&amp;"人                      监考员：                应考：                实考："</f>
        <v>公共课室6                       化学                    1 (25)人                      监考员：                应考：                实考：</v>
      </c>
      <c r="C20" s="13" t="str">
        <f>监考安排!$AC23&amp;"                       "&amp;监考安排!AG$3&amp;"                    "&amp;监考安排!AG23&amp;"人                      监考员：                应考：                实考："</f>
        <v>公共课室6                       生物                    9 (16-24)人                      监考员：                应考：                实考：</v>
      </c>
      <c r="D20" s="13" t="str">
        <f>监考安排!$AC23&amp;"                       "&amp;监考安排!AH$3&amp;"                    "&amp;监考安排!AH23&amp;"人                      监考员：                应考：                实考："</f>
        <v>公共课室6                       地理                    18 (1-15、22-24)人                      监考员：                应考：                实考：</v>
      </c>
      <c r="E20" s="13" t="str">
        <f>监考安排!$AC23&amp;"                       "&amp;监考安排!AI$3&amp;"                    "&amp;监考安排!AI23&amp;"人                      监考员：                应考：                实考："</f>
        <v>公共课室6                       政治                    22 (1-21、25)人                      监考员：                应考：                实考：</v>
      </c>
    </row>
  </sheetData>
  <printOptions horizontalCentered="1" verticalCentered="1"/>
  <pageMargins left="0" right="0" top="0" bottom="0" header="0.314583333333333" footer="0.314583333333333"/>
  <pageSetup paperSize="9" orientation="portrait" horizontalDpi="6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140"/>
  <sheetViews>
    <sheetView zoomScale="85" zoomScaleNormal="85" zoomScaleSheetLayoutView="85" workbookViewId="0">
      <selection activeCell="A1" sqref="A1"/>
    </sheetView>
  </sheetViews>
  <sheetFormatPr defaultColWidth="9" defaultRowHeight="14.25" outlineLevelCol="5"/>
  <cols>
    <col min="1" max="6" width="15.625" customWidth="1"/>
  </cols>
  <sheetData>
    <row r="1" ht="90" customHeight="1" spans="1:6">
      <c r="A1" s="9" t="s">
        <v>1969</v>
      </c>
      <c r="B1" s="9" t="s">
        <v>1970</v>
      </c>
      <c r="C1" s="9" t="s">
        <v>1971</v>
      </c>
      <c r="D1" s="9" t="s">
        <v>1972</v>
      </c>
      <c r="E1" s="9" t="s">
        <v>1973</v>
      </c>
      <c r="F1" s="9" t="s">
        <v>1974</v>
      </c>
    </row>
    <row r="2" ht="90" customHeight="1" spans="1:6">
      <c r="A2" s="9" t="s">
        <v>1975</v>
      </c>
      <c r="B2" s="9" t="s">
        <v>1976</v>
      </c>
      <c r="C2" s="9" t="s">
        <v>1977</v>
      </c>
      <c r="D2" s="9" t="s">
        <v>1978</v>
      </c>
      <c r="E2" s="9" t="s">
        <v>1979</v>
      </c>
      <c r="F2" s="9" t="s">
        <v>1980</v>
      </c>
    </row>
    <row r="3" ht="90" customHeight="1" spans="1:6">
      <c r="A3" s="9" t="s">
        <v>1981</v>
      </c>
      <c r="B3" s="9" t="s">
        <v>1982</v>
      </c>
      <c r="C3" s="9" t="s">
        <v>1983</v>
      </c>
      <c r="D3" s="9" t="s">
        <v>1984</v>
      </c>
      <c r="E3" s="9" t="s">
        <v>1985</v>
      </c>
      <c r="F3" s="9" t="s">
        <v>1986</v>
      </c>
    </row>
    <row r="4" ht="90" customHeight="1" spans="1:6">
      <c r="A4" s="9" t="s">
        <v>1987</v>
      </c>
      <c r="B4" s="9" t="s">
        <v>1988</v>
      </c>
      <c r="C4" s="9" t="s">
        <v>1989</v>
      </c>
      <c r="D4" s="9" t="s">
        <v>1990</v>
      </c>
      <c r="E4" s="9" t="s">
        <v>1991</v>
      </c>
      <c r="F4" s="9" t="s">
        <v>1992</v>
      </c>
    </row>
    <row r="5" ht="90" customHeight="1" spans="1:6">
      <c r="A5" s="9" t="s">
        <v>1993</v>
      </c>
      <c r="B5" s="9" t="s">
        <v>1994</v>
      </c>
      <c r="C5" s="9" t="s">
        <v>1995</v>
      </c>
      <c r="D5" s="9" t="s">
        <v>1996</v>
      </c>
      <c r="E5" s="9" t="s">
        <v>1997</v>
      </c>
      <c r="F5" s="9" t="s">
        <v>1998</v>
      </c>
    </row>
    <row r="6" ht="90" customHeight="1" spans="1:6">
      <c r="A6" s="9" t="s">
        <v>1999</v>
      </c>
      <c r="B6" s="9" t="s">
        <v>2000</v>
      </c>
      <c r="C6" s="9" t="s">
        <v>2001</v>
      </c>
      <c r="D6" s="9" t="s">
        <v>2002</v>
      </c>
      <c r="E6" s="9" t="s">
        <v>2003</v>
      </c>
      <c r="F6" s="9" t="s">
        <v>2004</v>
      </c>
    </row>
    <row r="7" ht="90" customHeight="1" spans="1:6">
      <c r="A7" s="9" t="s">
        <v>2005</v>
      </c>
      <c r="B7" s="9" t="s">
        <v>2006</v>
      </c>
      <c r="C7" s="9" t="s">
        <v>2007</v>
      </c>
      <c r="D7" s="9" t="s">
        <v>2008</v>
      </c>
      <c r="E7" s="9" t="s">
        <v>2009</v>
      </c>
      <c r="F7" s="9" t="s">
        <v>2010</v>
      </c>
    </row>
    <row r="8" ht="90" customHeight="1" spans="1:6">
      <c r="A8" s="9" t="s">
        <v>2011</v>
      </c>
      <c r="B8" s="9" t="s">
        <v>2012</v>
      </c>
      <c r="C8" s="9" t="s">
        <v>2013</v>
      </c>
      <c r="D8" s="9" t="s">
        <v>2014</v>
      </c>
      <c r="E8" s="9" t="s">
        <v>2015</v>
      </c>
      <c r="F8" s="9" t="s">
        <v>2016</v>
      </c>
    </row>
    <row r="9" ht="90" customHeight="1" spans="1:6">
      <c r="A9" s="9" t="s">
        <v>2017</v>
      </c>
      <c r="B9" s="9" t="s">
        <v>2018</v>
      </c>
      <c r="C9" s="9" t="s">
        <v>2019</v>
      </c>
      <c r="D9" s="9" t="s">
        <v>2020</v>
      </c>
      <c r="E9" s="9" t="s">
        <v>2021</v>
      </c>
      <c r="F9" s="9" t="s">
        <v>2022</v>
      </c>
    </row>
    <row r="10" ht="90" customHeight="1" spans="1:6">
      <c r="A10" s="9" t="s">
        <v>2023</v>
      </c>
      <c r="B10" s="9" t="s">
        <v>2024</v>
      </c>
      <c r="C10" s="9" t="s">
        <v>2025</v>
      </c>
      <c r="D10" s="9" t="s">
        <v>2026</v>
      </c>
      <c r="E10" s="9" t="s">
        <v>2027</v>
      </c>
      <c r="F10" s="9" t="s">
        <v>2028</v>
      </c>
    </row>
    <row r="11" ht="90" customHeight="1" spans="1:6">
      <c r="A11" s="9" t="s">
        <v>2029</v>
      </c>
      <c r="B11" s="9" t="s">
        <v>2030</v>
      </c>
      <c r="C11" s="9" t="s">
        <v>2031</v>
      </c>
      <c r="D11" s="9" t="s">
        <v>2032</v>
      </c>
      <c r="E11" s="9" t="s">
        <v>2033</v>
      </c>
      <c r="F11" s="9" t="s">
        <v>2034</v>
      </c>
    </row>
    <row r="12" ht="90" customHeight="1" spans="1:6">
      <c r="A12" s="9" t="s">
        <v>2035</v>
      </c>
      <c r="B12" s="9" t="s">
        <v>2036</v>
      </c>
      <c r="C12" s="9" t="s">
        <v>2037</v>
      </c>
      <c r="D12" s="9" t="s">
        <v>2038</v>
      </c>
      <c r="E12" s="9" t="s">
        <v>2039</v>
      </c>
      <c r="F12" s="9" t="s">
        <v>2040</v>
      </c>
    </row>
    <row r="13" ht="90" customHeight="1" spans="1:6">
      <c r="A13" s="9" t="s">
        <v>2041</v>
      </c>
      <c r="B13" s="9" t="s">
        <v>2042</v>
      </c>
      <c r="C13" s="9" t="s">
        <v>2043</v>
      </c>
      <c r="D13" s="9" t="s">
        <v>2044</v>
      </c>
      <c r="E13" s="9" t="s">
        <v>2045</v>
      </c>
      <c r="F13" s="9" t="s">
        <v>2046</v>
      </c>
    </row>
    <row r="14" ht="90" customHeight="1" spans="1:6">
      <c r="A14" s="9" t="s">
        <v>2047</v>
      </c>
      <c r="B14" s="9" t="s">
        <v>2048</v>
      </c>
      <c r="C14" s="9" t="s">
        <v>2049</v>
      </c>
      <c r="D14" s="9" t="s">
        <v>2050</v>
      </c>
      <c r="E14" s="9" t="s">
        <v>2051</v>
      </c>
      <c r="F14" s="9" t="s">
        <v>2052</v>
      </c>
    </row>
    <row r="15" ht="90" customHeight="1" spans="1:6">
      <c r="A15" s="9" t="s">
        <v>2053</v>
      </c>
      <c r="B15" s="9" t="s">
        <v>2054</v>
      </c>
      <c r="C15" s="9" t="s">
        <v>2055</v>
      </c>
      <c r="D15" s="9" t="s">
        <v>2056</v>
      </c>
      <c r="E15" s="9" t="s">
        <v>2057</v>
      </c>
      <c r="F15" s="9" t="s">
        <v>2058</v>
      </c>
    </row>
    <row r="16" ht="90" customHeight="1" spans="1:6">
      <c r="A16" s="9" t="s">
        <v>2059</v>
      </c>
      <c r="B16" s="9" t="s">
        <v>2060</v>
      </c>
      <c r="C16" s="9" t="s">
        <v>2061</v>
      </c>
      <c r="D16" s="9" t="s">
        <v>2062</v>
      </c>
      <c r="E16" s="9" t="s">
        <v>2063</v>
      </c>
      <c r="F16" s="9" t="s">
        <v>2064</v>
      </c>
    </row>
    <row r="17" ht="90" customHeight="1" spans="1:6">
      <c r="A17" s="9" t="s">
        <v>2065</v>
      </c>
      <c r="B17" s="9" t="s">
        <v>2066</v>
      </c>
      <c r="C17" s="9" t="s">
        <v>2067</v>
      </c>
      <c r="D17" s="9" t="s">
        <v>2068</v>
      </c>
      <c r="E17" s="9" t="s">
        <v>2069</v>
      </c>
      <c r="F17" s="9" t="s">
        <v>2070</v>
      </c>
    </row>
    <row r="18" ht="90" customHeight="1" spans="1:6">
      <c r="A18" s="9" t="s">
        <v>2071</v>
      </c>
      <c r="B18" s="9" t="s">
        <v>2072</v>
      </c>
      <c r="C18" s="9" t="s">
        <v>2073</v>
      </c>
      <c r="D18" s="9" t="s">
        <v>2074</v>
      </c>
      <c r="E18" s="9" t="s">
        <v>2075</v>
      </c>
      <c r="F18" s="9" t="s">
        <v>2076</v>
      </c>
    </row>
    <row r="19" ht="90" customHeight="1" spans="1:6">
      <c r="A19" s="9" t="s">
        <v>2077</v>
      </c>
      <c r="B19" s="9" t="s">
        <v>2078</v>
      </c>
      <c r="C19" s="9" t="s">
        <v>2079</v>
      </c>
      <c r="D19" s="9" t="s">
        <v>2080</v>
      </c>
      <c r="E19" s="9" t="s">
        <v>2081</v>
      </c>
      <c r="F19" s="9" t="s">
        <v>2082</v>
      </c>
    </row>
    <row r="20" ht="90" customHeight="1" spans="1:6">
      <c r="A20" s="9" t="s">
        <v>2083</v>
      </c>
      <c r="B20" s="9" t="s">
        <v>2084</v>
      </c>
      <c r="C20" s="9" t="s">
        <v>2085</v>
      </c>
      <c r="D20" s="9" t="s">
        <v>2086</v>
      </c>
      <c r="E20" s="9" t="s">
        <v>2087</v>
      </c>
      <c r="F20" s="9" t="s">
        <v>2088</v>
      </c>
    </row>
    <row r="21" ht="90" customHeight="1" spans="1:6">
      <c r="A21" s="9" t="s">
        <v>2089</v>
      </c>
      <c r="B21" s="9" t="s">
        <v>2090</v>
      </c>
      <c r="C21" s="9" t="s">
        <v>2091</v>
      </c>
      <c r="D21" s="9" t="s">
        <v>2092</v>
      </c>
      <c r="E21" s="9" t="s">
        <v>2093</v>
      </c>
      <c r="F21" s="9" t="s">
        <v>2094</v>
      </c>
    </row>
    <row r="22" ht="90" customHeight="1" spans="1:6">
      <c r="A22" s="9" t="s">
        <v>2095</v>
      </c>
      <c r="B22" s="9" t="s">
        <v>2096</v>
      </c>
      <c r="C22" s="9" t="s">
        <v>2097</v>
      </c>
      <c r="D22" s="9" t="s">
        <v>2098</v>
      </c>
      <c r="E22" s="9" t="s">
        <v>2099</v>
      </c>
      <c r="F22" s="9" t="s">
        <v>2100</v>
      </c>
    </row>
    <row r="23" ht="90" customHeight="1" spans="1:6">
      <c r="A23" s="9" t="s">
        <v>2101</v>
      </c>
      <c r="B23" s="9" t="s">
        <v>2102</v>
      </c>
      <c r="C23" s="9" t="s">
        <v>2103</v>
      </c>
      <c r="D23" s="9" t="s">
        <v>2104</v>
      </c>
      <c r="E23" s="9" t="s">
        <v>2105</v>
      </c>
      <c r="F23" s="9" t="s">
        <v>2106</v>
      </c>
    </row>
    <row r="24" ht="90" customHeight="1" spans="1:6">
      <c r="A24" s="9" t="s">
        <v>2107</v>
      </c>
      <c r="B24" s="9" t="s">
        <v>2108</v>
      </c>
      <c r="C24" s="9" t="s">
        <v>2109</v>
      </c>
      <c r="D24" s="9" t="s">
        <v>2110</v>
      </c>
      <c r="E24" s="9" t="s">
        <v>2111</v>
      </c>
      <c r="F24" s="9" t="s">
        <v>2112</v>
      </c>
    </row>
    <row r="25" ht="90" customHeight="1" spans="1:6">
      <c r="A25" s="9" t="s">
        <v>2113</v>
      </c>
      <c r="B25" s="9" t="s">
        <v>2114</v>
      </c>
      <c r="C25" s="9" t="s">
        <v>2115</v>
      </c>
      <c r="D25" s="9" t="s">
        <v>2116</v>
      </c>
      <c r="E25" s="9" t="s">
        <v>2117</v>
      </c>
      <c r="F25" s="9" t="s">
        <v>2118</v>
      </c>
    </row>
    <row r="26" ht="90" customHeight="1" spans="1:6">
      <c r="A26" s="9" t="s">
        <v>2119</v>
      </c>
      <c r="B26" s="9" t="s">
        <v>2120</v>
      </c>
      <c r="C26" s="9" t="s">
        <v>2121</v>
      </c>
      <c r="D26" s="9" t="s">
        <v>2122</v>
      </c>
      <c r="E26" s="9" t="s">
        <v>2123</v>
      </c>
      <c r="F26" s="9" t="s">
        <v>2124</v>
      </c>
    </row>
    <row r="27" ht="90" customHeight="1" spans="1:6">
      <c r="A27" s="9" t="s">
        <v>2125</v>
      </c>
      <c r="B27" s="9" t="s">
        <v>2126</v>
      </c>
      <c r="C27" s="9" t="s">
        <v>2127</v>
      </c>
      <c r="D27" s="9" t="s">
        <v>2128</v>
      </c>
      <c r="E27" s="9" t="s">
        <v>2129</v>
      </c>
      <c r="F27" s="9" t="s">
        <v>2130</v>
      </c>
    </row>
    <row r="28" ht="90" customHeight="1" spans="1:6">
      <c r="A28" s="9" t="s">
        <v>2131</v>
      </c>
      <c r="B28" s="9" t="s">
        <v>2132</v>
      </c>
      <c r="C28" s="9" t="s">
        <v>2133</v>
      </c>
      <c r="D28" s="9" t="s">
        <v>2134</v>
      </c>
      <c r="E28" s="9" t="s">
        <v>2135</v>
      </c>
      <c r="F28" s="9" t="s">
        <v>2136</v>
      </c>
    </row>
    <row r="29" ht="90" customHeight="1" spans="1:6">
      <c r="A29" s="9" t="s">
        <v>2137</v>
      </c>
      <c r="B29" s="9" t="s">
        <v>2138</v>
      </c>
      <c r="C29" s="9" t="s">
        <v>2139</v>
      </c>
      <c r="D29" s="9" t="s">
        <v>2140</v>
      </c>
      <c r="E29" s="9" t="s">
        <v>2141</v>
      </c>
      <c r="F29" s="9" t="s">
        <v>2142</v>
      </c>
    </row>
    <row r="30" ht="90" customHeight="1" spans="1:6">
      <c r="A30" s="9" t="s">
        <v>2143</v>
      </c>
      <c r="B30" s="9" t="s">
        <v>2144</v>
      </c>
      <c r="C30" s="9" t="s">
        <v>2145</v>
      </c>
      <c r="D30" s="9" t="s">
        <v>2146</v>
      </c>
      <c r="E30" s="9" t="s">
        <v>2147</v>
      </c>
      <c r="F30" s="9" t="s">
        <v>2148</v>
      </c>
    </row>
    <row r="31" ht="90" customHeight="1" spans="1:6">
      <c r="A31" s="9" t="s">
        <v>2149</v>
      </c>
      <c r="B31" s="9" t="s">
        <v>2150</v>
      </c>
      <c r="C31" s="9" t="s">
        <v>2151</v>
      </c>
      <c r="D31" s="9" t="s">
        <v>2152</v>
      </c>
      <c r="E31" s="9" t="s">
        <v>2153</v>
      </c>
      <c r="F31" s="9" t="s">
        <v>2154</v>
      </c>
    </row>
    <row r="32" ht="90" customHeight="1" spans="1:6">
      <c r="A32" s="9" t="s">
        <v>2155</v>
      </c>
      <c r="B32" s="9" t="s">
        <v>2156</v>
      </c>
      <c r="C32" s="9" t="s">
        <v>2157</v>
      </c>
      <c r="D32" s="9" t="s">
        <v>2158</v>
      </c>
      <c r="E32" s="9" t="s">
        <v>2159</v>
      </c>
      <c r="F32" s="9" t="s">
        <v>2160</v>
      </c>
    </row>
    <row r="33" ht="90" customHeight="1" spans="1:6">
      <c r="A33" s="9" t="s">
        <v>2161</v>
      </c>
      <c r="B33" s="9" t="s">
        <v>2162</v>
      </c>
      <c r="C33" s="9" t="s">
        <v>2163</v>
      </c>
      <c r="D33" s="9" t="s">
        <v>2164</v>
      </c>
      <c r="E33" s="9" t="s">
        <v>2165</v>
      </c>
      <c r="F33" s="9" t="s">
        <v>2166</v>
      </c>
    </row>
    <row r="34" ht="90" customHeight="1" spans="1:6">
      <c r="A34" s="9" t="s">
        <v>2167</v>
      </c>
      <c r="B34" s="9" t="s">
        <v>2168</v>
      </c>
      <c r="C34" s="9" t="s">
        <v>2169</v>
      </c>
      <c r="D34" s="9" t="s">
        <v>2170</v>
      </c>
      <c r="E34" s="9" t="s">
        <v>2171</v>
      </c>
      <c r="F34" s="9" t="s">
        <v>2172</v>
      </c>
    </row>
    <row r="35" ht="90" customHeight="1" spans="1:6">
      <c r="A35" s="9" t="s">
        <v>2173</v>
      </c>
      <c r="B35" s="9" t="s">
        <v>2174</v>
      </c>
      <c r="C35" s="9" t="s">
        <v>2175</v>
      </c>
      <c r="D35" s="9" t="s">
        <v>2176</v>
      </c>
      <c r="E35" s="9" t="s">
        <v>2177</v>
      </c>
      <c r="F35" s="9" t="s">
        <v>2178</v>
      </c>
    </row>
    <row r="36" ht="90" customHeight="1" spans="1:6">
      <c r="A36" s="9" t="s">
        <v>2179</v>
      </c>
      <c r="B36" s="9" t="s">
        <v>2180</v>
      </c>
      <c r="C36" s="9" t="s">
        <v>2181</v>
      </c>
      <c r="D36" s="9" t="s">
        <v>2182</v>
      </c>
      <c r="E36" s="9" t="s">
        <v>2183</v>
      </c>
      <c r="F36" s="9" t="s">
        <v>2184</v>
      </c>
    </row>
    <row r="37" ht="90" customHeight="1" spans="1:6">
      <c r="A37" s="9" t="s">
        <v>2185</v>
      </c>
      <c r="B37" s="9" t="s">
        <v>2186</v>
      </c>
      <c r="C37" s="9" t="s">
        <v>2187</v>
      </c>
      <c r="D37" s="9" t="s">
        <v>2188</v>
      </c>
      <c r="E37" s="9" t="s">
        <v>2189</v>
      </c>
      <c r="F37" s="9" t="s">
        <v>2190</v>
      </c>
    </row>
    <row r="38" ht="90" customHeight="1" spans="1:6">
      <c r="A38" s="9" t="s">
        <v>2191</v>
      </c>
      <c r="B38" s="9" t="s">
        <v>2192</v>
      </c>
      <c r="C38" s="9" t="s">
        <v>2193</v>
      </c>
      <c r="D38" s="9" t="s">
        <v>2194</v>
      </c>
      <c r="E38" s="9" t="s">
        <v>2195</v>
      </c>
      <c r="F38" s="9" t="s">
        <v>2196</v>
      </c>
    </row>
    <row r="39" ht="90" customHeight="1" spans="1:6">
      <c r="A39" s="9" t="s">
        <v>2197</v>
      </c>
      <c r="B39" s="9" t="s">
        <v>2198</v>
      </c>
      <c r="C39" s="9" t="s">
        <v>2199</v>
      </c>
      <c r="D39" s="9" t="s">
        <v>2200</v>
      </c>
      <c r="E39" s="9" t="s">
        <v>2201</v>
      </c>
      <c r="F39" s="9" t="s">
        <v>2202</v>
      </c>
    </row>
    <row r="40" ht="90" customHeight="1" spans="1:6">
      <c r="A40" s="9" t="s">
        <v>2203</v>
      </c>
      <c r="B40" s="9" t="s">
        <v>2204</v>
      </c>
      <c r="C40" s="9" t="s">
        <v>2205</v>
      </c>
      <c r="D40" s="9" t="s">
        <v>2206</v>
      </c>
      <c r="E40" s="9" t="s">
        <v>2207</v>
      </c>
      <c r="F40" s="9" t="s">
        <v>2208</v>
      </c>
    </row>
    <row r="41" ht="90" customHeight="1" spans="1:6">
      <c r="A41" s="9" t="s">
        <v>2209</v>
      </c>
      <c r="B41" s="9" t="s">
        <v>2210</v>
      </c>
      <c r="C41" s="9" t="s">
        <v>2211</v>
      </c>
      <c r="D41" s="9" t="s">
        <v>2212</v>
      </c>
      <c r="E41" s="9" t="s">
        <v>2213</v>
      </c>
      <c r="F41" s="9" t="s">
        <v>2214</v>
      </c>
    </row>
    <row r="42" ht="90" customHeight="1" spans="1:6">
      <c r="A42" s="9" t="s">
        <v>2215</v>
      </c>
      <c r="B42" s="9" t="s">
        <v>2216</v>
      </c>
      <c r="C42" s="9" t="s">
        <v>2217</v>
      </c>
      <c r="D42" s="9" t="s">
        <v>2218</v>
      </c>
      <c r="E42" s="9" t="s">
        <v>2219</v>
      </c>
      <c r="F42" s="9" t="s">
        <v>2220</v>
      </c>
    </row>
    <row r="43" ht="90" customHeight="1" spans="1:6">
      <c r="A43" s="9" t="s">
        <v>2221</v>
      </c>
      <c r="B43" s="9" t="s">
        <v>2222</v>
      </c>
      <c r="C43" s="9" t="s">
        <v>2223</v>
      </c>
      <c r="D43" s="9" t="s">
        <v>2224</v>
      </c>
      <c r="E43" s="9" t="s">
        <v>2225</v>
      </c>
      <c r="F43" s="9" t="s">
        <v>2226</v>
      </c>
    </row>
    <row r="44" ht="90" customHeight="1" spans="1:6">
      <c r="A44" s="9" t="s">
        <v>2227</v>
      </c>
      <c r="B44" s="9" t="s">
        <v>2228</v>
      </c>
      <c r="C44" s="9" t="s">
        <v>2229</v>
      </c>
      <c r="D44" s="9" t="s">
        <v>2230</v>
      </c>
      <c r="E44" s="9" t="s">
        <v>2231</v>
      </c>
      <c r="F44" s="9" t="s">
        <v>2232</v>
      </c>
    </row>
    <row r="45" ht="90" customHeight="1" spans="1:6">
      <c r="A45" s="9" t="s">
        <v>2233</v>
      </c>
      <c r="B45" s="9" t="s">
        <v>2234</v>
      </c>
      <c r="C45" s="9" t="s">
        <v>2235</v>
      </c>
      <c r="D45" s="9" t="s">
        <v>2236</v>
      </c>
      <c r="E45" s="9" t="s">
        <v>2237</v>
      </c>
      <c r="F45" s="9" t="s">
        <v>2238</v>
      </c>
    </row>
    <row r="46" ht="90" customHeight="1" spans="1:6">
      <c r="A46" s="9" t="s">
        <v>2239</v>
      </c>
      <c r="B46" s="9" t="s">
        <v>2240</v>
      </c>
      <c r="C46" s="9" t="s">
        <v>2241</v>
      </c>
      <c r="D46" s="9" t="s">
        <v>2242</v>
      </c>
      <c r="E46" s="9" t="s">
        <v>2243</v>
      </c>
      <c r="F46" s="9" t="s">
        <v>2244</v>
      </c>
    </row>
    <row r="47" ht="90" customHeight="1" spans="1:6">
      <c r="A47" s="9" t="s">
        <v>2245</v>
      </c>
      <c r="B47" s="9" t="s">
        <v>2246</v>
      </c>
      <c r="C47" s="9" t="s">
        <v>2247</v>
      </c>
      <c r="D47" s="9" t="s">
        <v>2248</v>
      </c>
      <c r="E47" s="9" t="s">
        <v>2249</v>
      </c>
      <c r="F47" s="9" t="s">
        <v>2250</v>
      </c>
    </row>
    <row r="48" ht="90" customHeight="1" spans="1:6">
      <c r="A48" s="9" t="s">
        <v>2251</v>
      </c>
      <c r="B48" s="9" t="s">
        <v>2252</v>
      </c>
      <c r="C48" s="9" t="s">
        <v>2253</v>
      </c>
      <c r="D48" s="9" t="s">
        <v>2254</v>
      </c>
      <c r="E48" s="9" t="s">
        <v>2255</v>
      </c>
      <c r="F48" s="9" t="s">
        <v>2256</v>
      </c>
    </row>
    <row r="49" ht="90" customHeight="1" spans="1:6">
      <c r="A49" s="9" t="s">
        <v>2257</v>
      </c>
      <c r="B49" s="9" t="s">
        <v>2258</v>
      </c>
      <c r="C49" s="9" t="s">
        <v>2259</v>
      </c>
      <c r="D49" s="9" t="s">
        <v>2260</v>
      </c>
      <c r="E49" s="9" t="s">
        <v>2261</v>
      </c>
      <c r="F49" s="9" t="s">
        <v>2262</v>
      </c>
    </row>
    <row r="50" ht="90" customHeight="1" spans="1:6">
      <c r="A50" s="9" t="s">
        <v>2263</v>
      </c>
      <c r="B50" s="9" t="s">
        <v>2264</v>
      </c>
      <c r="C50" s="9" t="s">
        <v>2265</v>
      </c>
      <c r="D50" s="9" t="s">
        <v>2266</v>
      </c>
      <c r="E50" s="9" t="s">
        <v>2267</v>
      </c>
      <c r="F50" s="9" t="s">
        <v>2268</v>
      </c>
    </row>
    <row r="51" ht="90" customHeight="1" spans="1:6">
      <c r="A51" s="9" t="s">
        <v>2269</v>
      </c>
      <c r="B51" s="9" t="s">
        <v>2270</v>
      </c>
      <c r="C51" s="9" t="s">
        <v>2271</v>
      </c>
      <c r="D51" s="9" t="s">
        <v>2272</v>
      </c>
      <c r="E51" s="9" t="s">
        <v>2273</v>
      </c>
      <c r="F51" s="9" t="s">
        <v>2274</v>
      </c>
    </row>
    <row r="52" ht="90" customHeight="1" spans="1:6">
      <c r="A52" s="9" t="s">
        <v>2275</v>
      </c>
      <c r="B52" s="9" t="s">
        <v>2276</v>
      </c>
      <c r="C52" s="9" t="s">
        <v>2277</v>
      </c>
      <c r="D52" s="9" t="s">
        <v>2278</v>
      </c>
      <c r="E52" s="9" t="s">
        <v>2279</v>
      </c>
      <c r="F52" s="9" t="s">
        <v>2280</v>
      </c>
    </row>
    <row r="53" ht="90" customHeight="1" spans="1:6">
      <c r="A53" s="9" t="s">
        <v>2281</v>
      </c>
      <c r="B53" s="9" t="s">
        <v>2282</v>
      </c>
      <c r="C53" s="9" t="s">
        <v>2283</v>
      </c>
      <c r="D53" s="9" t="s">
        <v>2284</v>
      </c>
      <c r="E53" s="9" t="s">
        <v>2285</v>
      </c>
      <c r="F53" s="9" t="s">
        <v>2286</v>
      </c>
    </row>
    <row r="54" ht="90" customHeight="1" spans="1:6">
      <c r="A54" s="9" t="s">
        <v>2287</v>
      </c>
      <c r="B54" s="9" t="s">
        <v>2288</v>
      </c>
      <c r="C54" s="9" t="s">
        <v>2289</v>
      </c>
      <c r="D54" s="9" t="s">
        <v>2290</v>
      </c>
      <c r="E54" s="9" t="s">
        <v>2291</v>
      </c>
      <c r="F54" s="9" t="s">
        <v>2292</v>
      </c>
    </row>
    <row r="55" ht="90" customHeight="1" spans="1:6">
      <c r="A55" s="9" t="s">
        <v>2293</v>
      </c>
      <c r="B55" s="9" t="s">
        <v>2294</v>
      </c>
      <c r="C55" s="9" t="s">
        <v>2295</v>
      </c>
      <c r="D55" s="9" t="s">
        <v>2296</v>
      </c>
      <c r="E55" s="9" t="s">
        <v>2297</v>
      </c>
      <c r="F55" s="9" t="s">
        <v>2298</v>
      </c>
    </row>
    <row r="56" ht="90" customHeight="1" spans="1:6">
      <c r="A56" s="9" t="s">
        <v>2299</v>
      </c>
      <c r="B56" s="9" t="s">
        <v>2300</v>
      </c>
      <c r="C56" s="9" t="s">
        <v>2301</v>
      </c>
      <c r="D56" s="9" t="s">
        <v>2302</v>
      </c>
      <c r="E56" s="9" t="s">
        <v>2303</v>
      </c>
      <c r="F56" s="9" t="s">
        <v>2304</v>
      </c>
    </row>
    <row r="57" ht="90" customHeight="1" spans="1:6">
      <c r="A57" s="9" t="s">
        <v>2305</v>
      </c>
      <c r="B57" s="9" t="s">
        <v>2306</v>
      </c>
      <c r="C57" s="9" t="s">
        <v>2307</v>
      </c>
      <c r="D57" s="9" t="s">
        <v>2308</v>
      </c>
      <c r="E57" s="9" t="s">
        <v>2309</v>
      </c>
      <c r="F57" s="9" t="s">
        <v>2310</v>
      </c>
    </row>
    <row r="58" ht="90" customHeight="1" spans="1:6">
      <c r="A58" s="9" t="s">
        <v>2311</v>
      </c>
      <c r="B58" s="9" t="s">
        <v>2312</v>
      </c>
      <c r="C58" s="9" t="s">
        <v>2313</v>
      </c>
      <c r="D58" s="9" t="s">
        <v>2314</v>
      </c>
      <c r="E58" s="9" t="s">
        <v>2315</v>
      </c>
      <c r="F58" s="9" t="s">
        <v>2316</v>
      </c>
    </row>
    <row r="59" ht="90" customHeight="1" spans="1:6">
      <c r="A59" s="9" t="s">
        <v>2317</v>
      </c>
      <c r="B59" s="9" t="s">
        <v>2318</v>
      </c>
      <c r="C59" s="9" t="s">
        <v>2319</v>
      </c>
      <c r="D59" s="9" t="s">
        <v>2320</v>
      </c>
      <c r="E59" s="9" t="s">
        <v>2321</v>
      </c>
      <c r="F59" s="9" t="s">
        <v>2322</v>
      </c>
    </row>
    <row r="60" ht="90" customHeight="1" spans="1:6">
      <c r="A60" s="9" t="s">
        <v>2323</v>
      </c>
      <c r="B60" s="9" t="s">
        <v>2324</v>
      </c>
      <c r="C60" s="9" t="s">
        <v>2325</v>
      </c>
      <c r="D60" s="9" t="s">
        <v>2326</v>
      </c>
      <c r="E60" s="9" t="s">
        <v>2327</v>
      </c>
      <c r="F60" s="9" t="s">
        <v>2328</v>
      </c>
    </row>
    <row r="61" ht="90" customHeight="1" spans="1:6">
      <c r="A61" s="9" t="s">
        <v>2329</v>
      </c>
      <c r="B61" s="9" t="s">
        <v>2330</v>
      </c>
      <c r="C61" s="9" t="s">
        <v>2331</v>
      </c>
      <c r="D61" s="9" t="s">
        <v>2332</v>
      </c>
      <c r="E61" s="9" t="s">
        <v>2333</v>
      </c>
      <c r="F61" s="9" t="s">
        <v>2334</v>
      </c>
    </row>
    <row r="62" ht="90" customHeight="1" spans="1:6">
      <c r="A62" s="9" t="s">
        <v>2335</v>
      </c>
      <c r="B62" s="9" t="s">
        <v>2336</v>
      </c>
      <c r="C62" s="9" t="s">
        <v>2337</v>
      </c>
      <c r="D62" s="9" t="s">
        <v>2338</v>
      </c>
      <c r="E62" s="9" t="s">
        <v>2339</v>
      </c>
      <c r="F62" s="9" t="s">
        <v>2340</v>
      </c>
    </row>
    <row r="63" ht="90" customHeight="1" spans="1:6">
      <c r="A63" s="9" t="s">
        <v>2341</v>
      </c>
      <c r="B63" s="9" t="s">
        <v>2342</v>
      </c>
      <c r="C63" s="9" t="s">
        <v>2343</v>
      </c>
      <c r="D63" s="9" t="s">
        <v>2344</v>
      </c>
      <c r="E63" s="9" t="s">
        <v>2345</v>
      </c>
      <c r="F63" s="9" t="s">
        <v>2346</v>
      </c>
    </row>
    <row r="64" ht="90" customHeight="1" spans="1:6">
      <c r="A64" s="9" t="s">
        <v>2347</v>
      </c>
      <c r="B64" s="9" t="s">
        <v>2348</v>
      </c>
      <c r="C64" s="9" t="s">
        <v>2349</v>
      </c>
      <c r="D64" s="9" t="s">
        <v>2350</v>
      </c>
      <c r="E64" s="9" t="s">
        <v>2351</v>
      </c>
      <c r="F64" s="9" t="s">
        <v>2352</v>
      </c>
    </row>
    <row r="65" ht="90" customHeight="1" spans="1:6">
      <c r="A65" s="9" t="s">
        <v>2353</v>
      </c>
      <c r="B65" s="9" t="s">
        <v>2354</v>
      </c>
      <c r="C65" s="9" t="s">
        <v>2355</v>
      </c>
      <c r="D65" s="9" t="s">
        <v>2356</v>
      </c>
      <c r="E65" s="9" t="s">
        <v>2357</v>
      </c>
      <c r="F65" s="9" t="s">
        <v>2358</v>
      </c>
    </row>
    <row r="66" ht="90" customHeight="1" spans="1:6">
      <c r="A66" s="9" t="s">
        <v>2359</v>
      </c>
      <c r="B66" s="9" t="s">
        <v>2360</v>
      </c>
      <c r="C66" s="9" t="s">
        <v>2361</v>
      </c>
      <c r="D66" s="9" t="s">
        <v>2362</v>
      </c>
      <c r="E66" s="9" t="s">
        <v>2363</v>
      </c>
      <c r="F66" s="9" t="s">
        <v>2364</v>
      </c>
    </row>
    <row r="67" ht="90" customHeight="1" spans="1:6">
      <c r="A67" s="9" t="s">
        <v>2365</v>
      </c>
      <c r="B67" s="9" t="s">
        <v>2366</v>
      </c>
      <c r="C67" s="9" t="s">
        <v>2367</v>
      </c>
      <c r="D67" s="9" t="s">
        <v>2368</v>
      </c>
      <c r="E67" s="9" t="s">
        <v>2369</v>
      </c>
      <c r="F67" s="9" t="s">
        <v>2370</v>
      </c>
    </row>
    <row r="68" ht="90" customHeight="1" spans="1:6">
      <c r="A68" s="9" t="s">
        <v>2371</v>
      </c>
      <c r="B68" s="9" t="s">
        <v>2372</v>
      </c>
      <c r="C68" s="9" t="s">
        <v>2373</v>
      </c>
      <c r="D68" s="9" t="s">
        <v>2374</v>
      </c>
      <c r="E68" s="9" t="s">
        <v>2375</v>
      </c>
      <c r="F68" s="9" t="s">
        <v>2376</v>
      </c>
    </row>
    <row r="69" ht="90" customHeight="1" spans="1:6">
      <c r="A69" s="9" t="s">
        <v>2377</v>
      </c>
      <c r="B69" s="9" t="s">
        <v>2378</v>
      </c>
      <c r="C69" s="9" t="s">
        <v>2379</v>
      </c>
      <c r="D69" s="9" t="s">
        <v>2380</v>
      </c>
      <c r="E69" s="9" t="s">
        <v>2381</v>
      </c>
      <c r="F69" s="9" t="s">
        <v>2382</v>
      </c>
    </row>
    <row r="70" ht="90" customHeight="1" spans="1:6">
      <c r="A70" s="9" t="s">
        <v>2383</v>
      </c>
      <c r="B70" s="9" t="s">
        <v>2384</v>
      </c>
      <c r="C70" s="9" t="s">
        <v>2385</v>
      </c>
      <c r="D70" s="9" t="s">
        <v>2386</v>
      </c>
      <c r="E70" s="9" t="s">
        <v>2387</v>
      </c>
      <c r="F70" s="9" t="s">
        <v>2388</v>
      </c>
    </row>
    <row r="71" ht="90" customHeight="1" spans="1:6">
      <c r="A71" s="9" t="s">
        <v>2389</v>
      </c>
      <c r="B71" s="9" t="s">
        <v>2390</v>
      </c>
      <c r="C71" s="9" t="s">
        <v>2391</v>
      </c>
      <c r="D71" s="9" t="s">
        <v>2392</v>
      </c>
      <c r="E71" s="9" t="s">
        <v>2393</v>
      </c>
      <c r="F71" s="9" t="s">
        <v>2394</v>
      </c>
    </row>
    <row r="72" ht="90" customHeight="1" spans="1:6">
      <c r="A72" s="9" t="s">
        <v>2395</v>
      </c>
      <c r="B72" s="9" t="s">
        <v>2396</v>
      </c>
      <c r="C72" s="9" t="s">
        <v>2397</v>
      </c>
      <c r="D72" s="9" t="s">
        <v>2398</v>
      </c>
      <c r="E72" s="9" t="s">
        <v>2399</v>
      </c>
      <c r="F72" s="9" t="s">
        <v>2400</v>
      </c>
    </row>
    <row r="73" ht="90" customHeight="1" spans="1:6">
      <c r="A73" s="9" t="s">
        <v>2401</v>
      </c>
      <c r="B73" s="9" t="s">
        <v>2402</v>
      </c>
      <c r="C73" s="9" t="s">
        <v>2403</v>
      </c>
      <c r="D73" s="9" t="s">
        <v>2404</v>
      </c>
      <c r="E73" s="9" t="s">
        <v>2405</v>
      </c>
      <c r="F73" s="9" t="s">
        <v>2406</v>
      </c>
    </row>
    <row r="74" ht="90" customHeight="1" spans="1:6">
      <c r="A74" s="9" t="s">
        <v>2407</v>
      </c>
      <c r="B74" s="9" t="s">
        <v>2408</v>
      </c>
      <c r="C74" s="9" t="s">
        <v>2409</v>
      </c>
      <c r="D74" s="9" t="s">
        <v>2410</v>
      </c>
      <c r="E74" s="9" t="s">
        <v>2411</v>
      </c>
      <c r="F74" s="9" t="s">
        <v>2412</v>
      </c>
    </row>
    <row r="75" ht="90" customHeight="1" spans="1:6">
      <c r="A75" s="9" t="s">
        <v>2413</v>
      </c>
      <c r="B75" s="9" t="s">
        <v>2414</v>
      </c>
      <c r="C75" s="9" t="s">
        <v>2415</v>
      </c>
      <c r="D75" s="9" t="s">
        <v>2416</v>
      </c>
      <c r="E75" s="9" t="s">
        <v>2417</v>
      </c>
      <c r="F75" s="9" t="s">
        <v>2418</v>
      </c>
    </row>
    <row r="76" ht="90" customHeight="1" spans="1:6">
      <c r="A76" s="9" t="s">
        <v>2419</v>
      </c>
      <c r="B76" s="9" t="s">
        <v>2420</v>
      </c>
      <c r="C76" s="9" t="s">
        <v>2421</v>
      </c>
      <c r="D76" s="9" t="s">
        <v>2422</v>
      </c>
      <c r="E76" s="9" t="s">
        <v>2423</v>
      </c>
      <c r="F76" s="9" t="s">
        <v>2424</v>
      </c>
    </row>
    <row r="77" ht="90" customHeight="1" spans="1:6">
      <c r="A77" s="9" t="s">
        <v>2425</v>
      </c>
      <c r="B77" s="9" t="s">
        <v>2426</v>
      </c>
      <c r="C77" s="9" t="s">
        <v>2427</v>
      </c>
      <c r="D77" s="9" t="s">
        <v>2428</v>
      </c>
      <c r="E77" s="9" t="s">
        <v>2429</v>
      </c>
      <c r="F77" s="9" t="s">
        <v>2430</v>
      </c>
    </row>
    <row r="78" ht="90" customHeight="1" spans="1:6">
      <c r="A78" s="9" t="s">
        <v>2431</v>
      </c>
      <c r="B78" s="9" t="s">
        <v>2432</v>
      </c>
      <c r="C78" s="9" t="s">
        <v>2433</v>
      </c>
      <c r="D78" s="9" t="s">
        <v>2434</v>
      </c>
      <c r="E78" s="9" t="s">
        <v>2435</v>
      </c>
      <c r="F78" s="9" t="s">
        <v>2436</v>
      </c>
    </row>
    <row r="79" ht="90" customHeight="1" spans="1:6">
      <c r="A79" s="9" t="s">
        <v>2437</v>
      </c>
      <c r="B79" s="9" t="s">
        <v>2438</v>
      </c>
      <c r="C79" s="9" t="s">
        <v>2439</v>
      </c>
      <c r="D79" s="9" t="s">
        <v>2440</v>
      </c>
      <c r="E79" s="9" t="s">
        <v>2441</v>
      </c>
      <c r="F79" s="9" t="s">
        <v>2442</v>
      </c>
    </row>
    <row r="80" ht="90" customHeight="1" spans="1:6">
      <c r="A80" s="9" t="s">
        <v>2443</v>
      </c>
      <c r="B80" s="9" t="s">
        <v>2444</v>
      </c>
      <c r="C80" s="9" t="s">
        <v>2445</v>
      </c>
      <c r="D80" s="9" t="s">
        <v>2446</v>
      </c>
      <c r="E80" s="9" t="s">
        <v>2447</v>
      </c>
      <c r="F80" s="9" t="s">
        <v>2448</v>
      </c>
    </row>
    <row r="81" ht="90" customHeight="1" spans="1:6">
      <c r="A81" s="9" t="s">
        <v>2449</v>
      </c>
      <c r="B81" s="9" t="s">
        <v>2450</v>
      </c>
      <c r="C81" s="9" t="s">
        <v>2451</v>
      </c>
      <c r="D81" s="9" t="s">
        <v>2452</v>
      </c>
      <c r="E81" s="9" t="s">
        <v>2453</v>
      </c>
      <c r="F81" s="9" t="s">
        <v>2454</v>
      </c>
    </row>
    <row r="82" ht="90" customHeight="1" spans="1:6">
      <c r="A82" s="9" t="s">
        <v>2455</v>
      </c>
      <c r="B82" s="9" t="s">
        <v>2456</v>
      </c>
      <c r="C82" s="9" t="s">
        <v>2457</v>
      </c>
      <c r="D82" s="9" t="s">
        <v>2458</v>
      </c>
      <c r="E82" s="9" t="s">
        <v>2459</v>
      </c>
      <c r="F82" s="9" t="s">
        <v>2460</v>
      </c>
    </row>
    <row r="83" ht="90" customHeight="1" spans="1:6">
      <c r="A83" s="9" t="s">
        <v>2461</v>
      </c>
      <c r="B83" s="9" t="s">
        <v>2462</v>
      </c>
      <c r="C83" s="9" t="s">
        <v>2463</v>
      </c>
      <c r="D83" s="9" t="s">
        <v>2464</v>
      </c>
      <c r="E83" s="9" t="s">
        <v>2465</v>
      </c>
      <c r="F83" s="9" t="s">
        <v>2466</v>
      </c>
    </row>
    <row r="84" ht="90" customHeight="1" spans="1:6">
      <c r="A84" s="9" t="s">
        <v>2467</v>
      </c>
      <c r="B84" s="9" t="s">
        <v>2468</v>
      </c>
      <c r="C84" s="9" t="s">
        <v>2469</v>
      </c>
      <c r="D84" s="9" t="s">
        <v>2470</v>
      </c>
      <c r="E84" s="9" t="s">
        <v>2471</v>
      </c>
      <c r="F84" s="9" t="s">
        <v>2472</v>
      </c>
    </row>
    <row r="85" ht="90" customHeight="1" spans="1:6">
      <c r="A85" s="9" t="s">
        <v>2473</v>
      </c>
      <c r="B85" s="9" t="s">
        <v>2474</v>
      </c>
      <c r="C85" s="9" t="s">
        <v>2475</v>
      </c>
      <c r="D85" s="9" t="s">
        <v>2476</v>
      </c>
      <c r="E85" s="9" t="s">
        <v>2477</v>
      </c>
      <c r="F85" s="9" t="s">
        <v>2478</v>
      </c>
    </row>
    <row r="86" ht="90" customHeight="1" spans="1:6">
      <c r="A86" s="9" t="s">
        <v>2479</v>
      </c>
      <c r="B86" s="9" t="s">
        <v>2480</v>
      </c>
      <c r="C86" s="9" t="s">
        <v>2481</v>
      </c>
      <c r="D86" s="9" t="s">
        <v>2482</v>
      </c>
      <c r="E86" s="9" t="s">
        <v>2483</v>
      </c>
      <c r="F86" s="9" t="s">
        <v>2484</v>
      </c>
    </row>
    <row r="87" ht="90" customHeight="1" spans="1:6">
      <c r="A87" s="9" t="s">
        <v>2485</v>
      </c>
      <c r="B87" s="9" t="s">
        <v>2486</v>
      </c>
      <c r="C87" s="9" t="s">
        <v>2487</v>
      </c>
      <c r="D87" s="9" t="s">
        <v>2488</v>
      </c>
      <c r="E87" s="9" t="s">
        <v>2489</v>
      </c>
      <c r="F87" s="9" t="s">
        <v>2490</v>
      </c>
    </row>
    <row r="88" ht="90" customHeight="1" spans="1:6">
      <c r="A88" s="9" t="s">
        <v>2491</v>
      </c>
      <c r="B88" s="9" t="s">
        <v>2492</v>
      </c>
      <c r="C88" s="9" t="s">
        <v>2493</v>
      </c>
      <c r="D88" s="9" t="s">
        <v>2494</v>
      </c>
      <c r="E88" s="9" t="s">
        <v>2495</v>
      </c>
      <c r="F88" s="9" t="s">
        <v>2496</v>
      </c>
    </row>
    <row r="89" ht="90" customHeight="1" spans="1:6">
      <c r="A89" s="9" t="s">
        <v>2497</v>
      </c>
      <c r="B89" s="9" t="s">
        <v>2498</v>
      </c>
      <c r="C89" s="9" t="s">
        <v>2499</v>
      </c>
      <c r="D89" s="9" t="s">
        <v>2500</v>
      </c>
      <c r="E89" s="9" t="s">
        <v>2501</v>
      </c>
      <c r="F89" s="9" t="s">
        <v>2502</v>
      </c>
    </row>
    <row r="90" ht="90" customHeight="1" spans="1:6">
      <c r="A90" s="9" t="s">
        <v>2503</v>
      </c>
      <c r="B90" s="9" t="s">
        <v>2504</v>
      </c>
      <c r="C90" s="9" t="s">
        <v>2505</v>
      </c>
      <c r="D90" s="9" t="s">
        <v>2506</v>
      </c>
      <c r="E90" s="9" t="s">
        <v>2507</v>
      </c>
      <c r="F90" s="9" t="s">
        <v>2508</v>
      </c>
    </row>
    <row r="91" ht="90" customHeight="1" spans="1:6">
      <c r="A91" s="9" t="s">
        <v>2509</v>
      </c>
      <c r="B91" s="9" t="s">
        <v>2510</v>
      </c>
      <c r="C91" s="9" t="s">
        <v>2511</v>
      </c>
      <c r="D91" s="9" t="s">
        <v>2512</v>
      </c>
      <c r="E91" s="9" t="s">
        <v>2513</v>
      </c>
      <c r="F91" s="9" t="s">
        <v>2514</v>
      </c>
    </row>
    <row r="92" ht="90" customHeight="1" spans="1:6">
      <c r="A92" s="9" t="s">
        <v>2515</v>
      </c>
      <c r="B92" s="9" t="s">
        <v>2516</v>
      </c>
      <c r="C92" s="9" t="s">
        <v>2517</v>
      </c>
      <c r="D92" s="9" t="s">
        <v>2518</v>
      </c>
      <c r="E92" s="9" t="s">
        <v>2519</v>
      </c>
      <c r="F92" s="9" t="s">
        <v>2520</v>
      </c>
    </row>
    <row r="93" ht="90" customHeight="1" spans="1:6">
      <c r="A93" s="9" t="s">
        <v>2521</v>
      </c>
      <c r="B93" s="9" t="s">
        <v>2522</v>
      </c>
      <c r="C93" s="9" t="s">
        <v>2523</v>
      </c>
      <c r="D93" s="9" t="s">
        <v>2524</v>
      </c>
      <c r="E93" s="9" t="s">
        <v>2525</v>
      </c>
      <c r="F93" s="9" t="s">
        <v>2526</v>
      </c>
    </row>
    <row r="94" ht="90" customHeight="1" spans="1:6">
      <c r="A94" s="9" t="s">
        <v>2527</v>
      </c>
      <c r="B94" s="9" t="s">
        <v>2528</v>
      </c>
      <c r="C94" s="9" t="s">
        <v>2529</v>
      </c>
      <c r="D94" s="9" t="s">
        <v>2530</v>
      </c>
      <c r="E94" s="9" t="s">
        <v>2531</v>
      </c>
      <c r="F94" s="9" t="s">
        <v>2532</v>
      </c>
    </row>
    <row r="95" ht="90" customHeight="1" spans="1:6">
      <c r="A95" s="9" t="s">
        <v>2533</v>
      </c>
      <c r="B95" s="9" t="s">
        <v>2534</v>
      </c>
      <c r="C95" s="9" t="s">
        <v>2535</v>
      </c>
      <c r="D95" s="9" t="s">
        <v>2536</v>
      </c>
      <c r="E95" s="9" t="s">
        <v>2537</v>
      </c>
      <c r="F95" s="9" t="s">
        <v>2538</v>
      </c>
    </row>
    <row r="96" ht="90" customHeight="1" spans="1:6">
      <c r="A96" s="9" t="s">
        <v>2539</v>
      </c>
      <c r="B96" s="9" t="s">
        <v>2540</v>
      </c>
      <c r="C96" s="9" t="s">
        <v>2541</v>
      </c>
      <c r="D96" s="9" t="s">
        <v>2542</v>
      </c>
      <c r="E96" s="9" t="s">
        <v>2543</v>
      </c>
      <c r="F96" s="9" t="s">
        <v>2544</v>
      </c>
    </row>
    <row r="97" ht="90" customHeight="1" spans="1:6">
      <c r="A97" s="9" t="s">
        <v>2545</v>
      </c>
      <c r="B97" s="9" t="s">
        <v>2546</v>
      </c>
      <c r="C97" s="9" t="s">
        <v>2547</v>
      </c>
      <c r="D97" s="9" t="s">
        <v>2548</v>
      </c>
      <c r="E97" s="9" t="s">
        <v>2549</v>
      </c>
      <c r="F97" s="9" t="s">
        <v>2550</v>
      </c>
    </row>
    <row r="98" ht="90" customHeight="1" spans="1:6">
      <c r="A98" s="9" t="s">
        <v>2551</v>
      </c>
      <c r="B98" s="9" t="s">
        <v>2552</v>
      </c>
      <c r="C98" s="9" t="s">
        <v>2553</v>
      </c>
      <c r="D98" s="9" t="s">
        <v>2554</v>
      </c>
      <c r="E98" s="9" t="s">
        <v>2555</v>
      </c>
      <c r="F98" s="9" t="s">
        <v>2556</v>
      </c>
    </row>
    <row r="99" ht="90" customHeight="1" spans="1:6">
      <c r="A99" s="9" t="s">
        <v>2557</v>
      </c>
      <c r="B99" s="9" t="s">
        <v>2558</v>
      </c>
      <c r="C99" s="9" t="s">
        <v>2559</v>
      </c>
      <c r="D99" s="9" t="s">
        <v>2560</v>
      </c>
      <c r="E99" s="9" t="s">
        <v>2561</v>
      </c>
      <c r="F99" s="9" t="s">
        <v>2562</v>
      </c>
    </row>
    <row r="100" ht="90" customHeight="1" spans="1:6">
      <c r="A100" s="9" t="s">
        <v>2563</v>
      </c>
      <c r="B100" s="9" t="s">
        <v>2564</v>
      </c>
      <c r="C100" s="9" t="s">
        <v>2565</v>
      </c>
      <c r="D100" s="9" t="s">
        <v>2566</v>
      </c>
      <c r="E100" s="9" t="s">
        <v>2567</v>
      </c>
      <c r="F100" s="9" t="s">
        <v>2568</v>
      </c>
    </row>
    <row r="101" ht="90" customHeight="1" spans="1:6">
      <c r="A101" s="9" t="s">
        <v>2569</v>
      </c>
      <c r="B101" s="9" t="s">
        <v>2570</v>
      </c>
      <c r="C101" s="9" t="s">
        <v>2571</v>
      </c>
      <c r="D101" s="9" t="s">
        <v>2572</v>
      </c>
      <c r="E101" s="9" t="s">
        <v>2573</v>
      </c>
      <c r="F101" s="9" t="s">
        <v>2574</v>
      </c>
    </row>
    <row r="102" ht="90" customHeight="1" spans="1:6">
      <c r="A102" s="9" t="s">
        <v>2575</v>
      </c>
      <c r="B102" s="9" t="s">
        <v>2576</v>
      </c>
      <c r="C102" s="9" t="s">
        <v>2577</v>
      </c>
      <c r="D102" s="9" t="s">
        <v>2578</v>
      </c>
      <c r="E102" s="9" t="s">
        <v>2579</v>
      </c>
      <c r="F102" s="9" t="s">
        <v>2580</v>
      </c>
    </row>
    <row r="103" ht="90" customHeight="1" spans="1:6">
      <c r="A103" s="9" t="s">
        <v>2581</v>
      </c>
      <c r="B103" s="9" t="s">
        <v>2582</v>
      </c>
      <c r="C103" s="9" t="s">
        <v>2583</v>
      </c>
      <c r="D103" s="9" t="s">
        <v>2584</v>
      </c>
      <c r="E103" s="9" t="s">
        <v>2585</v>
      </c>
      <c r="F103" s="9" t="s">
        <v>2586</v>
      </c>
    </row>
    <row r="104" ht="90" customHeight="1" spans="1:6">
      <c r="A104" s="9" t="s">
        <v>2587</v>
      </c>
      <c r="B104" s="9" t="s">
        <v>2588</v>
      </c>
      <c r="C104" s="9" t="s">
        <v>2589</v>
      </c>
      <c r="D104" s="9" t="s">
        <v>2590</v>
      </c>
      <c r="E104" s="9" t="s">
        <v>2591</v>
      </c>
      <c r="F104" s="9" t="s">
        <v>2592</v>
      </c>
    </row>
    <row r="105" ht="90" customHeight="1" spans="1:6">
      <c r="A105" s="9" t="s">
        <v>2593</v>
      </c>
      <c r="B105" s="9" t="s">
        <v>2594</v>
      </c>
      <c r="C105" s="9" t="s">
        <v>2595</v>
      </c>
      <c r="D105" s="9" t="s">
        <v>2596</v>
      </c>
      <c r="E105" s="9" t="s">
        <v>2597</v>
      </c>
      <c r="F105" s="9" t="s">
        <v>2598</v>
      </c>
    </row>
    <row r="106" ht="90" customHeight="1" spans="1:6">
      <c r="A106" s="9" t="s">
        <v>2599</v>
      </c>
      <c r="B106" s="9" t="s">
        <v>2600</v>
      </c>
      <c r="C106" s="9" t="s">
        <v>2601</v>
      </c>
      <c r="D106" s="9" t="s">
        <v>2602</v>
      </c>
      <c r="E106" s="9" t="s">
        <v>2603</v>
      </c>
      <c r="F106" s="9" t="s">
        <v>2604</v>
      </c>
    </row>
    <row r="107" ht="90" customHeight="1" spans="1:6">
      <c r="A107" s="9" t="s">
        <v>2605</v>
      </c>
      <c r="B107" s="9" t="s">
        <v>2606</v>
      </c>
      <c r="C107" s="9" t="s">
        <v>2607</v>
      </c>
      <c r="D107" s="9" t="s">
        <v>2608</v>
      </c>
      <c r="E107" s="9" t="s">
        <v>2609</v>
      </c>
      <c r="F107" s="9" t="s">
        <v>2610</v>
      </c>
    </row>
    <row r="108" ht="90" customHeight="1" spans="1:6">
      <c r="A108" s="9" t="s">
        <v>2611</v>
      </c>
      <c r="B108" s="9" t="s">
        <v>2612</v>
      </c>
      <c r="C108" s="9" t="s">
        <v>2613</v>
      </c>
      <c r="D108" s="9" t="s">
        <v>2614</v>
      </c>
      <c r="E108" s="9" t="s">
        <v>2615</v>
      </c>
      <c r="F108" s="9" t="s">
        <v>2616</v>
      </c>
    </row>
    <row r="109" ht="90" customHeight="1" spans="1:6">
      <c r="A109" s="9" t="s">
        <v>2617</v>
      </c>
      <c r="B109" s="9" t="s">
        <v>2618</v>
      </c>
      <c r="C109" s="9" t="s">
        <v>2619</v>
      </c>
      <c r="D109" s="9" t="s">
        <v>2620</v>
      </c>
      <c r="E109" s="9" t="s">
        <v>2621</v>
      </c>
      <c r="F109" s="9" t="s">
        <v>2622</v>
      </c>
    </row>
    <row r="110" ht="90" customHeight="1" spans="1:6">
      <c r="A110" s="9" t="s">
        <v>2623</v>
      </c>
      <c r="B110" s="9" t="s">
        <v>2624</v>
      </c>
      <c r="C110" s="9" t="s">
        <v>2625</v>
      </c>
      <c r="D110" s="9" t="s">
        <v>2626</v>
      </c>
      <c r="E110" s="9" t="s">
        <v>2627</v>
      </c>
      <c r="F110" s="9" t="s">
        <v>2628</v>
      </c>
    </row>
    <row r="111" ht="90" customHeight="1" spans="1:6">
      <c r="A111" s="9" t="s">
        <v>2629</v>
      </c>
      <c r="B111" s="9" t="s">
        <v>2630</v>
      </c>
      <c r="C111" s="9" t="s">
        <v>2631</v>
      </c>
      <c r="D111" s="9" t="s">
        <v>2632</v>
      </c>
      <c r="E111" s="9" t="s">
        <v>2633</v>
      </c>
      <c r="F111" s="9" t="s">
        <v>2634</v>
      </c>
    </row>
    <row r="112" ht="90" customHeight="1" spans="1:6">
      <c r="A112" s="9" t="s">
        <v>2635</v>
      </c>
      <c r="B112" s="9" t="s">
        <v>2636</v>
      </c>
      <c r="C112" s="9" t="s">
        <v>2637</v>
      </c>
      <c r="D112" s="9" t="s">
        <v>2638</v>
      </c>
      <c r="E112" s="9" t="s">
        <v>2639</v>
      </c>
      <c r="F112" s="9" t="s">
        <v>2640</v>
      </c>
    </row>
    <row r="113" ht="90" customHeight="1" spans="1:6">
      <c r="A113" s="9" t="s">
        <v>2641</v>
      </c>
      <c r="B113" s="9" t="s">
        <v>2642</v>
      </c>
      <c r="C113" s="9" t="s">
        <v>2643</v>
      </c>
      <c r="D113" s="9" t="s">
        <v>2644</v>
      </c>
      <c r="E113" s="9" t="s">
        <v>2645</v>
      </c>
      <c r="F113" s="9" t="s">
        <v>2646</v>
      </c>
    </row>
    <row r="114" ht="90" customHeight="1" spans="1:6">
      <c r="A114" s="9" t="s">
        <v>2647</v>
      </c>
      <c r="B114" s="9" t="s">
        <v>2648</v>
      </c>
      <c r="C114" s="9" t="s">
        <v>2649</v>
      </c>
      <c r="D114" s="9" t="s">
        <v>2650</v>
      </c>
      <c r="E114" s="9" t="s">
        <v>2651</v>
      </c>
      <c r="F114" s="9" t="s">
        <v>2652</v>
      </c>
    </row>
    <row r="115" ht="90" customHeight="1" spans="1:6">
      <c r="A115" s="9" t="s">
        <v>2653</v>
      </c>
      <c r="B115" s="9" t="s">
        <v>2654</v>
      </c>
      <c r="C115" s="9" t="s">
        <v>2655</v>
      </c>
      <c r="D115" s="9" t="s">
        <v>2656</v>
      </c>
      <c r="E115" s="9" t="s">
        <v>2657</v>
      </c>
      <c r="F115" s="9" t="s">
        <v>2658</v>
      </c>
    </row>
    <row r="116" ht="90" customHeight="1" spans="1:6">
      <c r="A116" s="9" t="s">
        <v>2659</v>
      </c>
      <c r="B116" s="9" t="s">
        <v>2660</v>
      </c>
      <c r="C116" s="9" t="s">
        <v>2661</v>
      </c>
      <c r="D116" s="9" t="s">
        <v>2662</v>
      </c>
      <c r="E116" s="9" t="s">
        <v>2663</v>
      </c>
      <c r="F116" s="9" t="s">
        <v>2664</v>
      </c>
    </row>
    <row r="117" ht="90" customHeight="1" spans="1:6">
      <c r="A117" s="9" t="s">
        <v>2665</v>
      </c>
      <c r="B117" s="9" t="s">
        <v>2666</v>
      </c>
      <c r="C117" s="9" t="s">
        <v>2667</v>
      </c>
      <c r="D117" s="9" t="s">
        <v>2668</v>
      </c>
      <c r="E117" s="9" t="s">
        <v>2669</v>
      </c>
      <c r="F117" s="9" t="s">
        <v>2670</v>
      </c>
    </row>
    <row r="118" ht="90" customHeight="1" spans="1:6">
      <c r="A118" s="9" t="s">
        <v>2671</v>
      </c>
      <c r="B118" s="9" t="s">
        <v>2672</v>
      </c>
      <c r="C118" s="9" t="s">
        <v>2673</v>
      </c>
      <c r="D118" s="9" t="s">
        <v>2674</v>
      </c>
      <c r="E118" s="9" t="s">
        <v>2675</v>
      </c>
      <c r="F118" s="9" t="s">
        <v>2676</v>
      </c>
    </row>
    <row r="119" ht="90" customHeight="1" spans="1:6">
      <c r="A119" s="9" t="s">
        <v>2677</v>
      </c>
      <c r="B119" s="9" t="s">
        <v>2678</v>
      </c>
      <c r="C119" s="9" t="s">
        <v>2679</v>
      </c>
      <c r="D119" s="9" t="s">
        <v>2680</v>
      </c>
      <c r="E119" s="9" t="s">
        <v>2681</v>
      </c>
      <c r="F119" s="9" t="s">
        <v>2682</v>
      </c>
    </row>
    <row r="120" ht="90" customHeight="1" spans="1:6">
      <c r="A120" s="9" t="s">
        <v>2683</v>
      </c>
      <c r="B120" s="9" t="s">
        <v>2684</v>
      </c>
      <c r="C120" s="9" t="s">
        <v>2685</v>
      </c>
      <c r="D120" s="9" t="s">
        <v>2686</v>
      </c>
      <c r="E120" s="9" t="s">
        <v>2687</v>
      </c>
      <c r="F120" s="9" t="s">
        <v>2688</v>
      </c>
    </row>
    <row r="121" ht="90" customHeight="1" spans="1:6">
      <c r="A121" s="9" t="s">
        <v>2689</v>
      </c>
      <c r="B121" s="9" t="s">
        <v>2690</v>
      </c>
      <c r="C121" s="9" t="s">
        <v>2691</v>
      </c>
      <c r="D121" s="9" t="s">
        <v>2692</v>
      </c>
      <c r="E121" s="9" t="s">
        <v>2693</v>
      </c>
      <c r="F121" s="9" t="s">
        <v>2694</v>
      </c>
    </row>
    <row r="122" ht="90" customHeight="1" spans="1:6">
      <c r="A122" s="9" t="s">
        <v>2695</v>
      </c>
      <c r="B122" s="9" t="s">
        <v>2696</v>
      </c>
      <c r="C122" s="9" t="s">
        <v>2697</v>
      </c>
      <c r="D122" s="9" t="s">
        <v>2698</v>
      </c>
      <c r="E122" s="9" t="s">
        <v>2699</v>
      </c>
      <c r="F122" s="9" t="s">
        <v>2700</v>
      </c>
    </row>
    <row r="123" ht="90" customHeight="1" spans="1:6">
      <c r="A123" s="9" t="s">
        <v>2701</v>
      </c>
      <c r="B123" s="9" t="s">
        <v>2702</v>
      </c>
      <c r="C123" s="9" t="s">
        <v>2703</v>
      </c>
      <c r="D123" s="9" t="s">
        <v>2704</v>
      </c>
      <c r="E123" s="9" t="s">
        <v>2705</v>
      </c>
      <c r="F123" s="9" t="s">
        <v>2706</v>
      </c>
    </row>
    <row r="124" ht="90" customHeight="1" spans="1:6">
      <c r="A124" s="9" t="s">
        <v>2707</v>
      </c>
      <c r="B124" s="9" t="s">
        <v>2708</v>
      </c>
      <c r="C124" s="9" t="s">
        <v>2709</v>
      </c>
      <c r="D124" s="9" t="s">
        <v>2710</v>
      </c>
      <c r="E124" s="9" t="s">
        <v>2711</v>
      </c>
      <c r="F124" s="9" t="s">
        <v>2712</v>
      </c>
    </row>
    <row r="125" ht="90" customHeight="1" spans="1:6">
      <c r="A125" s="9" t="s">
        <v>2713</v>
      </c>
      <c r="B125" s="9" t="s">
        <v>2714</v>
      </c>
      <c r="C125" s="9" t="s">
        <v>2715</v>
      </c>
      <c r="D125" s="9" t="s">
        <v>2716</v>
      </c>
      <c r="E125" s="9" t="s">
        <v>2717</v>
      </c>
      <c r="F125" s="9" t="s">
        <v>2718</v>
      </c>
    </row>
    <row r="126" ht="90" customHeight="1" spans="1:6">
      <c r="A126" s="9" t="s">
        <v>2719</v>
      </c>
      <c r="B126" s="9" t="s">
        <v>2720</v>
      </c>
      <c r="C126" s="9" t="s">
        <v>2721</v>
      </c>
      <c r="D126" s="9" t="s">
        <v>2722</v>
      </c>
      <c r="E126" s="9" t="s">
        <v>2723</v>
      </c>
      <c r="F126" s="9" t="s">
        <v>2724</v>
      </c>
    </row>
    <row r="127" ht="90" customHeight="1" spans="1:6">
      <c r="A127" s="9" t="s">
        <v>2725</v>
      </c>
      <c r="B127" s="9" t="s">
        <v>2726</v>
      </c>
      <c r="C127" s="9" t="s">
        <v>2727</v>
      </c>
      <c r="D127" s="9" t="s">
        <v>2728</v>
      </c>
      <c r="E127" s="9" t="s">
        <v>2729</v>
      </c>
      <c r="F127" s="9" t="s">
        <v>2730</v>
      </c>
    </row>
    <row r="128" ht="90" customHeight="1" spans="1:5">
      <c r="A128" s="9" t="s">
        <v>2731</v>
      </c>
      <c r="B128" s="9" t="s">
        <v>2732</v>
      </c>
      <c r="C128" s="9" t="s">
        <v>2733</v>
      </c>
      <c r="D128" s="9" t="s">
        <v>2734</v>
      </c>
      <c r="E128" s="9" t="s">
        <v>2735</v>
      </c>
    </row>
    <row r="129" ht="90" customHeight="1" spans="1:5">
      <c r="A129" s="9" t="s">
        <v>2736</v>
      </c>
      <c r="B129" s="9" t="s">
        <v>2737</v>
      </c>
      <c r="C129" s="9" t="s">
        <v>2738</v>
      </c>
      <c r="D129" s="9" t="s">
        <v>2739</v>
      </c>
      <c r="E129" s="9" t="s">
        <v>2740</v>
      </c>
    </row>
    <row r="130" ht="90" customHeight="1" spans="1:5">
      <c r="A130" s="9" t="s">
        <v>2741</v>
      </c>
      <c r="B130" s="9" t="s">
        <v>2742</v>
      </c>
      <c r="C130" s="9" t="s">
        <v>2743</v>
      </c>
      <c r="D130" s="9" t="s">
        <v>2744</v>
      </c>
      <c r="E130" s="9" t="s">
        <v>2745</v>
      </c>
    </row>
    <row r="131" ht="90" customHeight="1" spans="1:5">
      <c r="A131" s="9" t="s">
        <v>2746</v>
      </c>
      <c r="B131" s="9" t="s">
        <v>2747</v>
      </c>
      <c r="C131" s="9" t="s">
        <v>2748</v>
      </c>
      <c r="D131" s="9" t="s">
        <v>2749</v>
      </c>
      <c r="E131" s="9" t="s">
        <v>2750</v>
      </c>
    </row>
    <row r="132" ht="90" customHeight="1" spans="1:5">
      <c r="A132" s="9" t="s">
        <v>2751</v>
      </c>
      <c r="B132" s="9" t="s">
        <v>2752</v>
      </c>
      <c r="C132" s="9" t="s">
        <v>2753</v>
      </c>
      <c r="D132" s="9" t="s">
        <v>2754</v>
      </c>
      <c r="E132" s="9" t="s">
        <v>2755</v>
      </c>
    </row>
    <row r="133" ht="90" customHeight="1" spans="1:5">
      <c r="A133" s="9" t="s">
        <v>2756</v>
      </c>
      <c r="B133" s="9" t="s">
        <v>2757</v>
      </c>
      <c r="C133" s="9" t="s">
        <v>2758</v>
      </c>
      <c r="D133" s="9" t="s">
        <v>2759</v>
      </c>
      <c r="E133" s="9" t="s">
        <v>2760</v>
      </c>
    </row>
    <row r="134" ht="90" customHeight="1" spans="1:4">
      <c r="A134" s="9" t="s">
        <v>2761</v>
      </c>
      <c r="B134" s="9" t="s">
        <v>2762</v>
      </c>
      <c r="C134" s="9" t="s">
        <v>2763</v>
      </c>
      <c r="D134" s="9" t="s">
        <v>2764</v>
      </c>
    </row>
    <row r="135" ht="90" customHeight="1" spans="1:4">
      <c r="A135" s="9" t="s">
        <v>2765</v>
      </c>
      <c r="B135" s="9" t="s">
        <v>2766</v>
      </c>
      <c r="C135" s="9" t="s">
        <v>2767</v>
      </c>
      <c r="D135" s="9" t="s">
        <v>2768</v>
      </c>
    </row>
    <row r="136" ht="90" customHeight="1" spans="1:4">
      <c r="A136" s="9" t="s">
        <v>2769</v>
      </c>
      <c r="B136" s="9" t="s">
        <v>2770</v>
      </c>
      <c r="C136" s="9" t="s">
        <v>2771</v>
      </c>
      <c r="D136" s="9" t="s">
        <v>2772</v>
      </c>
    </row>
    <row r="137" ht="90" customHeight="1" spans="1:4">
      <c r="A137" s="9" t="s">
        <v>2773</v>
      </c>
      <c r="B137" s="9" t="s">
        <v>2774</v>
      </c>
      <c r="C137" s="9" t="s">
        <v>2775</v>
      </c>
      <c r="D137" s="9" t="s">
        <v>2776</v>
      </c>
    </row>
    <row r="138" ht="90" customHeight="1" spans="1:3">
      <c r="A138" s="9" t="s">
        <v>2777</v>
      </c>
      <c r="B138" s="9" t="s">
        <v>2778</v>
      </c>
      <c r="C138" s="9" t="s">
        <v>2779</v>
      </c>
    </row>
    <row r="139" ht="90" customHeight="1" spans="1:3">
      <c r="A139" s="9" t="s">
        <v>2780</v>
      </c>
      <c r="B139" s="9" t="s">
        <v>2781</v>
      </c>
      <c r="C139" s="9" t="s">
        <v>2782</v>
      </c>
    </row>
    <row r="140" ht="90" customHeight="1" spans="1:3">
      <c r="A140" s="9" t="s">
        <v>2783</v>
      </c>
      <c r="B140" s="9" t="s">
        <v>2784</v>
      </c>
      <c r="C140" s="9" t="s">
        <v>2785</v>
      </c>
    </row>
  </sheetData>
  <printOptions horizontalCentered="1" verticalCentered="1"/>
  <pageMargins left="0" right="0" top="0" bottom="0" header="0" footer="0"/>
  <pageSetup paperSize="9" orientation="portrait"/>
  <headerFooter/>
  <rowBreaks count="19" manualBreakCount="19">
    <brk id="7" max="16383" man="1"/>
    <brk id="14" max="16383" man="1"/>
    <brk id="21" max="16383" man="1"/>
    <brk id="28" max="16383" man="1"/>
    <brk id="35" max="16383" man="1"/>
    <brk id="42" max="16383" man="1"/>
    <brk id="49" max="16383" man="1"/>
    <brk id="56" max="16383" man="1"/>
    <brk id="63" max="16383" man="1"/>
    <brk id="70" max="16383" man="1"/>
    <brk id="77" max="16383" man="1"/>
    <brk id="84" max="16383" man="1"/>
    <brk id="91" max="16383" man="1"/>
    <brk id="98" max="16383" man="1"/>
    <brk id="105" max="16383" man="1"/>
    <brk id="112" max="16383" man="1"/>
    <brk id="119" max="16383" man="1"/>
    <brk id="126" max="16383" man="1"/>
    <brk id="133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D18"/>
  <sheetViews>
    <sheetView zoomScale="145" zoomScaleNormal="145" workbookViewId="0">
      <selection activeCell="C24" sqref="C24"/>
    </sheetView>
  </sheetViews>
  <sheetFormatPr defaultColWidth="9" defaultRowHeight="14.25" outlineLevelCol="3"/>
  <cols>
    <col min="1" max="2" width="8.63333333333333" style="5" customWidth="1"/>
    <col min="3" max="3" width="20.6333333333333" style="5" customWidth="1"/>
    <col min="4" max="4" width="30.6333333333333" style="5" customWidth="1"/>
    <col min="5" max="16384" width="9" style="6"/>
  </cols>
  <sheetData>
    <row r="1" ht="20" customHeight="1" spans="1:4">
      <c r="A1" s="7" t="str">
        <f>巡视!$A$1&amp;"请假名单"</f>
        <v>2025-2026学年高二第一学期期中考请假名单</v>
      </c>
      <c r="B1" s="7"/>
      <c r="C1" s="7"/>
      <c r="D1" s="7"/>
    </row>
    <row r="2" ht="20" customHeight="1" spans="1:4">
      <c r="A2" s="7" t="s">
        <v>56</v>
      </c>
      <c r="B2" s="7" t="s">
        <v>2786</v>
      </c>
      <c r="C2" s="7" t="s">
        <v>2787</v>
      </c>
      <c r="D2" s="7" t="s">
        <v>2788</v>
      </c>
    </row>
    <row r="3" spans="1:4">
      <c r="A3" s="8" t="s">
        <v>112</v>
      </c>
      <c r="B3" s="8" t="s">
        <v>2789</v>
      </c>
      <c r="C3" s="8" t="s">
        <v>2790</v>
      </c>
      <c r="D3" s="8" t="s">
        <v>2791</v>
      </c>
    </row>
    <row r="4" spans="1:4">
      <c r="A4" s="8" t="s">
        <v>77</v>
      </c>
      <c r="B4" s="8" t="s">
        <v>2789</v>
      </c>
      <c r="C4" s="8" t="s">
        <v>2792</v>
      </c>
      <c r="D4" s="8" t="s">
        <v>2793</v>
      </c>
    </row>
    <row r="5" spans="1:4">
      <c r="A5" s="8" t="s">
        <v>88</v>
      </c>
      <c r="B5" s="8" t="s">
        <v>2789</v>
      </c>
      <c r="C5" s="8" t="s">
        <v>2792</v>
      </c>
      <c r="D5" s="8" t="s">
        <v>2793</v>
      </c>
    </row>
    <row r="6" spans="1:4">
      <c r="A6" s="8" t="s">
        <v>98</v>
      </c>
      <c r="B6" s="8" t="s">
        <v>2789</v>
      </c>
      <c r="C6" s="8" t="s">
        <v>2792</v>
      </c>
      <c r="D6" s="8" t="s">
        <v>2793</v>
      </c>
    </row>
    <row r="7" spans="1:4">
      <c r="A7" s="8" t="s">
        <v>81</v>
      </c>
      <c r="B7" s="8" t="s">
        <v>2789</v>
      </c>
      <c r="C7" s="8" t="s">
        <v>2792</v>
      </c>
      <c r="D7" s="8" t="s">
        <v>2794</v>
      </c>
    </row>
    <row r="8" spans="1:4">
      <c r="A8" s="8"/>
      <c r="B8" s="8"/>
      <c r="C8" s="8"/>
      <c r="D8" s="8"/>
    </row>
    <row r="9" spans="1:4">
      <c r="A9" s="8"/>
      <c r="B9" s="8"/>
      <c r="C9" s="8"/>
      <c r="D9" s="8"/>
    </row>
    <row r="10" spans="1:4">
      <c r="A10" s="8"/>
      <c r="B10" s="8"/>
      <c r="C10" s="8"/>
      <c r="D10" s="8"/>
    </row>
    <row r="11" spans="1:4">
      <c r="A11" s="8"/>
      <c r="B11" s="8"/>
      <c r="C11" s="8"/>
      <c r="D11" s="8"/>
    </row>
    <row r="12" spans="1:4">
      <c r="A12" s="8"/>
      <c r="B12" s="8"/>
      <c r="C12" s="8"/>
      <c r="D12" s="8"/>
    </row>
    <row r="13" spans="1:4">
      <c r="A13" s="8"/>
      <c r="B13" s="8"/>
      <c r="C13" s="8"/>
      <c r="D13" s="8"/>
    </row>
    <row r="14" spans="1:4">
      <c r="A14" s="8"/>
      <c r="B14" s="8"/>
      <c r="C14" s="8"/>
      <c r="D14" s="8"/>
    </row>
    <row r="15" spans="1:4">
      <c r="A15" s="8"/>
      <c r="B15" s="8"/>
      <c r="C15" s="8"/>
      <c r="D15" s="8"/>
    </row>
    <row r="16" spans="1:4">
      <c r="A16" s="8"/>
      <c r="B16" s="8"/>
      <c r="C16" s="8"/>
      <c r="D16" s="8"/>
    </row>
    <row r="17" spans="1:4">
      <c r="A17" s="8"/>
      <c r="B17" s="8"/>
      <c r="C17" s="8"/>
      <c r="D17" s="8"/>
    </row>
    <row r="18" spans="1:4">
      <c r="A18" s="8"/>
      <c r="B18" s="8"/>
      <c r="C18" s="8"/>
      <c r="D18" s="8"/>
    </row>
  </sheetData>
  <mergeCells count="1">
    <mergeCell ref="A1:D1"/>
  </mergeCells>
  <pageMargins left="0.75" right="0.75" top="1" bottom="1" header="0.5" footer="0.5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F27"/>
  <sheetViews>
    <sheetView zoomScale="115" zoomScaleNormal="115" topLeftCell="A7" workbookViewId="0">
      <selection activeCell="A21" sqref="$A17:$XFD21"/>
    </sheetView>
  </sheetViews>
  <sheetFormatPr defaultColWidth="9" defaultRowHeight="14.25" outlineLevelCol="5"/>
  <cols>
    <col min="3" max="6" width="12.625" customWidth="1"/>
  </cols>
  <sheetData>
    <row r="1" spans="1:6">
      <c r="A1" s="1" t="s">
        <v>169</v>
      </c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3" ht="20" customHeight="1" spans="1:6">
      <c r="A3" s="2"/>
      <c r="B3" s="2"/>
      <c r="C3" s="2" t="s">
        <v>170</v>
      </c>
      <c r="D3" s="2"/>
      <c r="E3" s="2" t="s">
        <v>171</v>
      </c>
      <c r="F3" s="2"/>
    </row>
    <row r="4" ht="20" customHeight="1" spans="1:6">
      <c r="A4" s="2" t="s">
        <v>172</v>
      </c>
      <c r="B4" s="2"/>
      <c r="C4" s="2" t="s">
        <v>67</v>
      </c>
      <c r="D4" s="2"/>
      <c r="E4" s="2" t="s">
        <v>68</v>
      </c>
      <c r="F4" s="2"/>
    </row>
    <row r="5" ht="20" customHeight="1" spans="1:6">
      <c r="A5" s="2" t="s">
        <v>173</v>
      </c>
      <c r="B5" s="2"/>
      <c r="C5" s="2" t="s">
        <v>67</v>
      </c>
      <c r="D5" s="2"/>
      <c r="E5" s="2" t="s">
        <v>69</v>
      </c>
      <c r="F5" s="2"/>
    </row>
    <row r="6" ht="20" customHeight="1" spans="1:6">
      <c r="A6" s="2" t="s">
        <v>174</v>
      </c>
      <c r="B6" s="2"/>
      <c r="C6" s="2" t="s">
        <v>67</v>
      </c>
      <c r="D6" s="2"/>
      <c r="E6" s="2" t="s">
        <v>70</v>
      </c>
      <c r="F6" s="2"/>
    </row>
    <row r="7" ht="20" customHeight="1" spans="1:6">
      <c r="A7" s="2" t="s">
        <v>177</v>
      </c>
      <c r="B7" s="2"/>
      <c r="C7" s="2" t="s">
        <v>69</v>
      </c>
      <c r="D7" s="2"/>
      <c r="E7" s="2" t="s">
        <v>70</v>
      </c>
      <c r="F7" s="2"/>
    </row>
    <row r="8" ht="20" customHeight="1" spans="1:6">
      <c r="A8" s="2" t="s">
        <v>178</v>
      </c>
      <c r="B8" s="2"/>
      <c r="C8" s="3" t="s">
        <v>179</v>
      </c>
      <c r="D8" s="3"/>
      <c r="E8" s="3" t="s">
        <v>180</v>
      </c>
      <c r="F8" s="3"/>
    </row>
    <row r="9" ht="20" customHeight="1" spans="1:6">
      <c r="A9" s="2"/>
      <c r="B9" s="2"/>
      <c r="C9" s="3"/>
      <c r="D9" s="3"/>
      <c r="E9" s="3"/>
      <c r="F9" s="3"/>
    </row>
    <row r="10" ht="20" customHeight="1" spans="1:6">
      <c r="A10" s="2"/>
      <c r="B10" s="2"/>
      <c r="C10" s="3"/>
      <c r="D10" s="3"/>
      <c r="E10" s="3"/>
      <c r="F10" s="3"/>
    </row>
    <row r="11" ht="20" customHeight="1" spans="1:6">
      <c r="A11" s="4" t="s">
        <v>181</v>
      </c>
      <c r="B11" s="4"/>
      <c r="C11" s="3" t="s">
        <v>182</v>
      </c>
      <c r="D11" s="3"/>
      <c r="E11" s="3" t="s">
        <v>183</v>
      </c>
      <c r="F11" s="3"/>
    </row>
    <row r="12" ht="20" customHeight="1" spans="1:6">
      <c r="A12" s="4"/>
      <c r="B12" s="4"/>
      <c r="C12" s="3"/>
      <c r="D12" s="3"/>
      <c r="E12" s="3"/>
      <c r="F12" s="3"/>
    </row>
    <row r="13" ht="20" customHeight="1" spans="1:6">
      <c r="A13" s="4"/>
      <c r="B13" s="4"/>
      <c r="C13" s="3"/>
      <c r="D13" s="3"/>
      <c r="E13" s="3"/>
      <c r="F13" s="3"/>
    </row>
    <row r="14" ht="96" customHeight="1"/>
    <row r="15" spans="1:6">
      <c r="A15" s="1" t="s">
        <v>169</v>
      </c>
      <c r="B15" s="1"/>
      <c r="C15" s="1"/>
      <c r="D15" s="1"/>
      <c r="E15" s="1"/>
      <c r="F15" s="1"/>
    </row>
    <row r="16" spans="1:6">
      <c r="A16" s="1"/>
      <c r="B16" s="1"/>
      <c r="C16" s="1"/>
      <c r="D16" s="1"/>
      <c r="E16" s="1"/>
      <c r="F16" s="1"/>
    </row>
    <row r="17" ht="20" customHeight="1" spans="1:6">
      <c r="A17" s="2"/>
      <c r="B17" s="2"/>
      <c r="C17" s="2" t="s">
        <v>170</v>
      </c>
      <c r="D17" s="2"/>
      <c r="E17" s="2" t="s">
        <v>171</v>
      </c>
      <c r="F17" s="2"/>
    </row>
    <row r="18" ht="20" customHeight="1" spans="1:6">
      <c r="A18" s="2" t="s">
        <v>172</v>
      </c>
      <c r="B18" s="2"/>
      <c r="C18" s="2" t="s">
        <v>67</v>
      </c>
      <c r="D18" s="2"/>
      <c r="E18" s="2" t="s">
        <v>68</v>
      </c>
      <c r="F18" s="2"/>
    </row>
    <row r="19" ht="20" customHeight="1" spans="1:6">
      <c r="A19" s="2" t="s">
        <v>173</v>
      </c>
      <c r="B19" s="2"/>
      <c r="C19" s="2" t="s">
        <v>67</v>
      </c>
      <c r="D19" s="2"/>
      <c r="E19" s="2" t="s">
        <v>69</v>
      </c>
      <c r="F19" s="2"/>
    </row>
    <row r="20" ht="20" customHeight="1" spans="1:6">
      <c r="A20" s="2" t="s">
        <v>174</v>
      </c>
      <c r="B20" s="2"/>
      <c r="C20" s="2" t="s">
        <v>67</v>
      </c>
      <c r="D20" s="2"/>
      <c r="E20" s="2" t="s">
        <v>70</v>
      </c>
      <c r="F20" s="2"/>
    </row>
    <row r="21" ht="20" customHeight="1" spans="1:6">
      <c r="A21" s="2" t="s">
        <v>177</v>
      </c>
      <c r="B21" s="2"/>
      <c r="C21" s="2" t="s">
        <v>69</v>
      </c>
      <c r="D21" s="2"/>
      <c r="E21" s="2" t="s">
        <v>70</v>
      </c>
      <c r="F21" s="2"/>
    </row>
    <row r="22" ht="20" customHeight="1" spans="1:6">
      <c r="A22" s="2" t="s">
        <v>178</v>
      </c>
      <c r="B22" s="2"/>
      <c r="C22" s="3" t="s">
        <v>179</v>
      </c>
      <c r="D22" s="3"/>
      <c r="E22" s="3" t="s">
        <v>180</v>
      </c>
      <c r="F22" s="3"/>
    </row>
    <row r="23" ht="20" customHeight="1" spans="1:6">
      <c r="A23" s="2"/>
      <c r="B23" s="2"/>
      <c r="C23" s="3"/>
      <c r="D23" s="3"/>
      <c r="E23" s="3"/>
      <c r="F23" s="3"/>
    </row>
    <row r="24" ht="20" customHeight="1" spans="1:6">
      <c r="A24" s="2"/>
      <c r="B24" s="2"/>
      <c r="C24" s="3"/>
      <c r="D24" s="3"/>
      <c r="E24" s="3"/>
      <c r="F24" s="3"/>
    </row>
    <row r="25" ht="20" customHeight="1" spans="1:6">
      <c r="A25" s="4" t="s">
        <v>181</v>
      </c>
      <c r="B25" s="4"/>
      <c r="C25" s="3" t="s">
        <v>182</v>
      </c>
      <c r="D25" s="3"/>
      <c r="E25" s="3" t="s">
        <v>183</v>
      </c>
      <c r="F25" s="3"/>
    </row>
    <row r="26" ht="20" customHeight="1" spans="1:6">
      <c r="A26" s="4"/>
      <c r="B26" s="4"/>
      <c r="C26" s="3"/>
      <c r="D26" s="3"/>
      <c r="E26" s="3"/>
      <c r="F26" s="3"/>
    </row>
    <row r="27" ht="20" customHeight="1" spans="1:6">
      <c r="A27" s="4"/>
      <c r="B27" s="4"/>
      <c r="C27" s="3"/>
      <c r="D27" s="3"/>
      <c r="E27" s="3"/>
      <c r="F27" s="3"/>
    </row>
  </sheetData>
  <mergeCells count="44">
    <mergeCell ref="A3:B3"/>
    <mergeCell ref="C3:D3"/>
    <mergeCell ref="E3:F3"/>
    <mergeCell ref="A4:B4"/>
    <mergeCell ref="C4:D4"/>
    <mergeCell ref="E4:F4"/>
    <mergeCell ref="A5:B5"/>
    <mergeCell ref="C5:D5"/>
    <mergeCell ref="E5:F5"/>
    <mergeCell ref="A6:B6"/>
    <mergeCell ref="C6:D6"/>
    <mergeCell ref="E6:F6"/>
    <mergeCell ref="A7:B7"/>
    <mergeCell ref="C7:D7"/>
    <mergeCell ref="E7:F7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1:F2"/>
    <mergeCell ref="A8:B10"/>
    <mergeCell ref="C8:D10"/>
    <mergeCell ref="E8:F10"/>
    <mergeCell ref="A11:B13"/>
    <mergeCell ref="C11:D13"/>
    <mergeCell ref="E11:F13"/>
    <mergeCell ref="A15:F16"/>
    <mergeCell ref="A22:B24"/>
    <mergeCell ref="C22:D24"/>
    <mergeCell ref="E22:F24"/>
    <mergeCell ref="A25:B27"/>
    <mergeCell ref="C25:D27"/>
    <mergeCell ref="E25:F27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巡视</vt:lpstr>
      <vt:lpstr>铃声安排</vt:lpstr>
      <vt:lpstr>监考安排</vt:lpstr>
      <vt:lpstr>监考安排（旧）</vt:lpstr>
      <vt:lpstr>比对</vt:lpstr>
      <vt:lpstr>考务会议签到表（打印）</vt:lpstr>
      <vt:lpstr>监考员签到表（打印）</vt:lpstr>
      <vt:lpstr>学生编排结果</vt:lpstr>
      <vt:lpstr>班级（打印）</vt:lpstr>
      <vt:lpstr>考场（打印）</vt:lpstr>
      <vt:lpstr>试卷袋标签（打印）-1</vt:lpstr>
      <vt:lpstr>试卷袋标签（打印）-2</vt:lpstr>
      <vt:lpstr>桌角纸（打印）</vt:lpstr>
      <vt:lpstr>请假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ZG</dc:creator>
  <cp:lastModifiedBy>Administrator</cp:lastModifiedBy>
  <dcterms:created xsi:type="dcterms:W3CDTF">2015-06-05T18:19:00Z</dcterms:created>
  <cp:lastPrinted>2024-11-01T06:55:00Z</cp:lastPrinted>
  <dcterms:modified xsi:type="dcterms:W3CDTF">2025-11-05T23:39:01Z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1050FC2E1F174A82860C20D41492723E_12</vt:lpwstr>
  </property>
  <property fmtid="{D5CDD505-2E9C-101B-9397-08002B2CF9AE}" pid="3" name="KSOProductBuildVer">
    <vt:lpwstr>2052-12.8.2.18205</vt:lpwstr>
  </property>
  <property fmtid="{D5CDD505-2E9C-101B-9397-08002B2CF9AE}" pid="4" name="KSOReadingLayout">
    <vt:bool>true</vt:bool>
  </property>
</Properties>
</file>